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Input\"/>
    </mc:Choice>
  </mc:AlternateContent>
  <xr:revisionPtr revIDLastSave="0" documentId="13_ncr:1_{B42922EA-4137-4AE7-87F0-1DFD91A008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H25" i="2"/>
  <c r="H5" i="2"/>
  <c r="H11" i="2"/>
  <c r="H13" i="2"/>
  <c r="H6" i="2"/>
  <c r="H26" i="2"/>
  <c r="H7" i="2"/>
  <c r="H10" i="2"/>
  <c r="H9" i="2"/>
  <c r="H28" i="2"/>
  <c r="H27" i="2"/>
  <c r="H18" i="2"/>
  <c r="H22" i="2"/>
  <c r="H14" i="2"/>
  <c r="H4" i="2"/>
  <c r="H12" i="2"/>
  <c r="H19" i="2"/>
  <c r="H21" i="2"/>
  <c r="H8" i="2"/>
  <c r="H3" i="2"/>
  <c r="H17" i="2"/>
  <c r="H29" i="2"/>
  <c r="H24" i="2"/>
  <c r="H16" i="2"/>
  <c r="H20" i="2"/>
  <c r="H23" i="2"/>
  <c r="H2" i="2"/>
  <c r="H15" i="2"/>
</calcChain>
</file>

<file path=xl/sharedStrings.xml><?xml version="1.0" encoding="utf-8"?>
<sst xmlns="http://schemas.openxmlformats.org/spreadsheetml/2006/main" count="284" uniqueCount="198">
  <si>
    <t>Centro Operacional de la Bodega</t>
  </si>
  <si>
    <t>F02</t>
  </si>
  <si>
    <t>ISIMO TO GO</t>
  </si>
  <si>
    <t>SD8</t>
  </si>
  <si>
    <t>COSTA AZUL</t>
  </si>
  <si>
    <t>S16</t>
  </si>
  <si>
    <t>NORMANDIA OCCIDENTAL 2</t>
  </si>
  <si>
    <t>S17</t>
  </si>
  <si>
    <t>FACA SANTANDER</t>
  </si>
  <si>
    <t>S18</t>
  </si>
  <si>
    <t>FUNZA ZUAME</t>
  </si>
  <si>
    <t>S31</t>
  </si>
  <si>
    <t>CHIPAQUE CENTRO</t>
  </si>
  <si>
    <t>S34</t>
  </si>
  <si>
    <t>FUSAGASUGA</t>
  </si>
  <si>
    <t>S70</t>
  </si>
  <si>
    <t>SILVANIA</t>
  </si>
  <si>
    <t>SA4</t>
  </si>
  <si>
    <t>ISIMO LOMAS</t>
  </si>
  <si>
    <t>SA5</t>
  </si>
  <si>
    <t>ISIMO EL TRÉBOL</t>
  </si>
  <si>
    <t>SA6</t>
  </si>
  <si>
    <t>ISIMO VARIANTE CELTA</t>
  </si>
  <si>
    <t>SB3</t>
  </si>
  <si>
    <t>ISIMO LA ESTACIÓN</t>
  </si>
  <si>
    <t>SB8</t>
  </si>
  <si>
    <t>ISIMO MONTANA</t>
  </si>
  <si>
    <t>SC0</t>
  </si>
  <si>
    <t>ISIMO DIVINO NIÑO</t>
  </si>
  <si>
    <t>SC2</t>
  </si>
  <si>
    <t>ISIMO VILLA SUAITA</t>
  </si>
  <si>
    <t>SC4</t>
  </si>
  <si>
    <t>ISIMO BRAVO PÁEZ</t>
  </si>
  <si>
    <t>SD3</t>
  </si>
  <si>
    <t>ISIMO TINTALITO</t>
  </si>
  <si>
    <t>SD4</t>
  </si>
  <si>
    <t>ISIMO LOS LIBERTADORES</t>
  </si>
  <si>
    <t>SE5</t>
  </si>
  <si>
    <t>MOLINOS</t>
  </si>
  <si>
    <t>SE8</t>
  </si>
  <si>
    <t>FUSAGASUGA BALMORAL</t>
  </si>
  <si>
    <t>C.O</t>
  </si>
  <si>
    <t>NOMBRE DE TIENDA</t>
  </si>
  <si>
    <t>S03</t>
  </si>
  <si>
    <t>SUBA VILLA GLORIA</t>
  </si>
  <si>
    <t>S04</t>
  </si>
  <si>
    <t>SUBA AURES 1</t>
  </si>
  <si>
    <t>S06</t>
  </si>
  <si>
    <t>CEDRO GOLF</t>
  </si>
  <si>
    <t>S07</t>
  </si>
  <si>
    <t>CEDROS</t>
  </si>
  <si>
    <t>S09</t>
  </si>
  <si>
    <t>SANTA TERESA</t>
  </si>
  <si>
    <t>S11</t>
  </si>
  <si>
    <t>UBATE JJ</t>
  </si>
  <si>
    <t>S15</t>
  </si>
  <si>
    <t>FONTIBON PLAZA</t>
  </si>
  <si>
    <t>S19</t>
  </si>
  <si>
    <t>POLO CLUB</t>
  </si>
  <si>
    <t>S20</t>
  </si>
  <si>
    <t>QUESADA</t>
  </si>
  <si>
    <t>S24</t>
  </si>
  <si>
    <t>JUAN REY</t>
  </si>
  <si>
    <t>S25</t>
  </si>
  <si>
    <t>LA VICTORIA</t>
  </si>
  <si>
    <t>S26</t>
  </si>
  <si>
    <t>OLARTE VILLA DEL RIO</t>
  </si>
  <si>
    <t>S27</t>
  </si>
  <si>
    <t>PARQUE LUIS CARLOS GALAN</t>
  </si>
  <si>
    <t>S29</t>
  </si>
  <si>
    <t>SAN CRISTOBAL SUR</t>
  </si>
  <si>
    <t>S30</t>
  </si>
  <si>
    <t>SANTA RITA</t>
  </si>
  <si>
    <t>S32</t>
  </si>
  <si>
    <t>SOACHA DESPENSA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</si>
  <si>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</si>
  <si>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</si>
  <si>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</si>
  <si>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</si>
  <si>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</si>
  <si>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</si>
  <si>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</si>
  <si>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</si>
  <si>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</si>
  <si>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</si>
  <si>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</si>
  <si>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</si>
  <si>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</si>
  <si>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</si>
  <si>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</si>
  <si>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</si>
  <si>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</si>
  <si>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</si>
  <si>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</si>
  <si>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</si>
  <si>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</si>
  <si>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</si>
  <si>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</si>
  <si>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</si>
  <si>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</si>
  <si>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</si>
  <si>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</si>
  <si>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</si>
  <si>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</si>
  <si>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</si>
  <si>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</si>
  <si>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</si>
  <si>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</si>
  <si>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</si>
  <si>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</si>
  <si>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</si>
  <si>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</si>
  <si>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</si>
  <si>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</si>
  <si>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</si>
  <si>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</si>
  <si>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</si>
  <si>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</si>
  <si>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</si>
  <si>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</si>
  <si>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</si>
  <si>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</si>
  <si>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MODELIA</t>
  </si>
  <si>
    <t>S97</t>
  </si>
  <si>
    <t>SAN VICENTE FERRER</t>
  </si>
  <si>
    <t>S98</t>
  </si>
  <si>
    <t>VILLA GLADYS</t>
  </si>
  <si>
    <t>SA0</t>
  </si>
  <si>
    <t>ISIMO BOGOTÁ SAN FRANCISCO</t>
  </si>
  <si>
    <t>SA1</t>
  </si>
  <si>
    <t>ISIMO SAN BLAS</t>
  </si>
  <si>
    <t>SA2</t>
  </si>
  <si>
    <t>ISIMO SUBA FONTANAR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</si>
  <si>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</si>
  <si>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</si>
  <si>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</si>
  <si>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</si>
  <si>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</si>
  <si>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</si>
  <si>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</si>
  <si>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</si>
  <si>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</si>
  <si>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</si>
  <si>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</si>
  <si>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</si>
  <si>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</si>
  <si>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</si>
  <si>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</si>
  <si>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</si>
  <si>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</si>
  <si>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LIJACÁ</t>
  </si>
  <si>
    <t>SB9</t>
  </si>
  <si>
    <t>ISIMO EL CAMPIN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</si>
  <si>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</si>
  <si>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</si>
  <si>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</si>
  <si>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</si>
  <si>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</si>
  <si>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</si>
  <si>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</si>
  <si>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</si>
  <si>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</si>
  <si>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</si>
  <si>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</si>
  <si>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</si>
  <si>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</si>
  <si>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</si>
  <si>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</si>
  <si>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</si>
  <si>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</si>
  <si>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</si>
  <si>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</si>
  <si>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</si>
  <si>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</si>
  <si>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</si>
  <si>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</si>
  <si>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</si>
  <si>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</si>
  <si>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</si>
  <si>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</si>
  <si>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</si>
  <si>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</si>
  <si>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</si>
  <si>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</si>
  <si>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</si>
  <si>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</si>
  <si>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</si>
  <si>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</si>
  <si>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LEON XIII</t>
  </si>
  <si>
    <t>SE6</t>
  </si>
  <si>
    <t>ISIMO LUCERO SUR</t>
  </si>
  <si>
    <t>SE7</t>
  </si>
  <si>
    <t>SUBA CRA 91</t>
  </si>
  <si>
    <t>pedido</t>
  </si>
  <si>
    <t>SOACHA LEON 13</t>
  </si>
  <si>
    <t>Tienda</t>
  </si>
  <si>
    <t>SE9</t>
  </si>
  <si>
    <t>ISIMO CHIA CHILACOS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</si>
</sst>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indexed="8"/>
      <name val="Verdana"/>
      <family val="2"/>
    </font>
    <font>
      <sz val="8"/>
      <color indexed="8"/>
      <name val="Arial"/>
      <family val="2"/>
    </font>
    <font>
      <u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DE4FD0-6053-4A48-914B-A9F79C9F52CE}" name="Tabla1" displayName="Tabla1" ref="A1:C88" totalsRowShown="0">
  <sortState xmlns:xlrd2="http://schemas.microsoft.com/office/spreadsheetml/2017/richdata2" ref="A2:C88">
    <sortCondition ref="A1:A88"/>
  </sortState>
  <tableColumns count="3">
    <tableColumn id="1" xr3:uid="{57C1ACB9-AD72-41C0-882D-3CE5C3B72EBF}" name="C.O"/>
    <tableColumn id="2" xr3:uid="{C89CC86B-3EE2-4382-98A0-EF1082506D84}" name="NOMBRE DE TIENDA"/>
    <tableColumn id="3" xr3:uid="{248D4DDA-4409-4D64-A5AA-6829F0411753}" name="pedido" dataDxfId="1">
      <calculatedColumnFormula>_xlfn.XLOOKUP(Tabla1[[#This Row],[C.O]],Tabla2[C.O],Tabla2[NOMBRE DE TIENDA],"HOY",0,1)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A85607-F67F-4E45-A136-85B63C58B0B1}" name="Tabla2" displayName="Tabla2" ref="F1:H29" totalsRowShown="0">
  <autoFilter ref="F1:H29" xr:uid="{EBA85607-F67F-4E45-A136-85B63C58B0B1}"/>
  <sortState xmlns:xlrd2="http://schemas.microsoft.com/office/spreadsheetml/2017/richdata2" ref="F2:H29">
    <sortCondition ref="F1:F29"/>
  </sortState>
  <tableColumns count="3">
    <tableColumn id="1" xr3:uid="{7BFF6C93-E1DF-41B6-9484-21983B054301}" name="C.O"/>
    <tableColumn id="2" xr3:uid="{1438B45E-CB11-4AED-A5F7-32FA6E0664D8}" name="NOMBRE DE TIENDA"/>
    <tableColumn id="3" xr3:uid="{355FDDDD-4B17-4E23-B192-59AE0505A3B6}" name="Tienda" dataDxfId="0">
      <calculatedColumnFormula>_xlfn.XLOOKUP(Tabla2[[#This Row],[C.O]],Tabla1[C.O],Tabla1[C.O],,0,1)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3"/>
  <sheetViews>
    <sheetView tabSelected="1" workbookViewId="0">
      <pane ySplit="1" topLeftCell="A2" activePane="bottomLeft" state="frozen"/>
      <selection pane="bottomLeft" activeCell="B7" sqref="B7"/>
    </sheetView>
  </sheetViews>
  <sheetFormatPr baseColWidth="10" defaultColWidth="13.5703125" defaultRowHeight="14.25" customHeight="1" x14ac:dyDescent="0.2"/>
  <cols>
    <col min="1" max="1" width="24" style="2" bestFit="1" customWidth="1"/>
    <col min="2" max="2" width="24.42578125" style="2" bestFit="1" customWidth="1"/>
    <col min="3" max="16384" width="13.5703125" style="2"/>
  </cols>
  <sheetData>
    <row r="1" spans="1:5" ht="14.25" customHeight="1" x14ac:dyDescent="0.2">
      <c r="A1" s="1" t="s">
        <v>0</v>
      </c>
    </row>
    <row r="2" spans="1:5" ht="14.25" customHeight="1" x14ac:dyDescent="0.2">
      <c r="A2" s="3" t="s">
        <v>1</v>
      </c>
      <c r="B2" s="3" t="s">
        <v>2</v>
      </c>
    </row>
    <row r="3" spans="1:5" ht="14.25" customHeight="1" x14ac:dyDescent="0.2">
      <c r="A3" s="3" t="s">
        <v>17</v>
      </c>
      <c r="B3" s="3" t="s">
        <v>18</v>
      </c>
    </row>
    <row r="4" spans="1:5" ht="14.25" customHeight="1" x14ac:dyDescent="0.2">
      <c r="A4" s="4" t="s">
        <v>21</v>
      </c>
      <c r="B4" s="3" t="s">
        <v>22</v>
      </c>
    </row>
    <row r="5" spans="1:5" ht="14.25" customHeight="1" x14ac:dyDescent="0.2">
      <c r="A5" s="4" t="s">
        <v>23</v>
      </c>
      <c r="B5" s="3" t="s">
        <v>24</v>
      </c>
    </row>
    <row r="6" spans="1:5" ht="14.25" customHeight="1" x14ac:dyDescent="0.2">
      <c r="A6" s="4" t="s">
        <v>29</v>
      </c>
      <c r="B6" s="3" t="s">
        <v>30</v>
      </c>
    </row>
    <row r="7" spans="1:5" ht="14.25" customHeight="1" x14ac:dyDescent="0.2">
      <c r="A7" s="3" t="s">
        <v>31</v>
      </c>
      <c r="B7" s="3" t="s">
        <v>32</v>
      </c>
    </row>
    <row r="8" spans="1:5" ht="14.25" customHeight="1" x14ac:dyDescent="0.2">
      <c r="A8" s="3" t="s">
        <v>33</v>
      </c>
      <c r="B8" s="3" t="s">
        <v>34</v>
      </c>
    </row>
    <row r="9" spans="1:5" ht="14.25" customHeight="1" x14ac:dyDescent="0.2">
      <c r="A9" s="3" t="s">
        <v>35</v>
      </c>
      <c r="B9" s="3" t="s">
        <v>36</v>
      </c>
    </row>
    <row r="10" spans="1:5" ht="14.25" customHeight="1" x14ac:dyDescent="0.2">
      <c r="A10" s="4" t="s">
        <v>3</v>
      </c>
      <c r="B10" s="3" t="s">
        <v>4</v>
      </c>
      <c r="C10" s="5"/>
    </row>
    <row r="13" spans="1:5" ht="14.25" customHeight="1" x14ac:dyDescent="0.2">
      <c r="E13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40482-0B25-40E0-96DF-B71BC3168C4C}">
  <dimension ref="A1:J88"/>
  <sheetViews>
    <sheetView workbookViewId="0">
      <selection activeCell="F2" sqref="F2:G29"/>
    </sheetView>
  </sheetViews>
  <sheetFormatPr baseColWidth="10" defaultRowHeight="10.5" x14ac:dyDescent="0.15"/>
  <cols>
    <col min="1" max="1" width="6.28515625" bestFit="1" customWidth="1"/>
    <col min="2" max="2" width="30.42578125" bestFit="1" customWidth="1"/>
    <col min="7" max="7" width="21.140625" customWidth="1"/>
  </cols>
  <sheetData>
    <row r="1" spans="1:10" x14ac:dyDescent="0.15">
      <c r="A1" t="s">
        <v>41</v>
      </c>
      <c r="B1" t="s">
        <v>42</v>
      </c>
      <c r="C1" t="s">
        <v>193</v>
      </c>
      <c r="F1" t="s">
        <v>41</v>
      </c>
      <c r="G1" t="s">
        <v>42</v>
      </c>
      <c r="H1" t="s">
        <v>195</v>
      </c>
    </row>
    <row r="2" spans="1:10" x14ac:dyDescent="0.15">
      <c r="A2" t="s">
        <v>43</v>
      </c>
      <c r="B2" t="s">
        <v>44</v>
      </c>
      <c r="C2" t="str">
        <f>_xlfn.XLOOKUP(Tabla1[[#This Row],[C.O]],Tabla2[C.O],Tabla2[NOMBRE DE TIENDA],"HOY",0,1)</f>
        <v>HOY</v>
      </c>
      <c r="F2" t="s">
        <v>53</v>
      </c>
      <c r="G2" t="s">
        <v>54</v>
      </c>
      <c r="H2" t="str">
        <f>_xlfn.XLOOKUP(Tabla2[[#This Row],[C.O]],Tabla1[C.O],Tabla1[C.O],,0,1)</f>
        <v>S11</v>
      </c>
      <c r="J2" t="s">
        <v>164</v>
      </c>
    </row>
    <row r="3" spans="1:10" x14ac:dyDescent="0.15">
      <c r="A3" t="s">
        <v>45</v>
      </c>
      <c r="B3" t="s">
        <v>46</v>
      </c>
      <c r="C3" t="str">
        <f>_xlfn.XLOOKUP(Tabla1[[#This Row],[C.O]],Tabla2[C.O],Tabla2[NOMBRE DE TIENDA],"HOY",0,1)</f>
        <v>HOY</v>
      </c>
      <c r="F3" t="s">
        <v>55</v>
      </c>
      <c r="G3" t="s">
        <v>56</v>
      </c>
      <c r="H3" t="str">
        <f>_xlfn.XLOOKUP(Tabla2[[#This Row],[C.O]],Tabla1[C.O],Tabla1[C.O],,0,1)</f>
        <v>S15</v>
      </c>
      <c r="J3" t="s">
        <v>12</v>
      </c>
    </row>
    <row r="4" spans="1:10" x14ac:dyDescent="0.15">
      <c r="A4" t="s">
        <v>47</v>
      </c>
      <c r="B4" t="s">
        <v>48</v>
      </c>
      <c r="C4" t="str">
        <f>_xlfn.XLOOKUP(Tabla1[[#This Row],[C.O]],Tabla2[C.O],Tabla2[NOMBRE DE TIENDA],"HOY",0,1)</f>
        <v>HOY</v>
      </c>
      <c r="F4" t="s">
        <v>65</v>
      </c>
      <c r="G4" t="s">
        <v>66</v>
      </c>
      <c r="H4" t="str">
        <f>_xlfn.XLOOKUP(Tabla2[[#This Row],[C.O]],Tabla1[C.O],Tabla1[C.O],,0,1)</f>
        <v>S26</v>
      </c>
      <c r="J4" t="s">
        <v>104</v>
      </c>
    </row>
    <row r="5" spans="1:10" x14ac:dyDescent="0.15">
      <c r="A5" t="s">
        <v>49</v>
      </c>
      <c r="B5" t="s">
        <v>50</v>
      </c>
      <c r="C5" t="str">
        <f>_xlfn.XLOOKUP(Tabla1[[#This Row],[C.O]],Tabla2[C.O],Tabla2[NOMBRE DE TIENDA],"HOY",0,1)</f>
        <v>HOY</v>
      </c>
      <c r="F5" t="s">
        <v>11</v>
      </c>
      <c r="G5" t="s">
        <v>12</v>
      </c>
      <c r="H5" t="str">
        <f>_xlfn.XLOOKUP(Tabla2[[#This Row],[C.O]],Tabla1[C.O],Tabla1[C.O],,0,1)</f>
        <v>S31</v>
      </c>
      <c r="J5" t="s">
        <v>108</v>
      </c>
    </row>
    <row r="6" spans="1:10" x14ac:dyDescent="0.15">
      <c r="A6" t="s">
        <v>51</v>
      </c>
      <c r="B6" t="s">
        <v>52</v>
      </c>
      <c r="C6" t="str">
        <f>_xlfn.XLOOKUP(Tabla1[[#This Row],[C.O]],Tabla2[C.O],Tabla2[NOMBRE DE TIENDA],"HOY",0,1)</f>
        <v>HOY</v>
      </c>
      <c r="F6" t="s">
        <v>73</v>
      </c>
      <c r="G6" t="s">
        <v>74</v>
      </c>
      <c r="H6" t="str">
        <f>_xlfn.XLOOKUP(Tabla2[[#This Row],[C.O]],Tabla1[C.O],Tabla1[C.O],,0,1)</f>
        <v>S32</v>
      </c>
      <c r="J6" t="s">
        <v>74</v>
      </c>
    </row>
    <row r="7" spans="1:10" x14ac:dyDescent="0.15">
      <c r="A7" t="s">
        <v>53</v>
      </c>
      <c r="B7" t="s">
        <v>54</v>
      </c>
      <c r="C7" t="str">
        <f>_xlfn.XLOOKUP(Tabla1[[#This Row],[C.O]],Tabla2[C.O],Tabla2[NOMBRE DE TIENDA],"HOY",0,1)</f>
        <v>UBATE JJ</v>
      </c>
      <c r="F7" t="s">
        <v>13</v>
      </c>
      <c r="G7" t="s">
        <v>14</v>
      </c>
      <c r="H7" t="str">
        <f>_xlfn.XLOOKUP(Tabla2[[#This Row],[C.O]],Tabla1[C.O],Tabla1[C.O],,0,1)</f>
        <v>S34</v>
      </c>
      <c r="J7" t="s">
        <v>168</v>
      </c>
    </row>
    <row r="8" spans="1:10" x14ac:dyDescent="0.15">
      <c r="A8" t="s">
        <v>55</v>
      </c>
      <c r="B8" t="s">
        <v>56</v>
      </c>
      <c r="C8" t="str">
        <f>_xlfn.XLOOKUP(Tabla1[[#This Row],[C.O]],Tabla2[C.O],Tabla2[NOMBRE DE TIENDA],"HOY",0,1)</f>
        <v>FONTIBON PLAZA</v>
      </c>
      <c r="F8" t="s">
        <v>75</v>
      </c>
      <c r="G8" t="s">
        <v>76</v>
      </c>
      <c r="H8" t="str">
        <f>_xlfn.XLOOKUP(Tabla2[[#This Row],[C.O]],Tabla1[C.O],Tabla1[C.O],,0,1)</f>
        <v>S53</v>
      </c>
      <c r="J8" t="s">
        <v>14</v>
      </c>
    </row>
    <row r="9" spans="1:10" x14ac:dyDescent="0.15">
      <c r="A9" t="s">
        <v>5</v>
      </c>
      <c r="B9" t="s">
        <v>6</v>
      </c>
      <c r="C9" t="str">
        <f>_xlfn.XLOOKUP(Tabla1[[#This Row],[C.O]],Tabla2[C.O],Tabla2[NOMBRE DE TIENDA],"HOY",0,1)</f>
        <v>HOY</v>
      </c>
      <c r="F9" t="s">
        <v>83</v>
      </c>
      <c r="G9" t="s">
        <v>84</v>
      </c>
      <c r="H9" t="str">
        <f>_xlfn.XLOOKUP(Tabla2[[#This Row],[C.O]],Tabla1[C.O],Tabla1[C.O],,0,1)</f>
        <v>S59</v>
      </c>
      <c r="J9" t="s">
        <v>16</v>
      </c>
    </row>
    <row r="10" spans="1:10" x14ac:dyDescent="0.15">
      <c r="A10" t="s">
        <v>7</v>
      </c>
      <c r="B10" t="s">
        <v>8</v>
      </c>
      <c r="C10" t="str">
        <f>_xlfn.XLOOKUP(Tabla1[[#This Row],[C.O]],Tabla2[C.O],Tabla2[NOMBRE DE TIENDA],"HOY",0,1)</f>
        <v>HOY</v>
      </c>
      <c r="F10" t="s">
        <v>15</v>
      </c>
      <c r="G10" t="s">
        <v>16</v>
      </c>
      <c r="H10" t="str">
        <f>_xlfn.XLOOKUP(Tabla2[[#This Row],[C.O]],Tabla1[C.O],Tabla1[C.O],,0,1)</f>
        <v>S70</v>
      </c>
      <c r="J10" t="s">
        <v>84</v>
      </c>
    </row>
    <row r="11" spans="1:10" x14ac:dyDescent="0.15">
      <c r="A11" t="s">
        <v>9</v>
      </c>
      <c r="B11" t="s">
        <v>10</v>
      </c>
      <c r="C11" t="str">
        <f>_xlfn.XLOOKUP(Tabla1[[#This Row],[C.O]],Tabla2[C.O],Tabla2[NOMBRE DE TIENDA],"HOY",0,1)</f>
        <v>HOY</v>
      </c>
      <c r="F11" t="s">
        <v>103</v>
      </c>
      <c r="G11" t="s">
        <v>104</v>
      </c>
      <c r="H11" t="str">
        <f>_xlfn.XLOOKUP(Tabla2[[#This Row],[C.O]],Tabla1[C.O],Tabla1[C.O],,0,1)</f>
        <v>S79</v>
      </c>
      <c r="J11" t="s">
        <v>182</v>
      </c>
    </row>
    <row r="12" spans="1:10" x14ac:dyDescent="0.15">
      <c r="A12" t="s">
        <v>57</v>
      </c>
      <c r="B12" t="s">
        <v>58</v>
      </c>
      <c r="C12" t="str">
        <f>_xlfn.XLOOKUP(Tabla1[[#This Row],[C.O]],Tabla2[C.O],Tabla2[NOMBRE DE TIENDA],"HOY",0,1)</f>
        <v>HOY</v>
      </c>
      <c r="F12" t="s">
        <v>105</v>
      </c>
      <c r="G12" t="s">
        <v>106</v>
      </c>
      <c r="H12" t="str">
        <f>_xlfn.XLOOKUP(Tabla2[[#This Row],[C.O]],Tabla1[C.O],Tabla1[C.O],,0,1)</f>
        <v>S80</v>
      </c>
      <c r="J12" t="s">
        <v>180</v>
      </c>
    </row>
    <row r="13" spans="1:10" x14ac:dyDescent="0.15">
      <c r="A13" t="s">
        <v>59</v>
      </c>
      <c r="B13" t="s">
        <v>60</v>
      </c>
      <c r="C13" t="str">
        <f>_xlfn.XLOOKUP(Tabla1[[#This Row],[C.O]],Tabla2[C.O],Tabla2[NOMBRE DE TIENDA],"HOY",0,1)</f>
        <v>HOY</v>
      </c>
      <c r="F13" t="s">
        <v>107</v>
      </c>
      <c r="G13" t="s">
        <v>108</v>
      </c>
      <c r="H13" t="str">
        <f>_xlfn.XLOOKUP(Tabla2[[#This Row],[C.O]],Tabla1[C.O],Tabla1[C.O],,0,1)</f>
        <v>S82</v>
      </c>
      <c r="J13" t="s">
        <v>136</v>
      </c>
    </row>
    <row r="14" spans="1:10" x14ac:dyDescent="0.15">
      <c r="A14" t="s">
        <v>61</v>
      </c>
      <c r="B14" t="s">
        <v>62</v>
      </c>
      <c r="C14" t="str">
        <f>_xlfn.XLOOKUP(Tabla1[[#This Row],[C.O]],Tabla2[C.O],Tabla2[NOMBRE DE TIENDA],"HOY",0,1)</f>
        <v>HOY</v>
      </c>
      <c r="F14" t="s">
        <v>111</v>
      </c>
      <c r="G14" t="s">
        <v>112</v>
      </c>
      <c r="H14" t="str">
        <f>_xlfn.XLOOKUP(Tabla2[[#This Row],[C.O]],Tabla1[C.O],Tabla1[C.O],,0,1)</f>
        <v>S86</v>
      </c>
      <c r="J14" t="s">
        <v>146</v>
      </c>
    </row>
    <row r="15" spans="1:10" x14ac:dyDescent="0.15">
      <c r="A15" t="s">
        <v>63</v>
      </c>
      <c r="B15" t="s">
        <v>64</v>
      </c>
      <c r="C15" t="str">
        <f>_xlfn.XLOOKUP(Tabla1[[#This Row],[C.O]],Tabla2[C.O],Tabla2[NOMBRE DE TIENDA],"HOY",0,1)</f>
        <v>HOY</v>
      </c>
      <c r="F15" t="s">
        <v>117</v>
      </c>
      <c r="G15" t="s">
        <v>118</v>
      </c>
      <c r="H15" t="str">
        <f>_xlfn.XLOOKUP(Tabla2[[#This Row],[C.O]],Tabla1[C.O],Tabla1[C.O],,0,1)</f>
        <v>S93</v>
      </c>
      <c r="J15" t="s">
        <v>112</v>
      </c>
    </row>
    <row r="16" spans="1:10" x14ac:dyDescent="0.15">
      <c r="A16" t="s">
        <v>65</v>
      </c>
      <c r="B16" t="s">
        <v>66</v>
      </c>
      <c r="C16" t="str">
        <f>_xlfn.XLOOKUP(Tabla1[[#This Row],[C.O]],Tabla2[C.O],Tabla2[NOMBRE DE TIENDA],"HOY",0,1)</f>
        <v>OLARTE VILLA DEL RIO</v>
      </c>
      <c r="F16" t="s">
        <v>121</v>
      </c>
      <c r="G16" t="s">
        <v>122</v>
      </c>
      <c r="H16" t="str">
        <f>_xlfn.XLOOKUP(Tabla2[[#This Row],[C.O]],Tabla1[C.O],Tabla1[C.O],,0,1)</f>
        <v>S96</v>
      </c>
      <c r="J16" t="s">
        <v>66</v>
      </c>
    </row>
    <row r="17" spans="1:10" x14ac:dyDescent="0.15">
      <c r="A17" t="s">
        <v>67</v>
      </c>
      <c r="B17" t="s">
        <v>68</v>
      </c>
      <c r="C17" t="str">
        <f>_xlfn.XLOOKUP(Tabla1[[#This Row],[C.O]],Tabla2[C.O],Tabla2[NOMBRE DE TIENDA],"HOY",0,1)</f>
        <v>HOY</v>
      </c>
      <c r="F17" t="s">
        <v>123</v>
      </c>
      <c r="G17" t="s">
        <v>124</v>
      </c>
      <c r="H17" t="str">
        <f>_xlfn.XLOOKUP(Tabla2[[#This Row],[C.O]],Tabla1[C.O],Tabla1[C.O],,0,1)</f>
        <v>S97</v>
      </c>
      <c r="J17" t="s">
        <v>106</v>
      </c>
    </row>
    <row r="18" spans="1:10" x14ac:dyDescent="0.15">
      <c r="A18" t="s">
        <v>69</v>
      </c>
      <c r="B18" t="s">
        <v>70</v>
      </c>
      <c r="C18" t="str">
        <f>_xlfn.XLOOKUP(Tabla1[[#This Row],[C.O]],Tabla2[C.O],Tabla2[NOMBRE DE TIENDA],"HOY",0,1)</f>
        <v>HOY</v>
      </c>
      <c r="F18" t="s">
        <v>135</v>
      </c>
      <c r="G18" t="s">
        <v>136</v>
      </c>
      <c r="H18" t="str">
        <f>_xlfn.XLOOKUP(Tabla2[[#This Row],[C.O]],Tabla1[C.O],Tabla1[C.O],,0,1)</f>
        <v>SA9</v>
      </c>
      <c r="J18" t="s">
        <v>138</v>
      </c>
    </row>
    <row r="19" spans="1:10" x14ac:dyDescent="0.15">
      <c r="A19" t="s">
        <v>71</v>
      </c>
      <c r="B19" t="s">
        <v>72</v>
      </c>
      <c r="C19" t="str">
        <f>_xlfn.XLOOKUP(Tabla1[[#This Row],[C.O]],Tabla2[C.O],Tabla2[NOMBRE DE TIENDA],"HOY",0,1)</f>
        <v>HOY</v>
      </c>
      <c r="F19" t="s">
        <v>137</v>
      </c>
      <c r="G19" t="s">
        <v>138</v>
      </c>
      <c r="H19" t="str">
        <f>_xlfn.XLOOKUP(Tabla2[[#This Row],[C.O]],Tabla1[C.O],Tabla1[C.O],,0,1)</f>
        <v>SB0</v>
      </c>
      <c r="J19" t="s">
        <v>142</v>
      </c>
    </row>
    <row r="20" spans="1:10" x14ac:dyDescent="0.15">
      <c r="A20" t="s">
        <v>11</v>
      </c>
      <c r="B20" t="s">
        <v>12</v>
      </c>
      <c r="C20" t="str">
        <f>_xlfn.XLOOKUP(Tabla1[[#This Row],[C.O]],Tabla2[C.O],Tabla2[NOMBRE DE TIENDA],"HOY",0,1)</f>
        <v>CHIPAQUE CENTRO</v>
      </c>
      <c r="F20" t="s">
        <v>139</v>
      </c>
      <c r="G20" t="s">
        <v>140</v>
      </c>
      <c r="H20" t="str">
        <f>_xlfn.XLOOKUP(Tabla2[[#This Row],[C.O]],Tabla1[C.O],Tabla1[C.O],,0,1)</f>
        <v>SB1</v>
      </c>
      <c r="J20" t="s">
        <v>76</v>
      </c>
    </row>
    <row r="21" spans="1:10" x14ac:dyDescent="0.15">
      <c r="A21" t="s">
        <v>73</v>
      </c>
      <c r="B21" t="s">
        <v>74</v>
      </c>
      <c r="C21" t="str">
        <f>_xlfn.XLOOKUP(Tabla1[[#This Row],[C.O]],Tabla2[C.O],Tabla2[NOMBRE DE TIENDA],"HOY",0,1)</f>
        <v>SOACHA DESPENSA</v>
      </c>
      <c r="F21" t="s">
        <v>141</v>
      </c>
      <c r="G21" t="s">
        <v>142</v>
      </c>
      <c r="H21" t="str">
        <f>_xlfn.XLOOKUP(Tabla2[[#This Row],[C.O]],Tabla1[C.O],Tabla1[C.O],,0,1)</f>
        <v>SB2</v>
      </c>
      <c r="J21" t="s">
        <v>56</v>
      </c>
    </row>
    <row r="22" spans="1:10" x14ac:dyDescent="0.15">
      <c r="A22" t="s">
        <v>13</v>
      </c>
      <c r="B22" t="s">
        <v>14</v>
      </c>
      <c r="C22" t="str">
        <f>_xlfn.XLOOKUP(Tabla1[[#This Row],[C.O]],Tabla2[C.O],Tabla2[NOMBRE DE TIENDA],"HOY",0,1)</f>
        <v>FUSAGASUGA</v>
      </c>
      <c r="F22" t="s">
        <v>145</v>
      </c>
      <c r="G22" t="s">
        <v>146</v>
      </c>
      <c r="H22" t="str">
        <f>_xlfn.XLOOKUP(Tabla2[[#This Row],[C.O]],Tabla1[C.O],Tabla1[C.O],,0,1)</f>
        <v>SB5</v>
      </c>
      <c r="J22" t="s">
        <v>124</v>
      </c>
    </row>
    <row r="23" spans="1:10" x14ac:dyDescent="0.15">
      <c r="A23" t="s">
        <v>75</v>
      </c>
      <c r="B23" t="s">
        <v>76</v>
      </c>
      <c r="C23" t="str">
        <f>_xlfn.XLOOKUP(Tabla1[[#This Row],[C.O]],Tabla2[C.O],Tabla2[NOMBRE DE TIENDA],"HOY",0,1)</f>
        <v>QUINTA PAREDES EMBAJADA</v>
      </c>
      <c r="F23" t="s">
        <v>147</v>
      </c>
      <c r="G23" t="s">
        <v>148</v>
      </c>
      <c r="H23" t="str">
        <f>_xlfn.XLOOKUP(Tabla2[[#This Row],[C.O]],Tabla1[C.O],Tabla1[C.O],,0,1)</f>
        <v>SB6</v>
      </c>
      <c r="J23" t="s">
        <v>194</v>
      </c>
    </row>
    <row r="24" spans="1:10" x14ac:dyDescent="0.15">
      <c r="A24" t="s">
        <v>77</v>
      </c>
      <c r="B24" t="s">
        <v>78</v>
      </c>
      <c r="C24" t="str">
        <f>_xlfn.XLOOKUP(Tabla1[[#This Row],[C.O]],Tabla2[C.O],Tabla2[NOMBRE DE TIENDA],"HOY",0,1)</f>
        <v>HOY</v>
      </c>
      <c r="F24" t="s">
        <v>151</v>
      </c>
      <c r="G24" t="s">
        <v>152</v>
      </c>
      <c r="H24" t="str">
        <f>_xlfn.XLOOKUP(Tabla2[[#This Row],[C.O]],Tabla1[C.O],Tabla1[C.O],,0,1)</f>
        <v>SB9</v>
      </c>
      <c r="J24" t="s">
        <v>152</v>
      </c>
    </row>
    <row r="25" spans="1:10" x14ac:dyDescent="0.15">
      <c r="A25" t="s">
        <v>79</v>
      </c>
      <c r="B25" t="s">
        <v>80</v>
      </c>
      <c r="C25" t="str">
        <f>_xlfn.XLOOKUP(Tabla1[[#This Row],[C.O]],Tabla2[C.O],Tabla2[NOMBRE DE TIENDA],"HOY",0,1)</f>
        <v>HOY</v>
      </c>
      <c r="F25" t="s">
        <v>163</v>
      </c>
      <c r="G25" t="s">
        <v>164</v>
      </c>
      <c r="H25" t="str">
        <f>_xlfn.XLOOKUP(Tabla2[[#This Row],[C.O]],Tabla1[C.O],Tabla1[C.O],,0,1)</f>
        <v>SC8</v>
      </c>
      <c r="J25" t="s">
        <v>122</v>
      </c>
    </row>
    <row r="26" spans="1:10" x14ac:dyDescent="0.15">
      <c r="A26" t="s">
        <v>81</v>
      </c>
      <c r="B26" t="s">
        <v>82</v>
      </c>
      <c r="C26" t="str">
        <f>_xlfn.XLOOKUP(Tabla1[[#This Row],[C.O]],Tabla2[C.O],Tabla2[NOMBRE DE TIENDA],"HOY",0,1)</f>
        <v>HOY</v>
      </c>
      <c r="F26" t="s">
        <v>167</v>
      </c>
      <c r="G26" t="s">
        <v>168</v>
      </c>
      <c r="H26" t="str">
        <f>_xlfn.XLOOKUP(Tabla2[[#This Row],[C.O]],Tabla1[C.O],Tabla1[C.O],,0,1)</f>
        <v>SD0</v>
      </c>
      <c r="J26" t="s">
        <v>140</v>
      </c>
    </row>
    <row r="27" spans="1:10" x14ac:dyDescent="0.15">
      <c r="A27" t="s">
        <v>83</v>
      </c>
      <c r="B27" t="s">
        <v>84</v>
      </c>
      <c r="C27" t="str">
        <f>_xlfn.XLOOKUP(Tabla1[[#This Row],[C.O]],Tabla2[C.O],Tabla2[NOMBRE DE TIENDA],"HOY",0,1)</f>
        <v>RESTREPO</v>
      </c>
      <c r="F27" t="s">
        <v>179</v>
      </c>
      <c r="G27" t="s">
        <v>180</v>
      </c>
      <c r="H27" t="str">
        <f>_xlfn.XLOOKUP(Tabla2[[#This Row],[C.O]],Tabla1[C.O],Tabla1[C.O],,0,1)</f>
        <v>SE0</v>
      </c>
      <c r="J27" t="s">
        <v>148</v>
      </c>
    </row>
    <row r="28" spans="1:10" x14ac:dyDescent="0.15">
      <c r="A28" t="s">
        <v>85</v>
      </c>
      <c r="B28" t="s">
        <v>86</v>
      </c>
      <c r="C28" t="str">
        <f>_xlfn.XLOOKUP(Tabla1[[#This Row],[C.O]],Tabla2[C.O],Tabla2[NOMBRE DE TIENDA],"HOY",0,1)</f>
        <v>HOY</v>
      </c>
      <c r="F28" t="s">
        <v>181</v>
      </c>
      <c r="G28" t="s">
        <v>182</v>
      </c>
      <c r="H28" t="str">
        <f>_xlfn.XLOOKUP(Tabla2[[#This Row],[C.O]],Tabla1[C.O],Tabla1[C.O],,0,1)</f>
        <v>SE1</v>
      </c>
      <c r="J28" t="s">
        <v>54</v>
      </c>
    </row>
    <row r="29" spans="1:10" x14ac:dyDescent="0.15">
      <c r="A29" t="s">
        <v>87</v>
      </c>
      <c r="B29" t="s">
        <v>88</v>
      </c>
      <c r="C29" t="str">
        <f>_xlfn.XLOOKUP(Tabla1[[#This Row],[C.O]],Tabla2[C.O],Tabla2[NOMBRE DE TIENDA],"HOY",0,1)</f>
        <v>HOY</v>
      </c>
      <c r="F29" t="s">
        <v>187</v>
      </c>
      <c r="G29" t="s">
        <v>194</v>
      </c>
      <c r="H29" t="str">
        <f>_xlfn.XLOOKUP(Tabla2[[#This Row],[C.O]],Tabla1[C.O],Tabla1[C.O],,0,1)</f>
        <v>SE4</v>
      </c>
      <c r="J29" t="s">
        <v>118</v>
      </c>
    </row>
    <row r="30" spans="1:10" x14ac:dyDescent="0.15">
      <c r="A30" t="s">
        <v>89</v>
      </c>
      <c r="B30" t="s">
        <v>90</v>
      </c>
      <c r="C30" t="str">
        <f>_xlfn.XLOOKUP(Tabla1[[#This Row],[C.O]],Tabla2[C.O],Tabla2[NOMBRE DE TIENDA],"HOY",0,1)</f>
        <v>HOY</v>
      </c>
      <c r="J30" t="s">
        <v>74</v>
      </c>
    </row>
    <row r="31" spans="1:10" x14ac:dyDescent="0.15">
      <c r="A31" t="s">
        <v>91</v>
      </c>
      <c r="B31" t="s">
        <v>92</v>
      </c>
      <c r="C31" t="str">
        <f>_xlfn.XLOOKUP(Tabla1[[#This Row],[C.O]],Tabla2[C.O],Tabla2[NOMBRE DE TIENDA],"HOY",0,1)</f>
        <v>HOY</v>
      </c>
    </row>
    <row r="32" spans="1:10" x14ac:dyDescent="0.15">
      <c r="A32" t="s">
        <v>15</v>
      </c>
      <c r="B32" t="s">
        <v>16</v>
      </c>
      <c r="C32" t="str">
        <f>_xlfn.XLOOKUP(Tabla1[[#This Row],[C.O]],Tabla2[C.O],Tabla2[NOMBRE DE TIENDA],"HOY",0,1)</f>
        <v>SILVANIA</v>
      </c>
    </row>
    <row r="33" spans="1:3" x14ac:dyDescent="0.15">
      <c r="A33" t="s">
        <v>93</v>
      </c>
      <c r="B33" t="s">
        <v>94</v>
      </c>
      <c r="C33" t="str">
        <f>_xlfn.XLOOKUP(Tabla1[[#This Row],[C.O]],Tabla2[C.O],Tabla2[NOMBRE DE TIENDA],"HOY",0,1)</f>
        <v>HOY</v>
      </c>
    </row>
    <row r="34" spans="1:3" x14ac:dyDescent="0.15">
      <c r="A34" t="s">
        <v>95</v>
      </c>
      <c r="B34" t="s">
        <v>96</v>
      </c>
      <c r="C34" t="str">
        <f>_xlfn.XLOOKUP(Tabla1[[#This Row],[C.O]],Tabla2[C.O],Tabla2[NOMBRE DE TIENDA],"HOY",0,1)</f>
        <v>HOY</v>
      </c>
    </row>
    <row r="35" spans="1:3" x14ac:dyDescent="0.15">
      <c r="A35" t="s">
        <v>97</v>
      </c>
      <c r="B35" t="s">
        <v>98</v>
      </c>
      <c r="C35" t="str">
        <f>_xlfn.XLOOKUP(Tabla1[[#This Row],[C.O]],Tabla2[C.O],Tabla2[NOMBRE DE TIENDA],"HOY",0,1)</f>
        <v>HOY</v>
      </c>
    </row>
    <row r="36" spans="1:3" x14ac:dyDescent="0.15">
      <c r="A36" t="s">
        <v>99</v>
      </c>
      <c r="B36" t="s">
        <v>100</v>
      </c>
      <c r="C36" t="str">
        <f>_xlfn.XLOOKUP(Tabla1[[#This Row],[C.O]],Tabla2[C.O],Tabla2[NOMBRE DE TIENDA],"HOY",0,1)</f>
        <v>HOY</v>
      </c>
    </row>
    <row r="37" spans="1:3" x14ac:dyDescent="0.15">
      <c r="A37" t="s">
        <v>101</v>
      </c>
      <c r="B37" t="s">
        <v>102</v>
      </c>
      <c r="C37" t="str">
        <f>_xlfn.XLOOKUP(Tabla1[[#This Row],[C.O]],Tabla2[C.O],Tabla2[NOMBRE DE TIENDA],"HOY",0,1)</f>
        <v>HOY</v>
      </c>
    </row>
    <row r="38" spans="1:3" x14ac:dyDescent="0.15">
      <c r="A38" t="s">
        <v>103</v>
      </c>
      <c r="B38" t="s">
        <v>104</v>
      </c>
      <c r="C38" t="str">
        <f>_xlfn.XLOOKUP(Tabla1[[#This Row],[C.O]],Tabla2[C.O],Tabla2[NOMBRE DE TIENDA],"HOY",0,1)</f>
        <v>USME PUEBLO</v>
      </c>
    </row>
    <row r="39" spans="1:3" x14ac:dyDescent="0.15">
      <c r="A39" t="s">
        <v>105</v>
      </c>
      <c r="B39" t="s">
        <v>106</v>
      </c>
      <c r="C39" t="str">
        <f>_xlfn.XLOOKUP(Tabla1[[#This Row],[C.O]],Tabla2[C.O],Tabla2[NOMBRE DE TIENDA],"HOY",0,1)</f>
        <v>ZIPAQUIRA PAZ</v>
      </c>
    </row>
    <row r="40" spans="1:3" x14ac:dyDescent="0.15">
      <c r="A40" t="s">
        <v>107</v>
      </c>
      <c r="B40" t="s">
        <v>108</v>
      </c>
      <c r="C40" t="str">
        <f>_xlfn.XLOOKUP(Tabla1[[#This Row],[C.O]],Tabla2[C.O],Tabla2[NOMBRE DE TIENDA],"HOY",0,1)</f>
        <v>SOACHA ESQUINA</v>
      </c>
    </row>
    <row r="41" spans="1:3" x14ac:dyDescent="0.15">
      <c r="A41" t="s">
        <v>109</v>
      </c>
      <c r="B41" t="s">
        <v>110</v>
      </c>
      <c r="C41" t="str">
        <f>_xlfn.XLOOKUP(Tabla1[[#This Row],[C.O]],Tabla2[C.O],Tabla2[NOMBRE DE TIENDA],"HOY",0,1)</f>
        <v>HOY</v>
      </c>
    </row>
    <row r="42" spans="1:3" x14ac:dyDescent="0.15">
      <c r="A42" t="s">
        <v>111</v>
      </c>
      <c r="B42" t="s">
        <v>112</v>
      </c>
      <c r="C42" t="str">
        <f>_xlfn.XLOOKUP(Tabla1[[#This Row],[C.O]],Tabla2[C.O],Tabla2[NOMBRE DE TIENDA],"HOY",0,1)</f>
        <v>CHUCUA</v>
      </c>
    </row>
    <row r="43" spans="1:3" x14ac:dyDescent="0.15">
      <c r="A43" t="s">
        <v>113</v>
      </c>
      <c r="B43" t="s">
        <v>114</v>
      </c>
      <c r="C43" t="str">
        <f>_xlfn.XLOOKUP(Tabla1[[#This Row],[C.O]],Tabla2[C.O],Tabla2[NOMBRE DE TIENDA],"HOY",0,1)</f>
        <v>HOY</v>
      </c>
    </row>
    <row r="44" spans="1:3" x14ac:dyDescent="0.15">
      <c r="A44" t="s">
        <v>115</v>
      </c>
      <c r="B44" t="s">
        <v>116</v>
      </c>
      <c r="C44" t="str">
        <f>_xlfn.XLOOKUP(Tabla1[[#This Row],[C.O]],Tabla2[C.O],Tabla2[NOMBRE DE TIENDA],"HOY",0,1)</f>
        <v>HOY</v>
      </c>
    </row>
    <row r="45" spans="1:3" x14ac:dyDescent="0.15">
      <c r="A45" t="s">
        <v>117</v>
      </c>
      <c r="B45" t="s">
        <v>118</v>
      </c>
      <c r="C45" t="str">
        <f>_xlfn.XLOOKUP(Tabla1[[#This Row],[C.O]],Tabla2[C.O],Tabla2[NOMBRE DE TIENDA],"HOY",0,1)</f>
        <v>SOPO CENTRO</v>
      </c>
    </row>
    <row r="46" spans="1:3" x14ac:dyDescent="0.15">
      <c r="A46" t="s">
        <v>119</v>
      </c>
      <c r="B46" t="s">
        <v>120</v>
      </c>
      <c r="C46" t="str">
        <f>_xlfn.XLOOKUP(Tabla1[[#This Row],[C.O]],Tabla2[C.O],Tabla2[NOMBRE DE TIENDA],"HOY",0,1)</f>
        <v>HOY</v>
      </c>
    </row>
    <row r="47" spans="1:3" x14ac:dyDescent="0.15">
      <c r="A47" t="s">
        <v>121</v>
      </c>
      <c r="B47" t="s">
        <v>122</v>
      </c>
      <c r="C47" t="str">
        <f>_xlfn.XLOOKUP(Tabla1[[#This Row],[C.O]],Tabla2[C.O],Tabla2[NOMBRE DE TIENDA],"HOY",0,1)</f>
        <v>MODELIA</v>
      </c>
    </row>
    <row r="48" spans="1:3" x14ac:dyDescent="0.15">
      <c r="A48" t="s">
        <v>123</v>
      </c>
      <c r="B48" t="s">
        <v>124</v>
      </c>
      <c r="C48" t="str">
        <f>_xlfn.XLOOKUP(Tabla1[[#This Row],[C.O]],Tabla2[C.O],Tabla2[NOMBRE DE TIENDA],"HOY",0,1)</f>
        <v>SAN VICENTE FERRER</v>
      </c>
    </row>
    <row r="49" spans="1:3" x14ac:dyDescent="0.15">
      <c r="A49" t="s">
        <v>125</v>
      </c>
      <c r="B49" t="s">
        <v>126</v>
      </c>
      <c r="C49" t="str">
        <f>_xlfn.XLOOKUP(Tabla1[[#This Row],[C.O]],Tabla2[C.O],Tabla2[NOMBRE DE TIENDA],"HOY",0,1)</f>
        <v>HOY</v>
      </c>
    </row>
    <row r="50" spans="1:3" x14ac:dyDescent="0.15">
      <c r="A50" t="s">
        <v>127</v>
      </c>
      <c r="B50" t="s">
        <v>128</v>
      </c>
      <c r="C50" t="str">
        <f>_xlfn.XLOOKUP(Tabla1[[#This Row],[C.O]],Tabla2[C.O],Tabla2[NOMBRE DE TIENDA],"HOY",0,1)</f>
        <v>HOY</v>
      </c>
    </row>
    <row r="51" spans="1:3" x14ac:dyDescent="0.15">
      <c r="A51" t="s">
        <v>129</v>
      </c>
      <c r="B51" t="s">
        <v>130</v>
      </c>
      <c r="C51" t="str">
        <f>_xlfn.XLOOKUP(Tabla1[[#This Row],[C.O]],Tabla2[C.O],Tabla2[NOMBRE DE TIENDA],"HOY",0,1)</f>
        <v>HOY</v>
      </c>
    </row>
    <row r="52" spans="1:3" x14ac:dyDescent="0.15">
      <c r="A52" t="s">
        <v>131</v>
      </c>
      <c r="B52" t="s">
        <v>132</v>
      </c>
      <c r="C52" t="str">
        <f>_xlfn.XLOOKUP(Tabla1[[#This Row],[C.O]],Tabla2[C.O],Tabla2[NOMBRE DE TIENDA],"HOY",0,1)</f>
        <v>HOY</v>
      </c>
    </row>
    <row r="53" spans="1:3" x14ac:dyDescent="0.15">
      <c r="A53" t="s">
        <v>19</v>
      </c>
      <c r="B53" t="s">
        <v>20</v>
      </c>
      <c r="C53" t="str">
        <f>_xlfn.XLOOKUP(Tabla1[[#This Row],[C.O]],Tabla2[C.O],Tabla2[NOMBRE DE TIENDA],"HOY",0,1)</f>
        <v>HOY</v>
      </c>
    </row>
    <row r="54" spans="1:3" x14ac:dyDescent="0.15">
      <c r="A54" t="s">
        <v>133</v>
      </c>
      <c r="B54" t="s">
        <v>134</v>
      </c>
      <c r="C54" t="str">
        <f>_xlfn.XLOOKUP(Tabla1[[#This Row],[C.O]],Tabla2[C.O],Tabla2[NOMBRE DE TIENDA],"HOY",0,1)</f>
        <v>HOY</v>
      </c>
    </row>
    <row r="55" spans="1:3" x14ac:dyDescent="0.15">
      <c r="A55" t="s">
        <v>135</v>
      </c>
      <c r="B55" t="s">
        <v>136</v>
      </c>
      <c r="C55" t="str">
        <f>_xlfn.XLOOKUP(Tabla1[[#This Row],[C.O]],Tabla2[C.O],Tabla2[NOMBRE DE TIENDA],"HOY",0,1)</f>
        <v>ISIMO INDEPENDENCIA</v>
      </c>
    </row>
    <row r="56" spans="1:3" x14ac:dyDescent="0.15">
      <c r="A56" t="s">
        <v>137</v>
      </c>
      <c r="B56" t="s">
        <v>138</v>
      </c>
      <c r="C56" t="str">
        <f>_xlfn.XLOOKUP(Tabla1[[#This Row],[C.O]],Tabla2[C.O],Tabla2[NOMBRE DE TIENDA],"HOY",0,1)</f>
        <v>ISIMO TOSCANA</v>
      </c>
    </row>
    <row r="57" spans="1:3" x14ac:dyDescent="0.15">
      <c r="A57" t="s">
        <v>139</v>
      </c>
      <c r="B57" t="s">
        <v>140</v>
      </c>
      <c r="C57" t="str">
        <f>_xlfn.XLOOKUP(Tabla1[[#This Row],[C.O]],Tabla2[C.O],Tabla2[NOMBRE DE TIENDA],"HOY",0,1)</f>
        <v>ISIMO ANILLO VIAL</v>
      </c>
    </row>
    <row r="58" spans="1:3" x14ac:dyDescent="0.15">
      <c r="A58" t="s">
        <v>141</v>
      </c>
      <c r="B58" t="s">
        <v>142</v>
      </c>
      <c r="C58" t="str">
        <f>_xlfn.XLOOKUP(Tabla1[[#This Row],[C.O]],Tabla2[C.O],Tabla2[NOMBRE DE TIENDA],"HOY",0,1)</f>
        <v>ISIMO ESMERALDA</v>
      </c>
    </row>
    <row r="59" spans="1:3" x14ac:dyDescent="0.15">
      <c r="A59" t="s">
        <v>143</v>
      </c>
      <c r="B59" t="s">
        <v>144</v>
      </c>
      <c r="C59" t="str">
        <f>_xlfn.XLOOKUP(Tabla1[[#This Row],[C.O]],Tabla2[C.O],Tabla2[NOMBRE DE TIENDA],"HOY",0,1)</f>
        <v>HOY</v>
      </c>
    </row>
    <row r="60" spans="1:3" x14ac:dyDescent="0.15">
      <c r="A60" t="s">
        <v>145</v>
      </c>
      <c r="B60" t="s">
        <v>146</v>
      </c>
      <c r="C60" t="str">
        <f>_xlfn.XLOOKUP(Tabla1[[#This Row],[C.O]],Tabla2[C.O],Tabla2[NOMBRE DE TIENDA],"HOY",0,1)</f>
        <v>ISIMO LA LIBERTAD</v>
      </c>
    </row>
    <row r="61" spans="1:3" x14ac:dyDescent="0.15">
      <c r="A61" t="s">
        <v>147</v>
      </c>
      <c r="B61" t="s">
        <v>148</v>
      </c>
      <c r="C61" t="str">
        <f>_xlfn.XLOOKUP(Tabla1[[#This Row],[C.O]],Tabla2[C.O],Tabla2[NOMBRE DE TIENDA],"HOY",0,1)</f>
        <v>ISIMO CALATRAVA</v>
      </c>
    </row>
    <row r="62" spans="1:3" x14ac:dyDescent="0.15">
      <c r="A62" t="s">
        <v>149</v>
      </c>
      <c r="B62" t="s">
        <v>150</v>
      </c>
      <c r="C62" t="str">
        <f>_xlfn.XLOOKUP(Tabla1[[#This Row],[C.O]],Tabla2[C.O],Tabla2[NOMBRE DE TIENDA],"HOY",0,1)</f>
        <v>HOY</v>
      </c>
    </row>
    <row r="63" spans="1:3" x14ac:dyDescent="0.15">
      <c r="A63" t="s">
        <v>25</v>
      </c>
      <c r="B63" t="s">
        <v>26</v>
      </c>
      <c r="C63" t="str">
        <f>_xlfn.XLOOKUP(Tabla1[[#This Row],[C.O]],Tabla2[C.O],Tabla2[NOMBRE DE TIENDA],"HOY",0,1)</f>
        <v>HOY</v>
      </c>
    </row>
    <row r="64" spans="1:3" x14ac:dyDescent="0.15">
      <c r="A64" t="s">
        <v>151</v>
      </c>
      <c r="B64" t="s">
        <v>152</v>
      </c>
      <c r="C64" t="str">
        <f>_xlfn.XLOOKUP(Tabla1[[#This Row],[C.O]],Tabla2[C.O],Tabla2[NOMBRE DE TIENDA],"HOY",0,1)</f>
        <v>ISIMO EL CAMPIN</v>
      </c>
    </row>
    <row r="65" spans="1:3" x14ac:dyDescent="0.15">
      <c r="A65" t="s">
        <v>27</v>
      </c>
      <c r="B65" t="s">
        <v>28</v>
      </c>
      <c r="C65" t="str">
        <f>_xlfn.XLOOKUP(Tabla1[[#This Row],[C.O]],Tabla2[C.O],Tabla2[NOMBRE DE TIENDA],"HOY",0,1)</f>
        <v>HOY</v>
      </c>
    </row>
    <row r="66" spans="1:3" x14ac:dyDescent="0.15">
      <c r="A66" t="s">
        <v>153</v>
      </c>
      <c r="B66" t="s">
        <v>154</v>
      </c>
      <c r="C66" t="str">
        <f>_xlfn.XLOOKUP(Tabla1[[#This Row],[C.O]],Tabla2[C.O],Tabla2[NOMBRE DE TIENDA],"HOY",0,1)</f>
        <v>HOY</v>
      </c>
    </row>
    <row r="67" spans="1:3" x14ac:dyDescent="0.15">
      <c r="A67" t="s">
        <v>155</v>
      </c>
      <c r="B67" t="s">
        <v>156</v>
      </c>
      <c r="C67" t="str">
        <f>_xlfn.XLOOKUP(Tabla1[[#This Row],[C.O]],Tabla2[C.O],Tabla2[NOMBRE DE TIENDA],"HOY",0,1)</f>
        <v>HOY</v>
      </c>
    </row>
    <row r="68" spans="1:3" x14ac:dyDescent="0.15">
      <c r="A68" t="s">
        <v>157</v>
      </c>
      <c r="B68" t="s">
        <v>158</v>
      </c>
      <c r="C68" t="str">
        <f>_xlfn.XLOOKUP(Tabla1[[#This Row],[C.O]],Tabla2[C.O],Tabla2[NOMBRE DE TIENDA],"HOY",0,1)</f>
        <v>HOY</v>
      </c>
    </row>
    <row r="69" spans="1:3" x14ac:dyDescent="0.15">
      <c r="A69" t="s">
        <v>159</v>
      </c>
      <c r="B69" t="s">
        <v>160</v>
      </c>
      <c r="C69" t="str">
        <f>_xlfn.XLOOKUP(Tabla1[[#This Row],[C.O]],Tabla2[C.O],Tabla2[NOMBRE DE TIENDA],"HOY",0,1)</f>
        <v>HOY</v>
      </c>
    </row>
    <row r="70" spans="1:3" x14ac:dyDescent="0.15">
      <c r="A70" t="s">
        <v>161</v>
      </c>
      <c r="B70" t="s">
        <v>162</v>
      </c>
      <c r="C70" t="str">
        <f>_xlfn.XLOOKUP(Tabla1[[#This Row],[C.O]],Tabla2[C.O],Tabla2[NOMBRE DE TIENDA],"HOY",0,1)</f>
        <v>HOY</v>
      </c>
    </row>
    <row r="71" spans="1:3" x14ac:dyDescent="0.15">
      <c r="A71" t="s">
        <v>163</v>
      </c>
      <c r="B71" t="s">
        <v>164</v>
      </c>
      <c r="C71" t="str">
        <f>_xlfn.XLOOKUP(Tabla1[[#This Row],[C.O]],Tabla2[C.O],Tabla2[NOMBRE DE TIENDA],"HOY",0,1)</f>
        <v>ISIMO MARCO FIDEL</v>
      </c>
    </row>
    <row r="72" spans="1:3" x14ac:dyDescent="0.15">
      <c r="A72" t="s">
        <v>165</v>
      </c>
      <c r="B72" t="s">
        <v>166</v>
      </c>
      <c r="C72" t="str">
        <f>_xlfn.XLOOKUP(Tabla1[[#This Row],[C.O]],Tabla2[C.O],Tabla2[NOMBRE DE TIENDA],"HOY",0,1)</f>
        <v>HOY</v>
      </c>
    </row>
    <row r="73" spans="1:3" x14ac:dyDescent="0.15">
      <c r="A73" t="s">
        <v>167</v>
      </c>
      <c r="B73" t="s">
        <v>168</v>
      </c>
      <c r="C73" t="str">
        <f>_xlfn.XLOOKUP(Tabla1[[#This Row],[C.O]],Tabla2[C.O],Tabla2[NOMBRE DE TIENDA],"HOY",0,1)</f>
        <v>ISIMO VILLA ESPERANZA</v>
      </c>
    </row>
    <row r="74" spans="1:3" x14ac:dyDescent="0.15">
      <c r="A74" t="s">
        <v>169</v>
      </c>
      <c r="B74" t="s">
        <v>170</v>
      </c>
      <c r="C74" t="str">
        <f>_xlfn.XLOOKUP(Tabla1[[#This Row],[C.O]],Tabla2[C.O],Tabla2[NOMBRE DE TIENDA],"HOY",0,1)</f>
        <v>HOY</v>
      </c>
    </row>
    <row r="75" spans="1:3" x14ac:dyDescent="0.15">
      <c r="A75" t="s">
        <v>171</v>
      </c>
      <c r="B75" t="s">
        <v>172</v>
      </c>
      <c r="C75" t="str">
        <f>_xlfn.XLOOKUP(Tabla1[[#This Row],[C.O]],Tabla2[C.O],Tabla2[NOMBRE DE TIENDA],"HOY",0,1)</f>
        <v>HOY</v>
      </c>
    </row>
    <row r="76" spans="1:3" x14ac:dyDescent="0.15">
      <c r="A76" t="s">
        <v>173</v>
      </c>
      <c r="B76" t="s">
        <v>174</v>
      </c>
      <c r="C76" t="str">
        <f>_xlfn.XLOOKUP(Tabla1[[#This Row],[C.O]],Tabla2[C.O],Tabla2[NOMBRE DE TIENDA],"HOY",0,1)</f>
        <v>HOY</v>
      </c>
    </row>
    <row r="77" spans="1:3" x14ac:dyDescent="0.15">
      <c r="A77" t="s">
        <v>175</v>
      </c>
      <c r="B77" t="s">
        <v>176</v>
      </c>
      <c r="C77" t="str">
        <f>_xlfn.XLOOKUP(Tabla1[[#This Row],[C.O]],Tabla2[C.O],Tabla2[NOMBRE DE TIENDA],"HOY",0,1)</f>
        <v>HOY</v>
      </c>
    </row>
    <row r="78" spans="1:3" x14ac:dyDescent="0.15">
      <c r="A78" t="s">
        <v>177</v>
      </c>
      <c r="B78" t="s">
        <v>178</v>
      </c>
      <c r="C78" t="str">
        <f>_xlfn.XLOOKUP(Tabla1[[#This Row],[C.O]],Tabla2[C.O],Tabla2[NOMBRE DE TIENDA],"HOY",0,1)</f>
        <v>HOY</v>
      </c>
    </row>
    <row r="79" spans="1:3" x14ac:dyDescent="0.15">
      <c r="A79" t="s">
        <v>179</v>
      </c>
      <c r="B79" t="s">
        <v>180</v>
      </c>
      <c r="C79" t="str">
        <f>_xlfn.XLOOKUP(Tabla1[[#This Row],[C.O]],Tabla2[C.O],Tabla2[NOMBRE DE TIENDA],"HOY",0,1)</f>
        <v>ISIMO MALL SANTA CRUZ</v>
      </c>
    </row>
    <row r="80" spans="1:3" x14ac:dyDescent="0.15">
      <c r="A80" t="s">
        <v>181</v>
      </c>
      <c r="B80" t="s">
        <v>182</v>
      </c>
      <c r="C80" t="str">
        <f>_xlfn.XLOOKUP(Tabla1[[#This Row],[C.O]],Tabla2[C.O],Tabla2[NOMBRE DE TIENDA],"HOY",0,1)</f>
        <v>ISIMO RESTREPO OCCIDENTAL</v>
      </c>
    </row>
    <row r="81" spans="1:3" x14ac:dyDescent="0.15">
      <c r="A81" t="s">
        <v>183</v>
      </c>
      <c r="B81" t="s">
        <v>184</v>
      </c>
      <c r="C81" t="str">
        <f>_xlfn.XLOOKUP(Tabla1[[#This Row],[C.O]],Tabla2[C.O],Tabla2[NOMBRE DE TIENDA],"HOY",0,1)</f>
        <v>HOY</v>
      </c>
    </row>
    <row r="82" spans="1:3" x14ac:dyDescent="0.15">
      <c r="A82" t="s">
        <v>185</v>
      </c>
      <c r="B82" t="s">
        <v>186</v>
      </c>
      <c r="C82" t="str">
        <f>_xlfn.XLOOKUP(Tabla1[[#This Row],[C.O]],Tabla2[C.O],Tabla2[NOMBRE DE TIENDA],"HOY",0,1)</f>
        <v>HOY</v>
      </c>
    </row>
    <row r="83" spans="1:3" x14ac:dyDescent="0.15">
      <c r="A83" t="s">
        <v>187</v>
      </c>
      <c r="B83" t="s">
        <v>188</v>
      </c>
      <c r="C83" t="str">
        <f>_xlfn.XLOOKUP(Tabla1[[#This Row],[C.O]],Tabla2[C.O],Tabla2[NOMBRE DE TIENDA],"HOY",0,1)</f>
        <v>SOACHA LEON 13</v>
      </c>
    </row>
    <row r="84" spans="1:3" x14ac:dyDescent="0.15">
      <c r="A84" t="s">
        <v>37</v>
      </c>
      <c r="B84" t="s">
        <v>38</v>
      </c>
      <c r="C84" t="str">
        <f>_xlfn.XLOOKUP(Tabla1[[#This Row],[C.O]],Tabla2[C.O],Tabla2[NOMBRE DE TIENDA],"HOY",0,1)</f>
        <v>HOY</v>
      </c>
    </row>
    <row r="85" spans="1:3" x14ac:dyDescent="0.15">
      <c r="A85" t="s">
        <v>189</v>
      </c>
      <c r="B85" t="s">
        <v>190</v>
      </c>
      <c r="C85" t="str">
        <f>_xlfn.XLOOKUP(Tabla1[[#This Row],[C.O]],Tabla2[C.O],Tabla2[NOMBRE DE TIENDA],"HOY",0,1)</f>
        <v>HOY</v>
      </c>
    </row>
    <row r="86" spans="1:3" x14ac:dyDescent="0.15">
      <c r="A86" t="s">
        <v>191</v>
      </c>
      <c r="B86" t="s">
        <v>192</v>
      </c>
      <c r="C86" t="str">
        <f>_xlfn.XLOOKUP(Tabla1[[#This Row],[C.O]],Tabla2[C.O],Tabla2[NOMBRE DE TIENDA],"HOY",0,1)</f>
        <v>HOY</v>
      </c>
    </row>
    <row r="87" spans="1:3" x14ac:dyDescent="0.15">
      <c r="A87" t="s">
        <v>39</v>
      </c>
      <c r="B87" t="s">
        <v>40</v>
      </c>
      <c r="C87" t="str">
        <f>_xlfn.XLOOKUP(Tabla1[[#This Row],[C.O]],Tabla2[C.O],Tabla2[NOMBRE DE TIENDA],"HOY",0,1)</f>
        <v>HOY</v>
      </c>
    </row>
    <row r="88" spans="1:3" x14ac:dyDescent="0.15">
      <c r="A88" t="s">
        <v>196</v>
      </c>
      <c r="B88" t="s">
        <v>197</v>
      </c>
      <c r="C88" t="str">
        <f>_xlfn.XLOOKUP(Tabla1[[#This Row],[C.O]],Tabla2[C.O],Tabla2[NOMBRE DE TIENDA],"HOY",0,1)</f>
        <v>HOY</v>
      </c>
    </row>
  </sheetData>
  <pageMargins left="0.7" right="0.7" top="0.75" bottom="0.75" header="0.3" footer="0.3"/>
  <pageSetup orientation="portrait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David Fernando Serrato Ruiz</cp:lastModifiedBy>
  <dcterms:created xsi:type="dcterms:W3CDTF">2026-05-31T03:46:51Z</dcterms:created>
  <dcterms:modified xsi:type="dcterms:W3CDTF">2026-09-17T20:58:20Z</dcterms:modified>
</cp:coreProperties>
</file>