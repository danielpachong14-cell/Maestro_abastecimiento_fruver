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wnloads\"/>
    </mc:Choice>
  </mc:AlternateContent>
  <xr:revisionPtr revIDLastSave="0" documentId="13_ncr:1_{83645057-384E-44D0-A826-424B30E192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gmentación CENTRO" sheetId="1" r:id="rId1"/>
    <sheet name="Hoja 10" sheetId="7" state="hidden" r:id="rId2"/>
    <sheet name="Segmentación SUR - TOLIMA" sheetId="8" state="hidden" r:id="rId3"/>
    <sheet name="Segmentación SUR - HUILA" sheetId="9" state="hidden" r:id="rId4"/>
    <sheet name="Hoja 8" sheetId="10" state="hidden" r:id="rId5"/>
    <sheet name="Tabla dinámica 3" sheetId="11" state="hidden" r:id="rId6"/>
    <sheet name="Datos" sheetId="12" state="hidden" r:id="rId7"/>
    <sheet name="tabla datos" sheetId="13" state="hidden" r:id="rId8"/>
    <sheet name="Hoja 7" sheetId="14" state="hidden" r:id="rId9"/>
    <sheet name="SABANA" sheetId="15" state="hidden" r:id="rId10"/>
  </sheets>
  <definedNames>
    <definedName name="_xlnm._FilterDatabase" localSheetId="6" hidden="1">Datos!$A$2:$J$131</definedName>
    <definedName name="_xlnm._FilterDatabase" localSheetId="8" hidden="1">'Hoja 7'!$K$1:$R$39</definedName>
    <definedName name="_xlnm._FilterDatabase" localSheetId="0" hidden="1">'Segmentación CENTRO'!$A$9:$DE$86</definedName>
    <definedName name="_xlnm._FilterDatabase" localSheetId="2" hidden="1">'Segmentación SUR - TOLIMA'!$A$9:$AX$75</definedName>
    <definedName name="_xlnm._FilterDatabase" localSheetId="7" hidden="1">'tabla datos'!$O$1:$V$79</definedName>
  </definedNames>
  <calcPr calcId="191029"/>
  <pivotCaches>
    <pivotCache cacheId="6" r:id="rId11"/>
    <pivotCache cacheId="1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8" i="13" l="1"/>
  <c r="AC288" i="13"/>
  <c r="AB288" i="13"/>
  <c r="AD287" i="13"/>
  <c r="AC287" i="13"/>
  <c r="AB287" i="13"/>
  <c r="AD286" i="13"/>
  <c r="AC286" i="13"/>
  <c r="AB286" i="13"/>
  <c r="AD285" i="13"/>
  <c r="AC285" i="13"/>
  <c r="AB285" i="13"/>
  <c r="AD284" i="13"/>
  <c r="AC284" i="13"/>
  <c r="AB284" i="13"/>
  <c r="AD283" i="13"/>
  <c r="AC283" i="13"/>
  <c r="AB283" i="13"/>
  <c r="AD282" i="13"/>
  <c r="AC282" i="13"/>
  <c r="AB282" i="13"/>
  <c r="AD281" i="13"/>
  <c r="AC281" i="13"/>
  <c r="AB281" i="13"/>
  <c r="AD280" i="13"/>
  <c r="AC280" i="13"/>
  <c r="AB280" i="13"/>
  <c r="AD279" i="13"/>
  <c r="AC279" i="13"/>
  <c r="AB279" i="13"/>
  <c r="AD278" i="13"/>
  <c r="AC278" i="13"/>
  <c r="AB278" i="13"/>
  <c r="AD277" i="13"/>
  <c r="AC277" i="13"/>
  <c r="AB277" i="13"/>
  <c r="AD276" i="13"/>
  <c r="AC276" i="13"/>
  <c r="AB276" i="13"/>
  <c r="AD275" i="13"/>
  <c r="AC275" i="13"/>
  <c r="AB275" i="13"/>
  <c r="AD274" i="13"/>
  <c r="AC274" i="13"/>
  <c r="AB274" i="13"/>
  <c r="AD273" i="13"/>
  <c r="AC273" i="13"/>
  <c r="AB273" i="13"/>
  <c r="AD272" i="13"/>
  <c r="AC272" i="13"/>
  <c r="AB272" i="13"/>
  <c r="AD271" i="13"/>
  <c r="AC271" i="13"/>
  <c r="AB271" i="13"/>
  <c r="AD270" i="13"/>
  <c r="AC270" i="13"/>
  <c r="AB270" i="13"/>
  <c r="AD269" i="13"/>
  <c r="AC269" i="13"/>
  <c r="AB269" i="13"/>
  <c r="AD268" i="13"/>
  <c r="AC268" i="13"/>
  <c r="AB268" i="13"/>
  <c r="AD267" i="13"/>
  <c r="AC267" i="13"/>
  <c r="AB267" i="13"/>
  <c r="AD266" i="13"/>
  <c r="AC266" i="13"/>
  <c r="AB266" i="13"/>
  <c r="AD265" i="13"/>
  <c r="AC265" i="13"/>
  <c r="AB265" i="13"/>
  <c r="AD264" i="13"/>
  <c r="AC264" i="13"/>
  <c r="AB264" i="13"/>
  <c r="AD263" i="13"/>
  <c r="AC263" i="13"/>
  <c r="AB263" i="13"/>
  <c r="AD262" i="13"/>
  <c r="AC262" i="13"/>
  <c r="AB262" i="13"/>
  <c r="AD261" i="13"/>
  <c r="AC261" i="13"/>
  <c r="AB261" i="13"/>
  <c r="AD260" i="13"/>
  <c r="AC260" i="13"/>
  <c r="AB260" i="13"/>
  <c r="AD259" i="13"/>
  <c r="AC259" i="13"/>
  <c r="AB259" i="13"/>
  <c r="AD258" i="13"/>
  <c r="AC258" i="13"/>
  <c r="AB258" i="13"/>
  <c r="AD257" i="13"/>
  <c r="AC257" i="13"/>
  <c r="AB257" i="13"/>
  <c r="AD256" i="13"/>
  <c r="AC256" i="13"/>
  <c r="AB256" i="13"/>
  <c r="AD255" i="13"/>
  <c r="AC255" i="13"/>
  <c r="AB255" i="13"/>
  <c r="AD254" i="13"/>
  <c r="AC254" i="13"/>
  <c r="AB254" i="13"/>
  <c r="AD253" i="13"/>
  <c r="AC253" i="13"/>
  <c r="AB253" i="13"/>
  <c r="AD252" i="13"/>
  <c r="AC252" i="13"/>
  <c r="AB252" i="13"/>
  <c r="AD251" i="13"/>
  <c r="AC251" i="13"/>
  <c r="AB251" i="13"/>
  <c r="AD250" i="13"/>
  <c r="AC250" i="13"/>
  <c r="AB250" i="13"/>
  <c r="AD249" i="13"/>
  <c r="AC249" i="13"/>
  <c r="AB249" i="13"/>
  <c r="AD248" i="13"/>
  <c r="AC248" i="13"/>
  <c r="AB248" i="13"/>
  <c r="AD247" i="13"/>
  <c r="AC247" i="13"/>
  <c r="AB247" i="13"/>
  <c r="AD246" i="13"/>
  <c r="AC246" i="13"/>
  <c r="AB246" i="13"/>
  <c r="AD245" i="13"/>
  <c r="AC245" i="13"/>
  <c r="AB245" i="13"/>
  <c r="AD244" i="13"/>
  <c r="AC244" i="13"/>
  <c r="AB244" i="13"/>
  <c r="AD243" i="13"/>
  <c r="AC243" i="13"/>
  <c r="AB243" i="13"/>
  <c r="AD242" i="13"/>
  <c r="AC242" i="13"/>
  <c r="AB242" i="13"/>
  <c r="AD241" i="13"/>
  <c r="AC241" i="13"/>
  <c r="AB241" i="13"/>
  <c r="AD240" i="13"/>
  <c r="AC240" i="13"/>
  <c r="AB240" i="13"/>
  <c r="AD239" i="13"/>
  <c r="AC239" i="13"/>
  <c r="AB239" i="13"/>
  <c r="AD238" i="13"/>
  <c r="AC238" i="13"/>
  <c r="AB238" i="13"/>
  <c r="AD237" i="13"/>
  <c r="AC237" i="13"/>
  <c r="AB237" i="13"/>
  <c r="AD236" i="13"/>
  <c r="AC236" i="13"/>
  <c r="AB236" i="13"/>
  <c r="AD235" i="13"/>
  <c r="AC235" i="13"/>
  <c r="AB235" i="13"/>
  <c r="AD234" i="13"/>
  <c r="AC234" i="13"/>
  <c r="AB234" i="13"/>
  <c r="AD233" i="13"/>
  <c r="AC233" i="13"/>
  <c r="AB233" i="13"/>
  <c r="AD232" i="13"/>
  <c r="AC232" i="13"/>
  <c r="AB232" i="13"/>
  <c r="AD231" i="13"/>
  <c r="AC231" i="13"/>
  <c r="AB231" i="13"/>
  <c r="AD230" i="13"/>
  <c r="AC230" i="13"/>
  <c r="AB230" i="13"/>
  <c r="AD229" i="13"/>
  <c r="AC229" i="13"/>
  <c r="AB229" i="13"/>
  <c r="AD228" i="13"/>
  <c r="AC228" i="13"/>
  <c r="AB228" i="13"/>
  <c r="AD227" i="13"/>
  <c r="AC227" i="13"/>
  <c r="AB227" i="13"/>
  <c r="AD226" i="13"/>
  <c r="AC226" i="13"/>
  <c r="AB226" i="13"/>
  <c r="AD225" i="13"/>
  <c r="AC225" i="13"/>
  <c r="AB225" i="13"/>
  <c r="AD224" i="13"/>
  <c r="AC224" i="13"/>
  <c r="AB224" i="13"/>
  <c r="AD223" i="13"/>
  <c r="AC223" i="13"/>
  <c r="AB223" i="13"/>
  <c r="AD222" i="13"/>
  <c r="AC222" i="13"/>
  <c r="AB222" i="13"/>
  <c r="AD221" i="13"/>
  <c r="AC221" i="13"/>
  <c r="AB221" i="13"/>
  <c r="AD220" i="13"/>
  <c r="AC220" i="13"/>
  <c r="AB220" i="13"/>
  <c r="AD219" i="13"/>
  <c r="S46" i="13" s="1"/>
  <c r="AC219" i="13"/>
  <c r="AB219" i="13"/>
  <c r="AD218" i="13"/>
  <c r="AC218" i="13"/>
  <c r="AB218" i="13"/>
  <c r="AD217" i="13"/>
  <c r="AC217" i="13"/>
  <c r="AB217" i="13"/>
  <c r="Q44" i="13" s="1"/>
  <c r="AD216" i="13"/>
  <c r="AC216" i="13"/>
  <c r="AB216" i="13"/>
  <c r="AD215" i="13"/>
  <c r="AC215" i="13"/>
  <c r="AB215" i="13"/>
  <c r="AD214" i="13"/>
  <c r="AC214" i="13"/>
  <c r="R41" i="13" s="1"/>
  <c r="AB214" i="13"/>
  <c r="AD213" i="13"/>
  <c r="AC213" i="13"/>
  <c r="AB213" i="13"/>
  <c r="AD212" i="13"/>
  <c r="AC212" i="13"/>
  <c r="AB212" i="13"/>
  <c r="AD211" i="13"/>
  <c r="S38" i="13" s="1"/>
  <c r="AC211" i="13"/>
  <c r="AB211" i="13"/>
  <c r="AD210" i="13"/>
  <c r="AC210" i="13"/>
  <c r="AB210" i="13"/>
  <c r="AD209" i="13"/>
  <c r="AC209" i="13"/>
  <c r="AB209" i="13"/>
  <c r="Q36" i="13" s="1"/>
  <c r="AD208" i="13"/>
  <c r="AC208" i="13"/>
  <c r="AB208" i="13"/>
  <c r="AD207" i="13"/>
  <c r="AC207" i="13"/>
  <c r="AB207" i="13"/>
  <c r="AD206" i="13"/>
  <c r="AC206" i="13"/>
  <c r="R33" i="13" s="1"/>
  <c r="AB206" i="13"/>
  <c r="AD205" i="13"/>
  <c r="AC205" i="13"/>
  <c r="AB205" i="13"/>
  <c r="AD204" i="13"/>
  <c r="AC204" i="13"/>
  <c r="AB204" i="13"/>
  <c r="AD203" i="13"/>
  <c r="S30" i="13" s="1"/>
  <c r="AC203" i="13"/>
  <c r="AB203" i="13"/>
  <c r="AD202" i="13"/>
  <c r="AC202" i="13"/>
  <c r="AB202" i="13"/>
  <c r="AD201" i="13"/>
  <c r="AC201" i="13"/>
  <c r="AB201" i="13"/>
  <c r="Q28" i="13" s="1"/>
  <c r="AD200" i="13"/>
  <c r="AC200" i="13"/>
  <c r="AB200" i="13"/>
  <c r="AD199" i="13"/>
  <c r="AC199" i="13"/>
  <c r="AB199" i="13"/>
  <c r="AD198" i="13"/>
  <c r="AC198" i="13"/>
  <c r="R25" i="13" s="1"/>
  <c r="AB198" i="13"/>
  <c r="AD197" i="13"/>
  <c r="AC197" i="13"/>
  <c r="AB197" i="13"/>
  <c r="AD196" i="13"/>
  <c r="AC196" i="13"/>
  <c r="AB196" i="13"/>
  <c r="AD195" i="13"/>
  <c r="S22" i="13" s="1"/>
  <c r="AC195" i="13"/>
  <c r="AB195" i="13"/>
  <c r="AD194" i="13"/>
  <c r="AC194" i="13"/>
  <c r="AB194" i="13"/>
  <c r="AD193" i="13"/>
  <c r="AC193" i="13"/>
  <c r="AB193" i="13"/>
  <c r="Q20" i="13" s="1"/>
  <c r="AD192" i="13"/>
  <c r="AC192" i="13"/>
  <c r="AB192" i="13"/>
  <c r="AD191" i="13"/>
  <c r="AC191" i="13"/>
  <c r="AB191" i="13"/>
  <c r="AD190" i="13"/>
  <c r="AC190" i="13"/>
  <c r="R17" i="13" s="1"/>
  <c r="AB190" i="13"/>
  <c r="AD189" i="13"/>
  <c r="AC189" i="13"/>
  <c r="AB189" i="13"/>
  <c r="AD188" i="13"/>
  <c r="AC188" i="13"/>
  <c r="AB188" i="13"/>
  <c r="AD187" i="13"/>
  <c r="S14" i="13" s="1"/>
  <c r="AC187" i="13"/>
  <c r="AB187" i="13"/>
  <c r="AD186" i="13"/>
  <c r="AC186" i="13"/>
  <c r="AB186" i="13"/>
  <c r="AD185" i="13"/>
  <c r="AC185" i="13"/>
  <c r="AB185" i="13"/>
  <c r="Q12" i="13" s="1"/>
  <c r="AD184" i="13"/>
  <c r="AC184" i="13"/>
  <c r="AB184" i="13"/>
  <c r="AD183" i="13"/>
  <c r="AC183" i="13"/>
  <c r="AB183" i="13"/>
  <c r="AD182" i="13"/>
  <c r="AC182" i="13"/>
  <c r="R9" i="13" s="1"/>
  <c r="AB182" i="13"/>
  <c r="AD181" i="13"/>
  <c r="AC181" i="13"/>
  <c r="AB181" i="13"/>
  <c r="AD180" i="13"/>
  <c r="AC180" i="13"/>
  <c r="AB180" i="13"/>
  <c r="AD179" i="13"/>
  <c r="S6" i="13" s="1"/>
  <c r="AC179" i="13"/>
  <c r="AB179" i="13"/>
  <c r="AD178" i="13"/>
  <c r="AC178" i="13"/>
  <c r="AB178" i="13"/>
  <c r="AD177" i="13"/>
  <c r="AC177" i="13"/>
  <c r="AB177" i="13"/>
  <c r="Q4" i="13" s="1"/>
  <c r="AD176" i="13"/>
  <c r="AC176" i="13"/>
  <c r="AB176" i="13"/>
  <c r="AD175" i="13"/>
  <c r="AC175" i="13"/>
  <c r="AB175" i="13"/>
  <c r="AD174" i="13"/>
  <c r="AC174" i="13"/>
  <c r="R91" i="13" s="1"/>
  <c r="AB174" i="13"/>
  <c r="AD173" i="13"/>
  <c r="AC173" i="13"/>
  <c r="AB173" i="13"/>
  <c r="AD172" i="13"/>
  <c r="AC172" i="13"/>
  <c r="AB172" i="13"/>
  <c r="AD171" i="13"/>
  <c r="AC171" i="13"/>
  <c r="AB171" i="13"/>
  <c r="AD170" i="13"/>
  <c r="AC170" i="13"/>
  <c r="AB170" i="13"/>
  <c r="AD169" i="13"/>
  <c r="AC169" i="13"/>
  <c r="AB169" i="13"/>
  <c r="AD168" i="13"/>
  <c r="AC168" i="13"/>
  <c r="AB168" i="13"/>
  <c r="AD167" i="13"/>
  <c r="AC167" i="13"/>
  <c r="AB167" i="13"/>
  <c r="AD166" i="13"/>
  <c r="AC166" i="13"/>
  <c r="AB166" i="13"/>
  <c r="AD165" i="13"/>
  <c r="AC165" i="13"/>
  <c r="AB165" i="13"/>
  <c r="AD164" i="13"/>
  <c r="AC164" i="13"/>
  <c r="AB164" i="13"/>
  <c r="AD163" i="13"/>
  <c r="AC163" i="13"/>
  <c r="AB163" i="13"/>
  <c r="AD162" i="13"/>
  <c r="AC162" i="13"/>
  <c r="AB162" i="13"/>
  <c r="AD161" i="13"/>
  <c r="AC161" i="13"/>
  <c r="AB161" i="13"/>
  <c r="AD160" i="13"/>
  <c r="AC160" i="13"/>
  <c r="AB160" i="13"/>
  <c r="AD159" i="13"/>
  <c r="AC159" i="13"/>
  <c r="AB159" i="13"/>
  <c r="AD158" i="13"/>
  <c r="AC158" i="13"/>
  <c r="AB158" i="13"/>
  <c r="AD157" i="13"/>
  <c r="AC157" i="13"/>
  <c r="AB157" i="13"/>
  <c r="AD156" i="13"/>
  <c r="AC156" i="13"/>
  <c r="AB156" i="13"/>
  <c r="AD155" i="13"/>
  <c r="AC155" i="13"/>
  <c r="AB155" i="13"/>
  <c r="AD154" i="13"/>
  <c r="AC154" i="13"/>
  <c r="AB154" i="13"/>
  <c r="AD153" i="13"/>
  <c r="AC153" i="13"/>
  <c r="AB153" i="13"/>
  <c r="AD152" i="13"/>
  <c r="AC152" i="13"/>
  <c r="AB152" i="13"/>
  <c r="U152" i="13"/>
  <c r="T152" i="13"/>
  <c r="S152" i="13"/>
  <c r="R152" i="13"/>
  <c r="Q152" i="13"/>
  <c r="AD151" i="13"/>
  <c r="AC151" i="13"/>
  <c r="AB151" i="13"/>
  <c r="U151" i="13"/>
  <c r="T151" i="13"/>
  <c r="R151" i="13"/>
  <c r="Q151" i="13"/>
  <c r="AD150" i="13"/>
  <c r="AC150" i="13"/>
  <c r="AB150" i="13"/>
  <c r="U150" i="13"/>
  <c r="T150" i="13"/>
  <c r="R150" i="13"/>
  <c r="Q150" i="13"/>
  <c r="AD149" i="13"/>
  <c r="AC149" i="13"/>
  <c r="AB149" i="13"/>
  <c r="U149" i="13"/>
  <c r="T149" i="13"/>
  <c r="S149" i="13"/>
  <c r="R149" i="13"/>
  <c r="Q149" i="13"/>
  <c r="AD148" i="13"/>
  <c r="AC148" i="13"/>
  <c r="AB148" i="13"/>
  <c r="U148" i="13"/>
  <c r="T148" i="13"/>
  <c r="S148" i="13"/>
  <c r="R148" i="13"/>
  <c r="Q148" i="13"/>
  <c r="AD147" i="13"/>
  <c r="AC147" i="13"/>
  <c r="AB147" i="13"/>
  <c r="U147" i="13"/>
  <c r="T147" i="13"/>
  <c r="S147" i="13"/>
  <c r="R147" i="13"/>
  <c r="Q147" i="13"/>
  <c r="AD146" i="13"/>
  <c r="AC146" i="13"/>
  <c r="AB146" i="13"/>
  <c r="U146" i="13"/>
  <c r="T146" i="13"/>
  <c r="S146" i="13"/>
  <c r="R146" i="13"/>
  <c r="Q146" i="13"/>
  <c r="AD145" i="13"/>
  <c r="AC145" i="13"/>
  <c r="AB145" i="13"/>
  <c r="U145" i="13"/>
  <c r="T145" i="13"/>
  <c r="S145" i="13"/>
  <c r="R145" i="13"/>
  <c r="Q145" i="13"/>
  <c r="AD144" i="13"/>
  <c r="AC144" i="13"/>
  <c r="AB144" i="13"/>
  <c r="U144" i="13"/>
  <c r="T144" i="13"/>
  <c r="S144" i="13"/>
  <c r="R144" i="13"/>
  <c r="Q144" i="13"/>
  <c r="AD143" i="13"/>
  <c r="AC143" i="13"/>
  <c r="AB143" i="13"/>
  <c r="U143" i="13"/>
  <c r="T143" i="13"/>
  <c r="S143" i="13"/>
  <c r="R143" i="13"/>
  <c r="Q143" i="13"/>
  <c r="AD142" i="13"/>
  <c r="AC142" i="13"/>
  <c r="AB142" i="13"/>
  <c r="U142" i="13"/>
  <c r="T142" i="13"/>
  <c r="S142" i="13"/>
  <c r="R142" i="13"/>
  <c r="Q142" i="13"/>
  <c r="AD141" i="13"/>
  <c r="AC141" i="13"/>
  <c r="AB141" i="13"/>
  <c r="U141" i="13"/>
  <c r="T141" i="13"/>
  <c r="S141" i="13"/>
  <c r="R141" i="13"/>
  <c r="Q141" i="13"/>
  <c r="AD140" i="13"/>
  <c r="AC140" i="13"/>
  <c r="AB140" i="13"/>
  <c r="U140" i="13"/>
  <c r="T140" i="13"/>
  <c r="S140" i="13"/>
  <c r="R140" i="13"/>
  <c r="Q140" i="13"/>
  <c r="AD139" i="13"/>
  <c r="AC139" i="13"/>
  <c r="AB139" i="13"/>
  <c r="U139" i="13"/>
  <c r="T139" i="13"/>
  <c r="S139" i="13"/>
  <c r="R139" i="13"/>
  <c r="Q139" i="13"/>
  <c r="AD138" i="13"/>
  <c r="AC138" i="13"/>
  <c r="AB138" i="13"/>
  <c r="U138" i="13"/>
  <c r="T138" i="13"/>
  <c r="S138" i="13"/>
  <c r="R138" i="13"/>
  <c r="Q138" i="13"/>
  <c r="AD137" i="13"/>
  <c r="AC137" i="13"/>
  <c r="AB137" i="13"/>
  <c r="U137" i="13"/>
  <c r="T137" i="13"/>
  <c r="S137" i="13"/>
  <c r="R137" i="13"/>
  <c r="Q137" i="13"/>
  <c r="AD136" i="13"/>
  <c r="AC136" i="13"/>
  <c r="AB136" i="13"/>
  <c r="U136" i="13"/>
  <c r="T136" i="13"/>
  <c r="AD135" i="13"/>
  <c r="AC135" i="13"/>
  <c r="AB135" i="13"/>
  <c r="U135" i="13"/>
  <c r="T135" i="13"/>
  <c r="S135" i="13"/>
  <c r="R135" i="13"/>
  <c r="Q135" i="13"/>
  <c r="AD134" i="13"/>
  <c r="AC134" i="13"/>
  <c r="AB134" i="13"/>
  <c r="U134" i="13"/>
  <c r="T134" i="13"/>
  <c r="S134" i="13"/>
  <c r="R134" i="13"/>
  <c r="Q134" i="13"/>
  <c r="AD133" i="13"/>
  <c r="AC133" i="13"/>
  <c r="AB133" i="13"/>
  <c r="U133" i="13"/>
  <c r="T133" i="13"/>
  <c r="S133" i="13"/>
  <c r="R133" i="13"/>
  <c r="Q133" i="13"/>
  <c r="AD132" i="13"/>
  <c r="AC132" i="13"/>
  <c r="AB132" i="13"/>
  <c r="U132" i="13"/>
  <c r="T132" i="13"/>
  <c r="S132" i="13"/>
  <c r="R132" i="13"/>
  <c r="Q132" i="13"/>
  <c r="AD131" i="13"/>
  <c r="AC131" i="13"/>
  <c r="AB131" i="13"/>
  <c r="AD130" i="13"/>
  <c r="AC130" i="13"/>
  <c r="AB130" i="13"/>
  <c r="AD129" i="13"/>
  <c r="AC129" i="13"/>
  <c r="AB129" i="13"/>
  <c r="AD128" i="13"/>
  <c r="AC128" i="13"/>
  <c r="AB128" i="13"/>
  <c r="AD127" i="13"/>
  <c r="AC127" i="13"/>
  <c r="AB127" i="13"/>
  <c r="U127" i="13"/>
  <c r="T127" i="13"/>
  <c r="S127" i="13"/>
  <c r="R127" i="13"/>
  <c r="Q127" i="13"/>
  <c r="AD126" i="13"/>
  <c r="AC126" i="13"/>
  <c r="AB126" i="13"/>
  <c r="U126" i="13"/>
  <c r="T126" i="13"/>
  <c r="S126" i="13"/>
  <c r="R126" i="13"/>
  <c r="Q126" i="13"/>
  <c r="AD125" i="13"/>
  <c r="AC125" i="13"/>
  <c r="AB125" i="13"/>
  <c r="U125" i="13"/>
  <c r="T125" i="13"/>
  <c r="S125" i="13"/>
  <c r="R125" i="13"/>
  <c r="Q125" i="13"/>
  <c r="AD124" i="13"/>
  <c r="AC124" i="13"/>
  <c r="AB124" i="13"/>
  <c r="U124" i="13"/>
  <c r="T124" i="13"/>
  <c r="S124" i="13"/>
  <c r="R124" i="13"/>
  <c r="Q124" i="13"/>
  <c r="AD123" i="13"/>
  <c r="AC123" i="13"/>
  <c r="AB123" i="13"/>
  <c r="U123" i="13"/>
  <c r="T123" i="13"/>
  <c r="S123" i="13"/>
  <c r="R123" i="13"/>
  <c r="Q123" i="13"/>
  <c r="AD122" i="13"/>
  <c r="AC122" i="13"/>
  <c r="AB122" i="13"/>
  <c r="U122" i="13"/>
  <c r="T122" i="13"/>
  <c r="S122" i="13"/>
  <c r="R122" i="13"/>
  <c r="Q122" i="13"/>
  <c r="AD121" i="13"/>
  <c r="AC121" i="13"/>
  <c r="AB121" i="13"/>
  <c r="U121" i="13"/>
  <c r="T121" i="13"/>
  <c r="S121" i="13"/>
  <c r="R121" i="13"/>
  <c r="Q121" i="13"/>
  <c r="AD120" i="13"/>
  <c r="AC120" i="13"/>
  <c r="AB120" i="13"/>
  <c r="U120" i="13"/>
  <c r="T120" i="13"/>
  <c r="S120" i="13"/>
  <c r="R120" i="13"/>
  <c r="Q120" i="13"/>
  <c r="AD119" i="13"/>
  <c r="AC119" i="13"/>
  <c r="AB119" i="13"/>
  <c r="U119" i="13"/>
  <c r="T119" i="13"/>
  <c r="S119" i="13"/>
  <c r="R119" i="13"/>
  <c r="Q119" i="13"/>
  <c r="AD118" i="13"/>
  <c r="AC118" i="13"/>
  <c r="AB118" i="13"/>
  <c r="U118" i="13"/>
  <c r="T118" i="13"/>
  <c r="S118" i="13"/>
  <c r="R118" i="13"/>
  <c r="Q118" i="13"/>
  <c r="AD117" i="13"/>
  <c r="AC117" i="13"/>
  <c r="AB117" i="13"/>
  <c r="U117" i="13"/>
  <c r="T117" i="13"/>
  <c r="S117" i="13"/>
  <c r="R117" i="13"/>
  <c r="Q117" i="13"/>
  <c r="AD116" i="13"/>
  <c r="AC116" i="13"/>
  <c r="AB116" i="13"/>
  <c r="U116" i="13"/>
  <c r="T116" i="13"/>
  <c r="S116" i="13"/>
  <c r="R116" i="13"/>
  <c r="Q116" i="13"/>
  <c r="AD115" i="13"/>
  <c r="AC115" i="13"/>
  <c r="AB115" i="13"/>
  <c r="U115" i="13"/>
  <c r="T115" i="13"/>
  <c r="S115" i="13"/>
  <c r="R115" i="13"/>
  <c r="Q115" i="13"/>
  <c r="AD114" i="13"/>
  <c r="AC114" i="13"/>
  <c r="AB114" i="13"/>
  <c r="U114" i="13"/>
  <c r="T114" i="13"/>
  <c r="S114" i="13"/>
  <c r="R114" i="13"/>
  <c r="Q114" i="13"/>
  <c r="AD113" i="13"/>
  <c r="AC113" i="13"/>
  <c r="AB113" i="13"/>
  <c r="U113" i="13"/>
  <c r="T113" i="13"/>
  <c r="S113" i="13"/>
  <c r="R113" i="13"/>
  <c r="Q113" i="13"/>
  <c r="AD112" i="13"/>
  <c r="AC112" i="13"/>
  <c r="AB112" i="13"/>
  <c r="U112" i="13"/>
  <c r="T112" i="13"/>
  <c r="S112" i="13"/>
  <c r="R112" i="13"/>
  <c r="Q112" i="13"/>
  <c r="AD111" i="13"/>
  <c r="AC111" i="13"/>
  <c r="AB111" i="13"/>
  <c r="U111" i="13"/>
  <c r="T111" i="13"/>
  <c r="S111" i="13"/>
  <c r="R111" i="13"/>
  <c r="Q111" i="13"/>
  <c r="AD110" i="13"/>
  <c r="AC110" i="13"/>
  <c r="AB110" i="13"/>
  <c r="U110" i="13"/>
  <c r="T110" i="13"/>
  <c r="S110" i="13"/>
  <c r="R110" i="13"/>
  <c r="Q110" i="13"/>
  <c r="AD109" i="13"/>
  <c r="AC109" i="13"/>
  <c r="AB109" i="13"/>
  <c r="U109" i="13"/>
  <c r="T109" i="13"/>
  <c r="S109" i="13"/>
  <c r="R109" i="13"/>
  <c r="Q109" i="13"/>
  <c r="AD108" i="13"/>
  <c r="AC108" i="13"/>
  <c r="AB108" i="13"/>
  <c r="U108" i="13"/>
  <c r="T108" i="13"/>
  <c r="S108" i="13"/>
  <c r="R108" i="13"/>
  <c r="Q108" i="13"/>
  <c r="AD107" i="13"/>
  <c r="AC107" i="13"/>
  <c r="AB107" i="13"/>
  <c r="U107" i="13"/>
  <c r="T107" i="13"/>
  <c r="S107" i="13"/>
  <c r="R107" i="13"/>
  <c r="Q107" i="13"/>
  <c r="AD106" i="13"/>
  <c r="AC106" i="13"/>
  <c r="AB106" i="13"/>
  <c r="U106" i="13"/>
  <c r="T106" i="13"/>
  <c r="S106" i="13"/>
  <c r="R106" i="13"/>
  <c r="Q106" i="13"/>
  <c r="AD105" i="13"/>
  <c r="AC105" i="13"/>
  <c r="AB105" i="13"/>
  <c r="U105" i="13"/>
  <c r="T105" i="13"/>
  <c r="S105" i="13"/>
  <c r="R105" i="13"/>
  <c r="Q105" i="13"/>
  <c r="AD104" i="13"/>
  <c r="AC104" i="13"/>
  <c r="AB104" i="13"/>
  <c r="U104" i="13"/>
  <c r="T104" i="13"/>
  <c r="S104" i="13"/>
  <c r="R104" i="13"/>
  <c r="Q104" i="13"/>
  <c r="AD103" i="13"/>
  <c r="AC103" i="13"/>
  <c r="AB103" i="13"/>
  <c r="U103" i="13"/>
  <c r="T103" i="13"/>
  <c r="S103" i="13"/>
  <c r="R103" i="13"/>
  <c r="Q103" i="13"/>
  <c r="AD102" i="13"/>
  <c r="AC102" i="13"/>
  <c r="AB102" i="13"/>
  <c r="U102" i="13"/>
  <c r="T102" i="13"/>
  <c r="S102" i="13"/>
  <c r="R102" i="13"/>
  <c r="Q102" i="13"/>
  <c r="AD101" i="13"/>
  <c r="AC101" i="13"/>
  <c r="AB101" i="13"/>
  <c r="U101" i="13"/>
  <c r="T101" i="13"/>
  <c r="S101" i="13"/>
  <c r="R101" i="13"/>
  <c r="Q101" i="13"/>
  <c r="AD100" i="13"/>
  <c r="AC100" i="13"/>
  <c r="AB100" i="13"/>
  <c r="U100" i="13"/>
  <c r="T100" i="13"/>
  <c r="S100" i="13"/>
  <c r="R100" i="13"/>
  <c r="Q100" i="13"/>
  <c r="AD99" i="13"/>
  <c r="AC99" i="13"/>
  <c r="AB99" i="13"/>
  <c r="U99" i="13"/>
  <c r="T99" i="13"/>
  <c r="S99" i="13"/>
  <c r="R99" i="13"/>
  <c r="Q99" i="13"/>
  <c r="AD98" i="13"/>
  <c r="AC98" i="13"/>
  <c r="AB98" i="13"/>
  <c r="U98" i="13"/>
  <c r="T98" i="13"/>
  <c r="S98" i="13"/>
  <c r="R98" i="13"/>
  <c r="Q98" i="13"/>
  <c r="AD97" i="13"/>
  <c r="AC97" i="13"/>
  <c r="AB97" i="13"/>
  <c r="U97" i="13"/>
  <c r="T97" i="13"/>
  <c r="S97" i="13"/>
  <c r="R97" i="13"/>
  <c r="Q97" i="13"/>
  <c r="AD96" i="13"/>
  <c r="AC96" i="13"/>
  <c r="AB96" i="13"/>
  <c r="U96" i="13"/>
  <c r="T96" i="13"/>
  <c r="S96" i="13"/>
  <c r="R96" i="13"/>
  <c r="Q96" i="13"/>
  <c r="AD95" i="13"/>
  <c r="AC95" i="13"/>
  <c r="AB95" i="13"/>
  <c r="U95" i="13"/>
  <c r="T95" i="13"/>
  <c r="S95" i="13"/>
  <c r="R95" i="13"/>
  <c r="Q95" i="13"/>
  <c r="AD94" i="13"/>
  <c r="AC94" i="13"/>
  <c r="AB94" i="13"/>
  <c r="U94" i="13"/>
  <c r="T94" i="13"/>
  <c r="S94" i="13"/>
  <c r="R94" i="13"/>
  <c r="Q94" i="13"/>
  <c r="AD93" i="13"/>
  <c r="AC93" i="13"/>
  <c r="AB93" i="13"/>
  <c r="U93" i="13"/>
  <c r="T93" i="13"/>
  <c r="S93" i="13"/>
  <c r="R93" i="13"/>
  <c r="Q93" i="13"/>
  <c r="AD92" i="13"/>
  <c r="AC92" i="13"/>
  <c r="AB92" i="13"/>
  <c r="U92" i="13"/>
  <c r="T92" i="13"/>
  <c r="S92" i="13"/>
  <c r="R92" i="13"/>
  <c r="Q92" i="13"/>
  <c r="AD91" i="13"/>
  <c r="AC91" i="13"/>
  <c r="AB91" i="13"/>
  <c r="U91" i="13"/>
  <c r="T91" i="13"/>
  <c r="S91" i="13"/>
  <c r="Q91" i="13"/>
  <c r="AD90" i="13"/>
  <c r="AC90" i="13"/>
  <c r="AB90" i="13"/>
  <c r="U90" i="13"/>
  <c r="T90" i="13"/>
  <c r="S90" i="13"/>
  <c r="R90" i="13"/>
  <c r="Q90" i="13"/>
  <c r="AD89" i="13"/>
  <c r="AC89" i="13"/>
  <c r="AB89" i="13"/>
  <c r="AD88" i="13"/>
  <c r="S151" i="13" s="1"/>
  <c r="AC88" i="13"/>
  <c r="AB88" i="13"/>
  <c r="AD87" i="13"/>
  <c r="S150" i="13" s="1"/>
  <c r="AC87" i="13"/>
  <c r="AB87" i="13"/>
  <c r="AD86" i="13"/>
  <c r="S136" i="13" s="1"/>
  <c r="AC86" i="13"/>
  <c r="R136" i="13" s="1"/>
  <c r="AB86" i="13"/>
  <c r="Q136" i="13" s="1"/>
  <c r="AD85" i="13"/>
  <c r="AC85" i="13"/>
  <c r="AB85" i="13"/>
  <c r="E85" i="13"/>
  <c r="AD84" i="13"/>
  <c r="AC84" i="13"/>
  <c r="AB84" i="13"/>
  <c r="E84" i="13"/>
  <c r="AD83" i="13"/>
  <c r="AC83" i="13"/>
  <c r="AB83" i="13"/>
  <c r="E83" i="13"/>
  <c r="AD82" i="13"/>
  <c r="AC82" i="13"/>
  <c r="AB82" i="13"/>
  <c r="E82" i="13"/>
  <c r="AD81" i="13"/>
  <c r="AC81" i="13"/>
  <c r="AB81" i="13"/>
  <c r="E81" i="13"/>
  <c r="AD80" i="13"/>
  <c r="AC80" i="13"/>
  <c r="AB80" i="13"/>
  <c r="E80" i="13"/>
  <c r="AD79" i="13"/>
  <c r="AC79" i="13"/>
  <c r="AB79" i="13"/>
  <c r="U79" i="13"/>
  <c r="T79" i="13"/>
  <c r="S79" i="13"/>
  <c r="R79" i="13"/>
  <c r="Q79" i="13"/>
  <c r="E79" i="13"/>
  <c r="AD78" i="13"/>
  <c r="AC78" i="13"/>
  <c r="AB78" i="13"/>
  <c r="U78" i="13"/>
  <c r="T78" i="13"/>
  <c r="S78" i="13"/>
  <c r="R78" i="13"/>
  <c r="Q78" i="13"/>
  <c r="E78" i="13"/>
  <c r="AD77" i="13"/>
  <c r="AC77" i="13"/>
  <c r="AB77" i="13"/>
  <c r="U77" i="13"/>
  <c r="T77" i="13"/>
  <c r="S77" i="13"/>
  <c r="R77" i="13"/>
  <c r="Q77" i="13"/>
  <c r="E77" i="13"/>
  <c r="AD76" i="13"/>
  <c r="AC76" i="13"/>
  <c r="AB76" i="13"/>
  <c r="U76" i="13"/>
  <c r="T76" i="13"/>
  <c r="S76" i="13"/>
  <c r="R76" i="13"/>
  <c r="Q76" i="13"/>
  <c r="E76" i="13"/>
  <c r="AD75" i="13"/>
  <c r="AC75" i="13"/>
  <c r="AB75" i="13"/>
  <c r="U75" i="13"/>
  <c r="T75" i="13"/>
  <c r="S75" i="13"/>
  <c r="R75" i="13"/>
  <c r="Q75" i="13"/>
  <c r="E75" i="13"/>
  <c r="AD74" i="13"/>
  <c r="AC74" i="13"/>
  <c r="AB74" i="13"/>
  <c r="U74" i="13"/>
  <c r="T74" i="13"/>
  <c r="S74" i="13"/>
  <c r="R74" i="13"/>
  <c r="Q74" i="13"/>
  <c r="E74" i="13"/>
  <c r="AD73" i="13"/>
  <c r="AC73" i="13"/>
  <c r="AB73" i="13"/>
  <c r="U73" i="13"/>
  <c r="T73" i="13"/>
  <c r="S73" i="13"/>
  <c r="R73" i="13"/>
  <c r="Q73" i="13"/>
  <c r="E73" i="13"/>
  <c r="AD72" i="13"/>
  <c r="AC72" i="13"/>
  <c r="AB72" i="13"/>
  <c r="U72" i="13"/>
  <c r="T72" i="13"/>
  <c r="S72" i="13"/>
  <c r="R72" i="13"/>
  <c r="Q72" i="13"/>
  <c r="E72" i="13"/>
  <c r="AD71" i="13"/>
  <c r="AC71" i="13"/>
  <c r="AB71" i="13"/>
  <c r="U71" i="13"/>
  <c r="T71" i="13"/>
  <c r="S71" i="13"/>
  <c r="R71" i="13"/>
  <c r="Q71" i="13"/>
  <c r="E71" i="13"/>
  <c r="AD70" i="13"/>
  <c r="AC70" i="13"/>
  <c r="AB70" i="13"/>
  <c r="U70" i="13"/>
  <c r="T70" i="13"/>
  <c r="S70" i="13"/>
  <c r="R70" i="13"/>
  <c r="Q70" i="13"/>
  <c r="E70" i="13"/>
  <c r="AD69" i="13"/>
  <c r="AC69" i="13"/>
  <c r="AB69" i="13"/>
  <c r="U69" i="13"/>
  <c r="T69" i="13"/>
  <c r="S69" i="13"/>
  <c r="R69" i="13"/>
  <c r="Q69" i="13"/>
  <c r="E69" i="13"/>
  <c r="AD68" i="13"/>
  <c r="AC68" i="13"/>
  <c r="AB68" i="13"/>
  <c r="U68" i="13"/>
  <c r="T68" i="13"/>
  <c r="S68" i="13"/>
  <c r="R68" i="13"/>
  <c r="Q68" i="13"/>
  <c r="E68" i="13"/>
  <c r="AD67" i="13"/>
  <c r="AC67" i="13"/>
  <c r="AB67" i="13"/>
  <c r="U67" i="13"/>
  <c r="T67" i="13"/>
  <c r="S67" i="13"/>
  <c r="R67" i="13"/>
  <c r="Q67" i="13"/>
  <c r="E67" i="13"/>
  <c r="AD66" i="13"/>
  <c r="AC66" i="13"/>
  <c r="AB66" i="13"/>
  <c r="U66" i="13"/>
  <c r="T66" i="13"/>
  <c r="S66" i="13"/>
  <c r="R66" i="13"/>
  <c r="Q66" i="13"/>
  <c r="E66" i="13"/>
  <c r="AD65" i="13"/>
  <c r="AC65" i="13"/>
  <c r="AB65" i="13"/>
  <c r="U65" i="13"/>
  <c r="T65" i="13"/>
  <c r="S65" i="13"/>
  <c r="R65" i="13"/>
  <c r="Q65" i="13"/>
  <c r="E65" i="13"/>
  <c r="AD64" i="13"/>
  <c r="AC64" i="13"/>
  <c r="AB64" i="13"/>
  <c r="U64" i="13"/>
  <c r="T64" i="13"/>
  <c r="S64" i="13"/>
  <c r="R64" i="13"/>
  <c r="Q64" i="13"/>
  <c r="E64" i="13"/>
  <c r="AD63" i="13"/>
  <c r="AC63" i="13"/>
  <c r="AB63" i="13"/>
  <c r="U63" i="13"/>
  <c r="T63" i="13"/>
  <c r="S63" i="13"/>
  <c r="R63" i="13"/>
  <c r="Q63" i="13"/>
  <c r="E63" i="13"/>
  <c r="AD62" i="13"/>
  <c r="AC62" i="13"/>
  <c r="AB62" i="13"/>
  <c r="U62" i="13"/>
  <c r="T62" i="13"/>
  <c r="S62" i="13"/>
  <c r="R62" i="13"/>
  <c r="Q62" i="13"/>
  <c r="E62" i="13"/>
  <c r="AD61" i="13"/>
  <c r="AC61" i="13"/>
  <c r="AB61" i="13"/>
  <c r="U61" i="13"/>
  <c r="T61" i="13"/>
  <c r="S61" i="13"/>
  <c r="R61" i="13"/>
  <c r="Q61" i="13"/>
  <c r="E61" i="13"/>
  <c r="AD60" i="13"/>
  <c r="AC60" i="13"/>
  <c r="AB60" i="13"/>
  <c r="U60" i="13"/>
  <c r="T60" i="13"/>
  <c r="S60" i="13"/>
  <c r="R60" i="13"/>
  <c r="Q60" i="13"/>
  <c r="E60" i="13"/>
  <c r="AD59" i="13"/>
  <c r="AC59" i="13"/>
  <c r="AB59" i="13"/>
  <c r="U59" i="13"/>
  <c r="T59" i="13"/>
  <c r="S59" i="13"/>
  <c r="R59" i="13"/>
  <c r="Q59" i="13"/>
  <c r="E59" i="13"/>
  <c r="AD58" i="13"/>
  <c r="AC58" i="13"/>
  <c r="AB58" i="13"/>
  <c r="U58" i="13"/>
  <c r="T58" i="13"/>
  <c r="S58" i="13"/>
  <c r="R58" i="13"/>
  <c r="Q58" i="13"/>
  <c r="E58" i="13"/>
  <c r="AD57" i="13"/>
  <c r="AC57" i="13"/>
  <c r="AB57" i="13"/>
  <c r="U57" i="13"/>
  <c r="T57" i="13"/>
  <c r="S57" i="13"/>
  <c r="R57" i="13"/>
  <c r="Q57" i="13"/>
  <c r="E57" i="13"/>
  <c r="AD56" i="13"/>
  <c r="AC56" i="13"/>
  <c r="AB56" i="13"/>
  <c r="U56" i="13"/>
  <c r="T56" i="13"/>
  <c r="S56" i="13"/>
  <c r="R56" i="13"/>
  <c r="Q56" i="13"/>
  <c r="E56" i="13"/>
  <c r="AD55" i="13"/>
  <c r="AC55" i="13"/>
  <c r="AB55" i="13"/>
  <c r="U55" i="13"/>
  <c r="T55" i="13"/>
  <c r="S55" i="13"/>
  <c r="R55" i="13"/>
  <c r="Q55" i="13"/>
  <c r="E55" i="13"/>
  <c r="AD54" i="13"/>
  <c r="AC54" i="13"/>
  <c r="AB54" i="13"/>
  <c r="U54" i="13"/>
  <c r="T54" i="13"/>
  <c r="S54" i="13"/>
  <c r="R54" i="13"/>
  <c r="Q54" i="13"/>
  <c r="E54" i="13"/>
  <c r="AD53" i="13"/>
  <c r="AC53" i="13"/>
  <c r="AB53" i="13"/>
  <c r="U53" i="13"/>
  <c r="T53" i="13"/>
  <c r="S53" i="13"/>
  <c r="R53" i="13"/>
  <c r="Q53" i="13"/>
  <c r="E53" i="13"/>
  <c r="AD52" i="13"/>
  <c r="AC52" i="13"/>
  <c r="AB52" i="13"/>
  <c r="U52" i="13"/>
  <c r="T52" i="13"/>
  <c r="S52" i="13"/>
  <c r="R52" i="13"/>
  <c r="Q52" i="13"/>
  <c r="E52" i="13"/>
  <c r="AD51" i="13"/>
  <c r="AC51" i="13"/>
  <c r="AB51" i="13"/>
  <c r="U51" i="13"/>
  <c r="T51" i="13"/>
  <c r="S51" i="13"/>
  <c r="R51" i="13"/>
  <c r="Q51" i="13"/>
  <c r="E51" i="13"/>
  <c r="AD50" i="13"/>
  <c r="AC50" i="13"/>
  <c r="AB50" i="13"/>
  <c r="U50" i="13"/>
  <c r="T50" i="13"/>
  <c r="S50" i="13"/>
  <c r="R50" i="13"/>
  <c r="Q50" i="13"/>
  <c r="E50" i="13"/>
  <c r="AD49" i="13"/>
  <c r="AC49" i="13"/>
  <c r="AB49" i="13"/>
  <c r="U49" i="13"/>
  <c r="T49" i="13"/>
  <c r="S49" i="13"/>
  <c r="R49" i="13"/>
  <c r="Q49" i="13"/>
  <c r="E49" i="13"/>
  <c r="AD48" i="13"/>
  <c r="AC48" i="13"/>
  <c r="AB48" i="13"/>
  <c r="U48" i="13"/>
  <c r="T48" i="13"/>
  <c r="S48" i="13"/>
  <c r="R48" i="13"/>
  <c r="Q48" i="13"/>
  <c r="E48" i="13"/>
  <c r="AD47" i="13"/>
  <c r="AC47" i="13"/>
  <c r="AB47" i="13"/>
  <c r="U47" i="13"/>
  <c r="T47" i="13"/>
  <c r="S47" i="13"/>
  <c r="R47" i="13"/>
  <c r="Q47" i="13"/>
  <c r="E47" i="13"/>
  <c r="AD46" i="13"/>
  <c r="AC46" i="13"/>
  <c r="AB46" i="13"/>
  <c r="U46" i="13"/>
  <c r="T46" i="13"/>
  <c r="R46" i="13"/>
  <c r="Q46" i="13"/>
  <c r="E46" i="13"/>
  <c r="AD45" i="13"/>
  <c r="AC45" i="13"/>
  <c r="AB45" i="13"/>
  <c r="U45" i="13"/>
  <c r="T45" i="13"/>
  <c r="S45" i="13"/>
  <c r="R45" i="13"/>
  <c r="Q45" i="13"/>
  <c r="E45" i="13"/>
  <c r="AD44" i="13"/>
  <c r="AC44" i="13"/>
  <c r="AB44" i="13"/>
  <c r="U44" i="13"/>
  <c r="T44" i="13"/>
  <c r="S44" i="13"/>
  <c r="R44" i="13"/>
  <c r="E44" i="13"/>
  <c r="AD43" i="13"/>
  <c r="AC43" i="13"/>
  <c r="AB43" i="13"/>
  <c r="U43" i="13"/>
  <c r="T43" i="13"/>
  <c r="S43" i="13"/>
  <c r="R43" i="13"/>
  <c r="Q43" i="13"/>
  <c r="E43" i="13"/>
  <c r="AD42" i="13"/>
  <c r="AC42" i="13"/>
  <c r="AB42" i="13"/>
  <c r="U42" i="13"/>
  <c r="T42" i="13"/>
  <c r="S42" i="13"/>
  <c r="R42" i="13"/>
  <c r="Q42" i="13"/>
  <c r="E42" i="13"/>
  <c r="AD41" i="13"/>
  <c r="AC41" i="13"/>
  <c r="AB41" i="13"/>
  <c r="U41" i="13"/>
  <c r="T41" i="13"/>
  <c r="S41" i="13"/>
  <c r="Q41" i="13"/>
  <c r="E41" i="13"/>
  <c r="AD40" i="13"/>
  <c r="AC40" i="13"/>
  <c r="AB40" i="13"/>
  <c r="U40" i="13"/>
  <c r="T40" i="13"/>
  <c r="S40" i="13"/>
  <c r="R40" i="13"/>
  <c r="Q40" i="13"/>
  <c r="E40" i="13"/>
  <c r="AD39" i="13"/>
  <c r="AC39" i="13"/>
  <c r="AB39" i="13"/>
  <c r="U39" i="13"/>
  <c r="T39" i="13"/>
  <c r="S39" i="13"/>
  <c r="R39" i="13"/>
  <c r="Q39" i="13"/>
  <c r="E39" i="13"/>
  <c r="AD38" i="13"/>
  <c r="AC38" i="13"/>
  <c r="AB38" i="13"/>
  <c r="U38" i="13"/>
  <c r="T38" i="13"/>
  <c r="R38" i="13"/>
  <c r="Q38" i="13"/>
  <c r="E38" i="13"/>
  <c r="AD37" i="13"/>
  <c r="AC37" i="13"/>
  <c r="AB37" i="13"/>
  <c r="U37" i="13"/>
  <c r="T37" i="13"/>
  <c r="S37" i="13"/>
  <c r="R37" i="13"/>
  <c r="Q37" i="13"/>
  <c r="E37" i="13"/>
  <c r="AD36" i="13"/>
  <c r="AC36" i="13"/>
  <c r="AB36" i="13"/>
  <c r="U36" i="13"/>
  <c r="T36" i="13"/>
  <c r="S36" i="13"/>
  <c r="R36" i="13"/>
  <c r="E36" i="13"/>
  <c r="AD35" i="13"/>
  <c r="AC35" i="13"/>
  <c r="AB35" i="13"/>
  <c r="U35" i="13"/>
  <c r="T35" i="13"/>
  <c r="S35" i="13"/>
  <c r="R35" i="13"/>
  <c r="Q35" i="13"/>
  <c r="E35" i="13"/>
  <c r="AD34" i="13"/>
  <c r="AC34" i="13"/>
  <c r="AB34" i="13"/>
  <c r="U34" i="13"/>
  <c r="T34" i="13"/>
  <c r="S34" i="13"/>
  <c r="R34" i="13"/>
  <c r="Q34" i="13"/>
  <c r="E34" i="13"/>
  <c r="AD33" i="13"/>
  <c r="AC33" i="13"/>
  <c r="AB33" i="13"/>
  <c r="U33" i="13"/>
  <c r="T33" i="13"/>
  <c r="S33" i="13"/>
  <c r="Q33" i="13"/>
  <c r="E33" i="13"/>
  <c r="AD32" i="13"/>
  <c r="AC32" i="13"/>
  <c r="AB32" i="13"/>
  <c r="U32" i="13"/>
  <c r="T32" i="13"/>
  <c r="S32" i="13"/>
  <c r="R32" i="13"/>
  <c r="Q32" i="13"/>
  <c r="E32" i="13"/>
  <c r="AD31" i="13"/>
  <c r="AC31" i="13"/>
  <c r="AB31" i="13"/>
  <c r="U31" i="13"/>
  <c r="T31" i="13"/>
  <c r="S31" i="13"/>
  <c r="R31" i="13"/>
  <c r="Q31" i="13"/>
  <c r="E31" i="13"/>
  <c r="AD30" i="13"/>
  <c r="AC30" i="13"/>
  <c r="AB30" i="13"/>
  <c r="U30" i="13"/>
  <c r="T30" i="13"/>
  <c r="R30" i="13"/>
  <c r="Q30" i="13"/>
  <c r="E30" i="13"/>
  <c r="AD29" i="13"/>
  <c r="AC29" i="13"/>
  <c r="AB29" i="13"/>
  <c r="U29" i="13"/>
  <c r="T29" i="13"/>
  <c r="S29" i="13"/>
  <c r="R29" i="13"/>
  <c r="Q29" i="13"/>
  <c r="E29" i="13"/>
  <c r="AD28" i="13"/>
  <c r="AC28" i="13"/>
  <c r="AB28" i="13"/>
  <c r="U28" i="13"/>
  <c r="T28" i="13"/>
  <c r="S28" i="13"/>
  <c r="R28" i="13"/>
  <c r="E28" i="13"/>
  <c r="AD27" i="13"/>
  <c r="AC27" i="13"/>
  <c r="AB27" i="13"/>
  <c r="U27" i="13"/>
  <c r="T27" i="13"/>
  <c r="S27" i="13"/>
  <c r="R27" i="13"/>
  <c r="Q27" i="13"/>
  <c r="E27" i="13"/>
  <c r="AD26" i="13"/>
  <c r="AC26" i="13"/>
  <c r="AB26" i="13"/>
  <c r="U26" i="13"/>
  <c r="T26" i="13"/>
  <c r="S26" i="13"/>
  <c r="R26" i="13"/>
  <c r="Q26" i="13"/>
  <c r="E26" i="13"/>
  <c r="AD25" i="13"/>
  <c r="AC25" i="13"/>
  <c r="AB25" i="13"/>
  <c r="U25" i="13"/>
  <c r="T25" i="13"/>
  <c r="S25" i="13"/>
  <c r="Q25" i="13"/>
  <c r="E25" i="13"/>
  <c r="AD24" i="13"/>
  <c r="AC24" i="13"/>
  <c r="AB24" i="13"/>
  <c r="U24" i="13"/>
  <c r="T24" i="13"/>
  <c r="S24" i="13"/>
  <c r="R24" i="13"/>
  <c r="Q24" i="13"/>
  <c r="E24" i="13"/>
  <c r="AD23" i="13"/>
  <c r="AC23" i="13"/>
  <c r="AB23" i="13"/>
  <c r="U23" i="13"/>
  <c r="T23" i="13"/>
  <c r="S23" i="13"/>
  <c r="R23" i="13"/>
  <c r="Q23" i="13"/>
  <c r="E23" i="13"/>
  <c r="AD22" i="13"/>
  <c r="AC22" i="13"/>
  <c r="AB22" i="13"/>
  <c r="U22" i="13"/>
  <c r="T22" i="13"/>
  <c r="R22" i="13"/>
  <c r="Q22" i="13"/>
  <c r="E22" i="13"/>
  <c r="AD21" i="13"/>
  <c r="AC21" i="13"/>
  <c r="AB21" i="13"/>
  <c r="U21" i="13"/>
  <c r="T21" i="13"/>
  <c r="S21" i="13"/>
  <c r="R21" i="13"/>
  <c r="Q21" i="13"/>
  <c r="E21" i="13"/>
  <c r="AD20" i="13"/>
  <c r="AC20" i="13"/>
  <c r="AB20" i="13"/>
  <c r="U20" i="13"/>
  <c r="T20" i="13"/>
  <c r="S20" i="13"/>
  <c r="R20" i="13"/>
  <c r="E20" i="13"/>
  <c r="AD19" i="13"/>
  <c r="AC19" i="13"/>
  <c r="AB19" i="13"/>
  <c r="U19" i="13"/>
  <c r="T19" i="13"/>
  <c r="S19" i="13"/>
  <c r="R19" i="13"/>
  <c r="Q19" i="13"/>
  <c r="E19" i="13"/>
  <c r="AD18" i="13"/>
  <c r="AC18" i="13"/>
  <c r="AB18" i="13"/>
  <c r="U18" i="13"/>
  <c r="T18" i="13"/>
  <c r="S18" i="13"/>
  <c r="R18" i="13"/>
  <c r="Q18" i="13"/>
  <c r="E18" i="13"/>
  <c r="AD17" i="13"/>
  <c r="AC17" i="13"/>
  <c r="AB17" i="13"/>
  <c r="U17" i="13"/>
  <c r="T17" i="13"/>
  <c r="S17" i="13"/>
  <c r="Q17" i="13"/>
  <c r="E17" i="13"/>
  <c r="AD16" i="13"/>
  <c r="AC16" i="13"/>
  <c r="AB16" i="13"/>
  <c r="U16" i="13"/>
  <c r="T16" i="13"/>
  <c r="S16" i="13"/>
  <c r="R16" i="13"/>
  <c r="Q16" i="13"/>
  <c r="E16" i="13"/>
  <c r="AD15" i="13"/>
  <c r="AC15" i="13"/>
  <c r="AB15" i="13"/>
  <c r="U15" i="13"/>
  <c r="T15" i="13"/>
  <c r="S15" i="13"/>
  <c r="R15" i="13"/>
  <c r="Q15" i="13"/>
  <c r="E15" i="13"/>
  <c r="AD14" i="13"/>
  <c r="AC14" i="13"/>
  <c r="AB14" i="13"/>
  <c r="U14" i="13"/>
  <c r="T14" i="13"/>
  <c r="R14" i="13"/>
  <c r="Q14" i="13"/>
  <c r="E14" i="13"/>
  <c r="AD13" i="13"/>
  <c r="AC13" i="13"/>
  <c r="AB13" i="13"/>
  <c r="U13" i="13"/>
  <c r="T13" i="13"/>
  <c r="S13" i="13"/>
  <c r="R13" i="13"/>
  <c r="Q13" i="13"/>
  <c r="E13" i="13"/>
  <c r="AD12" i="13"/>
  <c r="AC12" i="13"/>
  <c r="AB12" i="13"/>
  <c r="U12" i="13"/>
  <c r="T12" i="13"/>
  <c r="S12" i="13"/>
  <c r="R12" i="13"/>
  <c r="E12" i="13"/>
  <c r="AD11" i="13"/>
  <c r="AC11" i="13"/>
  <c r="AB11" i="13"/>
  <c r="U11" i="13"/>
  <c r="T11" i="13"/>
  <c r="S11" i="13"/>
  <c r="R11" i="13"/>
  <c r="Q11" i="13"/>
  <c r="E11" i="13"/>
  <c r="AD10" i="13"/>
  <c r="AC10" i="13"/>
  <c r="AB10" i="13"/>
  <c r="U10" i="13"/>
  <c r="T10" i="13"/>
  <c r="S10" i="13"/>
  <c r="R10" i="13"/>
  <c r="Q10" i="13"/>
  <c r="E10" i="13"/>
  <c r="AD9" i="13"/>
  <c r="AC9" i="13"/>
  <c r="AB9" i="13"/>
  <c r="U9" i="13"/>
  <c r="T9" i="13"/>
  <c r="S9" i="13"/>
  <c r="Q9" i="13"/>
  <c r="E9" i="13"/>
  <c r="AD8" i="13"/>
  <c r="AC8" i="13"/>
  <c r="AB8" i="13"/>
  <c r="U8" i="13"/>
  <c r="T8" i="13"/>
  <c r="S8" i="13"/>
  <c r="R8" i="13"/>
  <c r="Q8" i="13"/>
  <c r="E8" i="13"/>
  <c r="AD7" i="13"/>
  <c r="AC7" i="13"/>
  <c r="AB7" i="13"/>
  <c r="U7" i="13"/>
  <c r="T7" i="13"/>
  <c r="S7" i="13"/>
  <c r="R7" i="13"/>
  <c r="Q7" i="13"/>
  <c r="E7" i="13"/>
  <c r="AD6" i="13"/>
  <c r="AC6" i="13"/>
  <c r="AB6" i="13"/>
  <c r="U6" i="13"/>
  <c r="T6" i="13"/>
  <c r="R6" i="13"/>
  <c r="Q6" i="13"/>
  <c r="E6" i="13"/>
  <c r="AD5" i="13"/>
  <c r="AC5" i="13"/>
  <c r="AB5" i="13"/>
  <c r="U5" i="13"/>
  <c r="T5" i="13"/>
  <c r="S5" i="13"/>
  <c r="R5" i="13"/>
  <c r="Q5" i="13"/>
  <c r="E5" i="13"/>
  <c r="AD4" i="13"/>
  <c r="AC4" i="13"/>
  <c r="AB4" i="13"/>
  <c r="U4" i="13"/>
  <c r="T4" i="13"/>
  <c r="S4" i="13"/>
  <c r="R4" i="13"/>
  <c r="E4" i="13"/>
  <c r="AD3" i="13"/>
  <c r="AC3" i="13"/>
  <c r="AB3" i="13"/>
  <c r="U3" i="13"/>
  <c r="T3" i="13"/>
  <c r="S3" i="13"/>
  <c r="R3" i="13"/>
  <c r="Q3" i="13"/>
  <c r="E3" i="13"/>
  <c r="AD2" i="13"/>
  <c r="AC2" i="13"/>
  <c r="AB2" i="13"/>
  <c r="U2" i="13"/>
  <c r="T2" i="13"/>
  <c r="S2" i="13"/>
  <c r="R2" i="13"/>
  <c r="Q2" i="13"/>
  <c r="E2" i="13"/>
  <c r="G76" i="9"/>
  <c r="F76" i="9"/>
  <c r="E76" i="9"/>
  <c r="G75" i="9"/>
  <c r="E75" i="9"/>
  <c r="F75" i="9" s="1"/>
  <c r="G74" i="9"/>
  <c r="E74" i="9"/>
  <c r="F74" i="9" s="1"/>
  <c r="G73" i="9"/>
  <c r="E73" i="9"/>
  <c r="F73" i="9" s="1"/>
  <c r="G72" i="9"/>
  <c r="F72" i="9"/>
  <c r="E72" i="9"/>
  <c r="G71" i="9"/>
  <c r="E71" i="9"/>
  <c r="F71" i="9" s="1"/>
  <c r="G70" i="9"/>
  <c r="F70" i="9"/>
  <c r="E70" i="9"/>
  <c r="G69" i="9"/>
  <c r="E69" i="9"/>
  <c r="F69" i="9" s="1"/>
  <c r="G68" i="9"/>
  <c r="F68" i="9"/>
  <c r="E68" i="9"/>
  <c r="G67" i="9"/>
  <c r="E67" i="9"/>
  <c r="F67" i="9" s="1"/>
  <c r="G66" i="9"/>
  <c r="E66" i="9"/>
  <c r="F66" i="9" s="1"/>
  <c r="G65" i="9"/>
  <c r="E65" i="9"/>
  <c r="F65" i="9" s="1"/>
  <c r="G64" i="9"/>
  <c r="F64" i="9"/>
  <c r="E64" i="9"/>
  <c r="G63" i="9"/>
  <c r="E63" i="9"/>
  <c r="F63" i="9" s="1"/>
  <c r="G62" i="9"/>
  <c r="F62" i="9"/>
  <c r="E62" i="9"/>
  <c r="G61" i="9"/>
  <c r="E61" i="9"/>
  <c r="F61" i="9" s="1"/>
  <c r="G60" i="9"/>
  <c r="F60" i="9"/>
  <c r="E60" i="9"/>
  <c r="G59" i="9"/>
  <c r="E59" i="9"/>
  <c r="F59" i="9" s="1"/>
  <c r="G58" i="9"/>
  <c r="E58" i="9"/>
  <c r="F58" i="9" s="1"/>
  <c r="G57" i="9"/>
  <c r="E57" i="9"/>
  <c r="F57" i="9" s="1"/>
  <c r="G56" i="9"/>
  <c r="F56" i="9"/>
  <c r="E56" i="9"/>
  <c r="G55" i="9"/>
  <c r="E55" i="9"/>
  <c r="F55" i="9" s="1"/>
  <c r="G54" i="9"/>
  <c r="F54" i="9"/>
  <c r="E54" i="9"/>
  <c r="G53" i="9"/>
  <c r="E53" i="9"/>
  <c r="F53" i="9" s="1"/>
  <c r="G52" i="9"/>
  <c r="F52" i="9"/>
  <c r="E52" i="9"/>
  <c r="G51" i="9"/>
  <c r="E51" i="9"/>
  <c r="F51" i="9" s="1"/>
  <c r="G50" i="9"/>
  <c r="E50" i="9"/>
  <c r="F50" i="9" s="1"/>
  <c r="G49" i="9"/>
  <c r="E49" i="9"/>
  <c r="F49" i="9" s="1"/>
  <c r="G48" i="9"/>
  <c r="F48" i="9"/>
  <c r="E48" i="9"/>
  <c r="G47" i="9"/>
  <c r="E47" i="9"/>
  <c r="F47" i="9" s="1"/>
  <c r="G46" i="9"/>
  <c r="F46" i="9"/>
  <c r="E46" i="9"/>
  <c r="G45" i="9"/>
  <c r="E45" i="9"/>
  <c r="F45" i="9" s="1"/>
  <c r="G44" i="9"/>
  <c r="F44" i="9"/>
  <c r="E44" i="9"/>
  <c r="G43" i="9"/>
  <c r="E43" i="9"/>
  <c r="F43" i="9" s="1"/>
  <c r="G42" i="9"/>
  <c r="E42" i="9"/>
  <c r="F42" i="9" s="1"/>
  <c r="G41" i="9"/>
  <c r="E41" i="9"/>
  <c r="F41" i="9" s="1"/>
  <c r="G40" i="9"/>
  <c r="F40" i="9"/>
  <c r="E40" i="9"/>
  <c r="G39" i="9"/>
  <c r="E39" i="9"/>
  <c r="F39" i="9" s="1"/>
  <c r="G38" i="9"/>
  <c r="F38" i="9"/>
  <c r="E38" i="9"/>
  <c r="G37" i="9"/>
  <c r="E37" i="9"/>
  <c r="F37" i="9" s="1"/>
  <c r="G36" i="9"/>
  <c r="F36" i="9"/>
  <c r="E36" i="9"/>
  <c r="G35" i="9"/>
  <c r="E35" i="9"/>
  <c r="F35" i="9" s="1"/>
  <c r="G34" i="9"/>
  <c r="E34" i="9"/>
  <c r="F34" i="9" s="1"/>
  <c r="G33" i="9"/>
  <c r="E33" i="9"/>
  <c r="F33" i="9" s="1"/>
  <c r="G32" i="9"/>
  <c r="F32" i="9"/>
  <c r="E32" i="9"/>
  <c r="G31" i="9"/>
  <c r="E31" i="9"/>
  <c r="F31" i="9" s="1"/>
  <c r="G30" i="9"/>
  <c r="F30" i="9"/>
  <c r="E30" i="9"/>
  <c r="G29" i="9"/>
  <c r="E29" i="9"/>
  <c r="F29" i="9" s="1"/>
  <c r="G28" i="9"/>
  <c r="F28" i="9"/>
  <c r="E28" i="9"/>
  <c r="G27" i="9"/>
  <c r="E27" i="9"/>
  <c r="F27" i="9" s="1"/>
  <c r="G26" i="9"/>
  <c r="E26" i="9"/>
  <c r="F26" i="9" s="1"/>
  <c r="G25" i="9"/>
  <c r="E25" i="9"/>
  <c r="F25" i="9" s="1"/>
  <c r="G24" i="9"/>
  <c r="F24" i="9"/>
  <c r="E24" i="9"/>
  <c r="G23" i="9"/>
  <c r="E23" i="9"/>
  <c r="F23" i="9" s="1"/>
  <c r="G22" i="9"/>
  <c r="F22" i="9"/>
  <c r="E22" i="9"/>
  <c r="G21" i="9"/>
  <c r="E21" i="9"/>
  <c r="F21" i="9" s="1"/>
  <c r="G20" i="9"/>
  <c r="F20" i="9"/>
  <c r="E20" i="9"/>
  <c r="G19" i="9"/>
  <c r="E19" i="9"/>
  <c r="F19" i="9" s="1"/>
  <c r="G18" i="9"/>
  <c r="E18" i="9"/>
  <c r="F18" i="9" s="1"/>
  <c r="G17" i="9"/>
  <c r="E17" i="9"/>
  <c r="F17" i="9" s="1"/>
  <c r="G16" i="9"/>
  <c r="F16" i="9"/>
  <c r="E16" i="9"/>
  <c r="G15" i="9"/>
  <c r="E15" i="9"/>
  <c r="F15" i="9" s="1"/>
  <c r="G14" i="9"/>
  <c r="F14" i="9"/>
  <c r="E14" i="9"/>
  <c r="G13" i="9"/>
  <c r="E13" i="9"/>
  <c r="F13" i="9" s="1"/>
  <c r="G12" i="9"/>
  <c r="F12" i="9"/>
  <c r="E12" i="9"/>
  <c r="G11" i="9"/>
  <c r="E11" i="9"/>
  <c r="F11" i="9" s="1"/>
  <c r="G10" i="9"/>
  <c r="E10" i="9"/>
  <c r="F10" i="9" s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</calcChain>
</file>

<file path=xl/sharedStrings.xml><?xml version="1.0" encoding="utf-8"?>
<sst xmlns="http://schemas.openxmlformats.org/spreadsheetml/2006/main" count="33227" uniqueCount="3205">
  <si>
    <t>Zona</t>
  </si>
  <si>
    <t>PORTAFOLIO</t>
  </si>
  <si>
    <t>TIENDAS</t>
  </si>
  <si>
    <t>ITEMS</t>
  </si>
  <si>
    <t>Tienda</t>
  </si>
  <si>
    <t>S03</t>
  </si>
  <si>
    <t>S11</t>
  </si>
  <si>
    <t>S15</t>
  </si>
  <si>
    <t>S24</t>
  </si>
  <si>
    <t>S25</t>
  </si>
  <si>
    <t>S31</t>
  </si>
  <si>
    <t>S32</t>
  </si>
  <si>
    <t>S57</t>
  </si>
  <si>
    <t>S60</t>
  </si>
  <si>
    <t>S70</t>
  </si>
  <si>
    <t>S72</t>
  </si>
  <si>
    <t>S90</t>
  </si>
  <si>
    <t>S97</t>
  </si>
  <si>
    <t>SA4</t>
  </si>
  <si>
    <t>SA6</t>
  </si>
  <si>
    <t>SA7</t>
  </si>
  <si>
    <t>SA9</t>
  </si>
  <si>
    <t>SB2</t>
  </si>
  <si>
    <t>SB3</t>
  </si>
  <si>
    <t>SB5</t>
  </si>
  <si>
    <t>SC0</t>
  </si>
  <si>
    <t>SC1</t>
  </si>
  <si>
    <t>SC2</t>
  </si>
  <si>
    <t>SC8</t>
  </si>
  <si>
    <t>SD3</t>
  </si>
  <si>
    <t>SD4</t>
  </si>
  <si>
    <t>SD8</t>
  </si>
  <si>
    <t>SD9</t>
  </si>
  <si>
    <t>SE1</t>
  </si>
  <si>
    <t>SE3</t>
  </si>
  <si>
    <t>S04</t>
  </si>
  <si>
    <t>S17</t>
  </si>
  <si>
    <t>S18</t>
  </si>
  <si>
    <t>S26</t>
  </si>
  <si>
    <t>S27</t>
  </si>
  <si>
    <t>S29</t>
  </si>
  <si>
    <t>S34</t>
  </si>
  <si>
    <t>S59</t>
  </si>
  <si>
    <t>S65</t>
  </si>
  <si>
    <t>S74</t>
  </si>
  <si>
    <t>S78</t>
  </si>
  <si>
    <t>S79</t>
  </si>
  <si>
    <t>S80</t>
  </si>
  <si>
    <t>S82</t>
  </si>
  <si>
    <t>S83</t>
  </si>
  <si>
    <t>S93</t>
  </si>
  <si>
    <t>S94</t>
  </si>
  <si>
    <t>S98</t>
  </si>
  <si>
    <t>SA0</t>
  </si>
  <si>
    <t>SA1</t>
  </si>
  <si>
    <t>SA5</t>
  </si>
  <si>
    <t>SB4</t>
  </si>
  <si>
    <t>SB7</t>
  </si>
  <si>
    <t>SB8</t>
  </si>
  <si>
    <t>SC4</t>
  </si>
  <si>
    <t>SC5</t>
  </si>
  <si>
    <t>SD0</t>
  </si>
  <si>
    <t>SD5</t>
  </si>
  <si>
    <t>SE5</t>
  </si>
  <si>
    <t>SE6</t>
  </si>
  <si>
    <t>SE8</t>
  </si>
  <si>
    <t>S06</t>
  </si>
  <si>
    <t>S07</t>
  </si>
  <si>
    <t>S09</t>
  </si>
  <si>
    <t>S16</t>
  </si>
  <si>
    <t>S19</t>
  </si>
  <si>
    <t>S20</t>
  </si>
  <si>
    <t>S30</t>
  </si>
  <si>
    <t>S53</t>
  </si>
  <si>
    <t>S55</t>
  </si>
  <si>
    <t>S56</t>
  </si>
  <si>
    <t>S63</t>
  </si>
  <si>
    <t>S69</t>
  </si>
  <si>
    <t>S71</t>
  </si>
  <si>
    <t>S86</t>
  </si>
  <si>
    <t>S73</t>
  </si>
  <si>
    <t>S87</t>
  </si>
  <si>
    <t>S96</t>
  </si>
  <si>
    <t>SA8</t>
  </si>
  <si>
    <t>SB0</t>
  </si>
  <si>
    <t>SB1</t>
  </si>
  <si>
    <t>SB6</t>
  </si>
  <si>
    <t>SB9</t>
  </si>
  <si>
    <t>SC3</t>
  </si>
  <si>
    <t>SA2</t>
  </si>
  <si>
    <t>SC6</t>
  </si>
  <si>
    <t>SC7</t>
  </si>
  <si>
    <t>SD1</t>
  </si>
  <si>
    <t>SD6</t>
  </si>
  <si>
    <t>SD7</t>
  </si>
  <si>
    <t>SE0</t>
  </si>
  <si>
    <t>SE2</t>
  </si>
  <si>
    <t>SE4</t>
  </si>
  <si>
    <t>SE7</t>
  </si>
  <si>
    <t>SC9</t>
  </si>
  <si>
    <t>BASICO</t>
  </si>
  <si>
    <t>Nombre tienda</t>
  </si>
  <si>
    <t>SUBA VILLA GLORIA</t>
  </si>
  <si>
    <t>UBATE JJ</t>
  </si>
  <si>
    <t>FONTIBON PLAZA</t>
  </si>
  <si>
    <t>JUAN REY</t>
  </si>
  <si>
    <t>LA VICTORIA</t>
  </si>
  <si>
    <t>CHIPAQUE CENTRO</t>
  </si>
  <si>
    <t>SOACHA DESPENSA</t>
  </si>
  <si>
    <t>BOSA LAURELES</t>
  </si>
  <si>
    <t>LUCERO BAJO</t>
  </si>
  <si>
    <t>SILVANIA</t>
  </si>
  <si>
    <t>PATIO BONITO 87</t>
  </si>
  <si>
    <t>SAN JOAQUIN B</t>
  </si>
  <si>
    <t>SAN VICENTE FERRER</t>
  </si>
  <si>
    <t>ISIMO LOMAS</t>
  </si>
  <si>
    <t>ISIMO VARIANTE CELTA</t>
  </si>
  <si>
    <t>ISIMO TIBABUYES</t>
  </si>
  <si>
    <t>ISIMO INDEPENDENCIA</t>
  </si>
  <si>
    <t>ISIMO ESMERALDA</t>
  </si>
  <si>
    <t>ISIMO LA ESTACION</t>
  </si>
  <si>
    <t>ISIMO BOSA LA LIBERTAD</t>
  </si>
  <si>
    <t>ISIMO DIVINO NIÑO</t>
  </si>
  <si>
    <t>ISIMO DINDALITO</t>
  </si>
  <si>
    <t>VILLA SUAITA</t>
  </si>
  <si>
    <t>MARCO FIDEL</t>
  </si>
  <si>
    <t>TINTALITO</t>
  </si>
  <si>
    <t>ISIMO LIBERTADORES</t>
  </si>
  <si>
    <t>COSTA AZUL</t>
  </si>
  <si>
    <t>SUBA LA GAITANA</t>
  </si>
  <si>
    <t>RESTREPO OCCIDENTAL</t>
  </si>
  <si>
    <t>ISIMO SANTA LIBRADA</t>
  </si>
  <si>
    <t>BOGOTA SUBA AURES 1</t>
  </si>
  <si>
    <t>FACA SANTANDER</t>
  </si>
  <si>
    <t>FUNZA ZUAME</t>
  </si>
  <si>
    <t>OLARTE VILLA DEL RIO</t>
  </si>
  <si>
    <t>PARQUE LUIS CARLOS GALAN</t>
  </si>
  <si>
    <t>SAN CRISTOBAL SUR</t>
  </si>
  <si>
    <t>FUSAGASUGA</t>
  </si>
  <si>
    <t>RESTREPO</t>
  </si>
  <si>
    <t>TABIO</t>
  </si>
  <si>
    <t>CARMEN</t>
  </si>
  <si>
    <t>CIUDAD JARDIN</t>
  </si>
  <si>
    <t>USME PUEBLO</t>
  </si>
  <si>
    <t>ZIPAQUIRA LA PAZ</t>
  </si>
  <si>
    <t>SOACHA ESQUINA</t>
  </si>
  <si>
    <t>MONTE BLANCO</t>
  </si>
  <si>
    <t>SOPO CENTRO</t>
  </si>
  <si>
    <t>MINUTO DE DIOS</t>
  </si>
  <si>
    <t>VILLA GLADY</t>
  </si>
  <si>
    <t>SAN FRANCISCO</t>
  </si>
  <si>
    <t>SAN BLAS</t>
  </si>
  <si>
    <t>ISIMO EL TREBOL</t>
  </si>
  <si>
    <t>ISIMO SANTAFE</t>
  </si>
  <si>
    <t>ISIMO LIJACA</t>
  </si>
  <si>
    <t>ISIMO MONTANA</t>
  </si>
  <si>
    <t>BRAVO PAEZ</t>
  </si>
  <si>
    <t>TIHUAQUE</t>
  </si>
  <si>
    <t>VILLA ESPERANZA</t>
  </si>
  <si>
    <t>VILLA SONIA</t>
  </si>
  <si>
    <t>ISIMO MOLINOS</t>
  </si>
  <si>
    <t>ISIMO LUCERO SUR</t>
  </si>
  <si>
    <t>ISIMO FUSAGASUGA BALMORAL</t>
  </si>
  <si>
    <t>CEDRO GOLF</t>
  </si>
  <si>
    <t>LOS CEDROS</t>
  </si>
  <si>
    <t>SANTA TERESA</t>
  </si>
  <si>
    <t>NORMANDIA OCCIDENTAL 2</t>
  </si>
  <si>
    <t>POLO CLUB</t>
  </si>
  <si>
    <t>QUESADA</t>
  </si>
  <si>
    <t>SANTA RITA</t>
  </si>
  <si>
    <t>QUINTA PAREDES EMBAJADA</t>
  </si>
  <si>
    <t>QUIRIGUA</t>
  </si>
  <si>
    <t>22 SUR</t>
  </si>
  <si>
    <t>SUBA HOSPITAL</t>
  </si>
  <si>
    <t>MAZUREN</t>
  </si>
  <si>
    <t>UNIR TIERRA NEGRA</t>
  </si>
  <si>
    <t>CHUCUA</t>
  </si>
  <si>
    <t>NUEVO MUZÚ</t>
  </si>
  <si>
    <t>RESERVAS DEL PORVENIR</t>
  </si>
  <si>
    <t>MODELIA</t>
  </si>
  <si>
    <t>ISIMO PRADO 138</t>
  </si>
  <si>
    <t>ISIMO TOSCANA</t>
  </si>
  <si>
    <t>ISIMO ANILLO VIAL</t>
  </si>
  <si>
    <t>ISIMO CHIA CALATRAVA</t>
  </si>
  <si>
    <t>ISIMO EL CAMPIN</t>
  </si>
  <si>
    <t>UNICENTRO DE OCCIDENTE</t>
  </si>
  <si>
    <t>SUBA FONTANAR</t>
  </si>
  <si>
    <t>MANDALAY</t>
  </si>
  <si>
    <t>LUJAN</t>
  </si>
  <si>
    <t>CARIMAGUA</t>
  </si>
  <si>
    <t>MILENIUM</t>
  </si>
  <si>
    <t>CIUDAD ORIENTAL</t>
  </si>
  <si>
    <t>ISIMO MALL SANTA CRUZ</t>
  </si>
  <si>
    <t>ISIMO VILLA ALSACIA</t>
  </si>
  <si>
    <t>ISIMO LEON XIII</t>
  </si>
  <si>
    <t>ISIMO SUBA CRA 91</t>
  </si>
  <si>
    <t>BOSA NARANJO</t>
  </si>
  <si>
    <t>N S E</t>
  </si>
  <si>
    <t>MED ALTO</t>
  </si>
  <si>
    <t>BAJO</t>
  </si>
  <si>
    <t>EXTENDIDO</t>
  </si>
  <si>
    <t>NEVERA AUTOCONTENIDA</t>
  </si>
  <si>
    <t>NO</t>
  </si>
  <si>
    <t>NEVERA F</t>
  </si>
  <si>
    <t>CANTIDAD MUEBLES FRUVER</t>
  </si>
  <si>
    <t>EXCEPCIÓN</t>
  </si>
  <si>
    <t>VTA PROM FRUVER</t>
  </si>
  <si>
    <t>TIPO DE PORTAFOLIO</t>
  </si>
  <si>
    <t>B</t>
  </si>
  <si>
    <t>B + E</t>
  </si>
  <si>
    <t>B + E +N</t>
  </si>
  <si>
    <t>excepción</t>
  </si>
  <si>
    <t>ITEM</t>
  </si>
  <si>
    <t>DESCRIPCION</t>
  </si>
  <si>
    <t>CLUSTERIZACIÓN</t>
  </si>
  <si>
    <t>ESTADO</t>
  </si>
  <si>
    <t>$ MERMA</t>
  </si>
  <si>
    <t>% MERMA</t>
  </si>
  <si>
    <t>VENTA</t>
  </si>
  <si>
    <t>EXHIBICION</t>
  </si>
  <si>
    <t>CARAS BSC</t>
  </si>
  <si>
    <t>CARAS BSC+EXT</t>
  </si>
  <si>
    <t>CARAS BSC+EXT+NEV</t>
  </si>
  <si>
    <t>U.M.</t>
  </si>
  <si>
    <t>AGUACATE HASS UND</t>
  </si>
  <si>
    <t>TODOS</t>
  </si>
  <si>
    <t>ACTIVO</t>
  </si>
  <si>
    <t>SECO</t>
  </si>
  <si>
    <t>CN36</t>
  </si>
  <si>
    <t>X</t>
  </si>
  <si>
    <t>AGUACATE VARIEDAD UNIDAD</t>
  </si>
  <si>
    <t>MEDIO ALTO</t>
  </si>
  <si>
    <t>CN10</t>
  </si>
  <si>
    <t>AHUYAMA ZAKATA 600 G</t>
  </si>
  <si>
    <t>AJO 3 UND</t>
  </si>
  <si>
    <t>CN50</t>
  </si>
  <si>
    <t>APIO 300 G</t>
  </si>
  <si>
    <t>INACTIVO</t>
  </si>
  <si>
    <t>FRIO</t>
  </si>
  <si>
    <t>CN08</t>
  </si>
  <si>
    <t>ARANDANOS FRESCOS 125 G</t>
  </si>
  <si>
    <t>CN12</t>
  </si>
  <si>
    <t>ARANDANOS FRESCOS PURE VALLEY 125 G</t>
  </si>
  <si>
    <t>ARANDANOS FRESCOS 500 G</t>
  </si>
  <si>
    <t>ARVEJA DESGRANADA 150 G</t>
  </si>
  <si>
    <t>BANANO UNIDAD</t>
  </si>
  <si>
    <t>C100</t>
  </si>
  <si>
    <t>BROCOLI 250 G</t>
  </si>
  <si>
    <t>CN06</t>
  </si>
  <si>
    <t>CEBOLLA BLANCA  SEMIPELADA  CABEZONA 1000 G</t>
  </si>
  <si>
    <t>CEBOLLA BLANCA CABEZONA 500 G</t>
  </si>
  <si>
    <t>CEBOLLA LARGA 500G</t>
  </si>
  <si>
    <t>CEBOLLA ROJA 500 G</t>
  </si>
  <si>
    <t>CHAMPIÑON ENTERO 250 G</t>
  </si>
  <si>
    <t>CILANTRO 120 G</t>
  </si>
  <si>
    <t>CIRUELA IMPORTADA 500 G</t>
  </si>
  <si>
    <t>CIRUELA NACIONAL 400 G</t>
  </si>
  <si>
    <t>COGOLLO  3 UNIDADES 300 G</t>
  </si>
  <si>
    <t>ESPINACA  150 G</t>
  </si>
  <si>
    <t>FRESA 250 G - PURE VALLEY</t>
  </si>
  <si>
    <t>FRESA PARA JUGO  500 G</t>
  </si>
  <si>
    <t>FLOR DE JAMAICA 15 G</t>
  </si>
  <si>
    <t>GRANADILLA  450 G</t>
  </si>
  <si>
    <t>GUAYABA PERA 500 G</t>
  </si>
  <si>
    <t>GULUPA 500 G</t>
  </si>
  <si>
    <t>KIWI 200 G</t>
  </si>
  <si>
    <t>LECHUGA BATAVIA UND</t>
  </si>
  <si>
    <t>LECHUGA CRESPA VERDE  UNIDAD</t>
  </si>
  <si>
    <t>LIMON TAHITI 500 G</t>
  </si>
  <si>
    <t>LIMON X 1000 G</t>
  </si>
  <si>
    <t>LULO 600 G</t>
  </si>
  <si>
    <t>MANDARINA 500 G</t>
  </si>
  <si>
    <t>MANDARINA IMPORTADA *500GR</t>
  </si>
  <si>
    <t>MANGO VARIEDAD UNIDAD</t>
  </si>
  <si>
    <t>MANZANA MIXTA LONCHERA  500 G</t>
  </si>
  <si>
    <t>MANZANA PINK LADY</t>
  </si>
  <si>
    <t>CN15</t>
  </si>
  <si>
    <t>MANZANA  ROYAL GALA UND</t>
  </si>
  <si>
    <t>CN25</t>
  </si>
  <si>
    <t>MANZANA ROYAL BOLSA  500 G</t>
  </si>
  <si>
    <t>MANZANA VERDE BOLSA  500 G</t>
  </si>
  <si>
    <t>MANZANA VERDE UND</t>
  </si>
  <si>
    <t>MARACUYA 750 G</t>
  </si>
  <si>
    <t>MAZORCA  600 G</t>
  </si>
  <si>
    <t>MIX FRUTAS IMPORTADAS</t>
  </si>
  <si>
    <t>NARANJA TANGELO 1000 G</t>
  </si>
  <si>
    <t>NARANJA VALENCIA MEDIANA  1500 G</t>
  </si>
  <si>
    <t>NECTARIN  500 G</t>
  </si>
  <si>
    <t>PAPA 1000 GR</t>
  </si>
  <si>
    <t>PAPA 2000 G</t>
  </si>
  <si>
    <t>PAPA PAREJA  1000 (MINI ) G</t>
  </si>
  <si>
    <t>PAPAYA 800 G</t>
  </si>
  <si>
    <t>PAPAYA MEDIANA UNIDAD</t>
  </si>
  <si>
    <t>PEPINO COHOMBRO UND</t>
  </si>
  <si>
    <t>PERA VERDE IMPORTADA UNIDAD</t>
  </si>
  <si>
    <t>CN22</t>
  </si>
  <si>
    <t>PIMENTON 300 G</t>
  </si>
  <si>
    <t>PINA UNIDAD</t>
  </si>
  <si>
    <t>PLATANO HARTON 1000 G</t>
  </si>
  <si>
    <t>PLATANO UND</t>
  </si>
  <si>
    <t>CN24</t>
  </si>
  <si>
    <t>RAIZ CHINA 150 G</t>
  </si>
  <si>
    <t>RABANO  250 G</t>
  </si>
  <si>
    <t>RUGULA 200 G</t>
  </si>
  <si>
    <t>SANDIA BABY UNIDAD</t>
  </si>
  <si>
    <t>TOMATE  DE ARBOL 500 G</t>
  </si>
  <si>
    <t>TOMATE CHERRY 250 G - PURE VALLEY</t>
  </si>
  <si>
    <t>TOMATE UVALINA</t>
  </si>
  <si>
    <t>TOMATE CHONTO 1000 G</t>
  </si>
  <si>
    <t>TOMATE CHONTO 500 G</t>
  </si>
  <si>
    <t>UCHUVA  300 G</t>
  </si>
  <si>
    <t>UVA ISABELLA 400 G</t>
  </si>
  <si>
    <t>UVA MIXTA 400 G</t>
  </si>
  <si>
    <t>UVA RED GLOBE 400 G</t>
  </si>
  <si>
    <t>UVA VERDE SIN SEMILLA 400 G</t>
  </si>
  <si>
    <t>ZANAHORIA 600 G</t>
  </si>
  <si>
    <t>ZANAHORIA X 1000 G</t>
  </si>
  <si>
    <t>ZUCCHINI AMARILLO  500 G</t>
  </si>
  <si>
    <t>ZUCCHINI VERDE  500 G</t>
  </si>
  <si>
    <t>NSE</t>
  </si>
  <si>
    <t>SUBA AURES 1</t>
  </si>
  <si>
    <t>ISIMO SAN BLAS</t>
  </si>
  <si>
    <t>ISIMO LA LIBERTAD</t>
  </si>
  <si>
    <t>ISIMO MARCO FIDEL</t>
  </si>
  <si>
    <t>ISIMO TINTALITO</t>
  </si>
  <si>
    <t>ISIMO GAITANA</t>
  </si>
  <si>
    <t>ZIPAQUIRA PAZ</t>
  </si>
  <si>
    <t>SAN VICENTE DE FERRER</t>
  </si>
  <si>
    <t>VILLA GLADYS</t>
  </si>
  <si>
    <t>ISIMO TIHUAQUE</t>
  </si>
  <si>
    <t>ISIMO VILLA ESPERANZA</t>
  </si>
  <si>
    <t>CEDROS</t>
  </si>
  <si>
    <t>NUEVO MUZU</t>
  </si>
  <si>
    <t>ISIMO SUBA FONTANAR</t>
  </si>
  <si>
    <t>ISIMO CALATRAVA</t>
  </si>
  <si>
    <t>ISIMO UNICENTRO DE OCCIDENTE</t>
  </si>
  <si>
    <t>ISIMO BRAVO PAEZ</t>
  </si>
  <si>
    <t>ISIMO MANDALAY</t>
  </si>
  <si>
    <t>ISIMO LUJAN</t>
  </si>
  <si>
    <t>ISIMO CARIMAGUA</t>
  </si>
  <si>
    <t>SD2</t>
  </si>
  <si>
    <t>CERRADA</t>
  </si>
  <si>
    <t>ISIMO CIUDAD ORIENTAL</t>
  </si>
  <si>
    <t>ISIMO NARANJOS</t>
  </si>
  <si>
    <t>CES</t>
  </si>
  <si>
    <t>COD</t>
  </si>
  <si>
    <t>TIENDA</t>
  </si>
  <si>
    <t>NEVERA FRUVER</t>
  </si>
  <si>
    <t>PORTAFOLIO FRUVER</t>
  </si>
  <si>
    <t>ESTRATO</t>
  </si>
  <si>
    <t>AREA M2</t>
  </si>
  <si>
    <t>AREA VENTAS</t>
  </si>
  <si>
    <t>BÁSICO</t>
  </si>
  <si>
    <t>SI</t>
  </si>
  <si>
    <t>BÁSICO + EXTENDIDO + NEVERA FRUVER</t>
  </si>
  <si>
    <t>BÁSICO + EXTENDIDO</t>
  </si>
  <si>
    <t>TIPOLOGIA NSE</t>
  </si>
  <si>
    <t># ZONA</t>
  </si>
  <si>
    <t>ZONA 6</t>
  </si>
  <si>
    <t>ZONA 8</t>
  </si>
  <si>
    <t>ZONA 7</t>
  </si>
  <si>
    <t>ZONA 1</t>
  </si>
  <si>
    <t>ZONA 5</t>
  </si>
  <si>
    <t>ZONA 3</t>
  </si>
  <si>
    <t>ZONA 2</t>
  </si>
  <si>
    <t>ZONA 4</t>
  </si>
  <si>
    <t>S05</t>
  </si>
  <si>
    <t>CHIA FAGUA</t>
  </si>
  <si>
    <t>S08</t>
  </si>
  <si>
    <t>SAN ANTONIO</t>
  </si>
  <si>
    <t>S10</t>
  </si>
  <si>
    <t>USAQUEN SANTA CECILIA</t>
  </si>
  <si>
    <t>S13</t>
  </si>
  <si>
    <t>ENGATIVA PUEBLO 2</t>
  </si>
  <si>
    <t>S14</t>
  </si>
  <si>
    <t>FLORIDA</t>
  </si>
  <si>
    <t>S21</t>
  </si>
  <si>
    <t>RIO NEGRO</t>
  </si>
  <si>
    <t>S23</t>
  </si>
  <si>
    <t>FUNDADORES</t>
  </si>
  <si>
    <t>S28</t>
  </si>
  <si>
    <t>PATIO BONITO</t>
  </si>
  <si>
    <t>S33</t>
  </si>
  <si>
    <t>SOACHA CHICO SUR</t>
  </si>
  <si>
    <t>S35</t>
  </si>
  <si>
    <t>AGUAZUL</t>
  </si>
  <si>
    <t>S36</t>
  </si>
  <si>
    <t>PAZ DE ARI PORO</t>
  </si>
  <si>
    <t>S37</t>
  </si>
  <si>
    <t>PORE</t>
  </si>
  <si>
    <t>S38</t>
  </si>
  <si>
    <t>TAURAMENA</t>
  </si>
  <si>
    <t>S39</t>
  </si>
  <si>
    <t>S40</t>
  </si>
  <si>
    <t>YOPAL LLANO LINDO</t>
  </si>
  <si>
    <t>S41</t>
  </si>
  <si>
    <t>ACACIAS</t>
  </si>
  <si>
    <t>S42</t>
  </si>
  <si>
    <t>ACACIAS SAN JOSE</t>
  </si>
  <si>
    <t>S43</t>
  </si>
  <si>
    <t>PUERTO LLERAS META</t>
  </si>
  <si>
    <t>S44</t>
  </si>
  <si>
    <t>SAN MARTIN META</t>
  </si>
  <si>
    <t>S45</t>
  </si>
  <si>
    <t>VILLAVICENCIO CAUDAL</t>
  </si>
  <si>
    <t>S46</t>
  </si>
  <si>
    <t>VILLAVICENCIO PINILLA</t>
  </si>
  <si>
    <t>S47</t>
  </si>
  <si>
    <t>VILLAVICENCIO COVISAN</t>
  </si>
  <si>
    <t>S48</t>
  </si>
  <si>
    <t>VILLAVICENCIO CATUMARE</t>
  </si>
  <si>
    <t>S49</t>
  </si>
  <si>
    <t>VILLAVICENCIO SAN ANTONIO</t>
  </si>
  <si>
    <t>S50</t>
  </si>
  <si>
    <t>GUAMAL META</t>
  </si>
  <si>
    <t>S51</t>
  </si>
  <si>
    <t>VILLAVICENCIO SAN FERNANDO</t>
  </si>
  <si>
    <t>S54</t>
  </si>
  <si>
    <t>ALTAMIRA</t>
  </si>
  <si>
    <t>S58</t>
  </si>
  <si>
    <t>20 DE JULIO</t>
  </si>
  <si>
    <t>S62</t>
  </si>
  <si>
    <t>SOACHA EL DORADO</t>
  </si>
  <si>
    <t>S64</t>
  </si>
  <si>
    <t>CUMARAL META</t>
  </si>
  <si>
    <t>S66</t>
  </si>
  <si>
    <t>VILLA NUEVA CASANARE</t>
  </si>
  <si>
    <t>S67</t>
  </si>
  <si>
    <t>YOPAL LA HERRADURA</t>
  </si>
  <si>
    <t>S75</t>
  </si>
  <si>
    <t>S76</t>
  </si>
  <si>
    <t>OLAYA 2</t>
  </si>
  <si>
    <t>S81</t>
  </si>
  <si>
    <t>LA FISCALA</t>
  </si>
  <si>
    <t>S84</t>
  </si>
  <si>
    <t>GRANADA DELICIAS</t>
  </si>
  <si>
    <t>S85</t>
  </si>
  <si>
    <t>VILLAVICENCIO EMPORIO</t>
  </si>
  <si>
    <t>S88</t>
  </si>
  <si>
    <t>VILLAVICENCIO ESPERANZA</t>
  </si>
  <si>
    <t>S89</t>
  </si>
  <si>
    <t>TUNJUELITO</t>
  </si>
  <si>
    <t>S91</t>
  </si>
  <si>
    <t>VILLAVICENCIO MANANTIAL</t>
  </si>
  <si>
    <t>S92</t>
  </si>
  <si>
    <t>ALPES</t>
  </si>
  <si>
    <t>S95</t>
  </si>
  <si>
    <t>VILLAVICENCIO BARZAL</t>
  </si>
  <si>
    <t>S99</t>
  </si>
  <si>
    <t>SAN ISIDRO</t>
  </si>
  <si>
    <t>SA3</t>
  </si>
  <si>
    <t>ISIMO SAN PATRICIO</t>
  </si>
  <si>
    <t>CANT MUEBLES FRUVER</t>
  </si>
  <si>
    <t>FECHA APERTURA</t>
  </si>
  <si>
    <t>CODIGO</t>
  </si>
  <si>
    <t>I05</t>
  </si>
  <si>
    <t>RIONEGRO ALTOS DE LAURELES</t>
  </si>
  <si>
    <t>SUBA AURES</t>
  </si>
  <si>
    <t>I02</t>
  </si>
  <si>
    <t>ENVIGADO PARQUE</t>
  </si>
  <si>
    <t>I07</t>
  </si>
  <si>
    <t>SAN ANTONIO DE PEREIRA</t>
  </si>
  <si>
    <t>ENGATIVÁ PUEBLO 2</t>
  </si>
  <si>
    <t>I08</t>
  </si>
  <si>
    <t>MEDELLIN CALAZANS</t>
  </si>
  <si>
    <t>I10</t>
  </si>
  <si>
    <t>BARBOSA PARQUE</t>
  </si>
  <si>
    <t>I11</t>
  </si>
  <si>
    <t>MEDELLIN NOGAL</t>
  </si>
  <si>
    <t>I12</t>
  </si>
  <si>
    <t>BELLO GORETTI</t>
  </si>
  <si>
    <t>I14</t>
  </si>
  <si>
    <t>MEDELLIN FLORIDA NUEVA</t>
  </si>
  <si>
    <t>I18</t>
  </si>
  <si>
    <t>MED SAN ANTONIO PRADO CASA DE LA CULTURA</t>
  </si>
  <si>
    <t>I21</t>
  </si>
  <si>
    <t>ITAGUI TABLAZO</t>
  </si>
  <si>
    <t>I27</t>
  </si>
  <si>
    <t>MEDELLÍN BUENOS AIRES</t>
  </si>
  <si>
    <t>I29</t>
  </si>
  <si>
    <t>MEDELLIN PILARICA CALLE 75</t>
  </si>
  <si>
    <t>I31</t>
  </si>
  <si>
    <t>MEDELLIN CASTILLA</t>
  </si>
  <si>
    <t>I33</t>
  </si>
  <si>
    <t>MEDELLIN SANTA CRUZ</t>
  </si>
  <si>
    <t>I34</t>
  </si>
  <si>
    <t>ROBLEDO PARQUE</t>
  </si>
  <si>
    <t>I38</t>
  </si>
  <si>
    <t>SABANETA PARQUE</t>
  </si>
  <si>
    <t>I45</t>
  </si>
  <si>
    <t>MEDELLIN ROBLEDO VILLA FLORA</t>
  </si>
  <si>
    <t>I47</t>
  </si>
  <si>
    <t>LA ESTRELLA ANCON</t>
  </si>
  <si>
    <t>I63</t>
  </si>
  <si>
    <t>ISIMO MEDELLÍN 20 DE JULIO</t>
  </si>
  <si>
    <t>Q09</t>
  </si>
  <si>
    <t>BARRANQUILLA MURILLO CARRERA 33</t>
  </si>
  <si>
    <t>Q10</t>
  </si>
  <si>
    <t>BARRANQUILLA SAN JOSE</t>
  </si>
  <si>
    <t>Q12</t>
  </si>
  <si>
    <t>SOLEDAD LAS TRINITARIAS</t>
  </si>
  <si>
    <t>Q20</t>
  </si>
  <si>
    <t>BARRANQUILLA RECREO CR 43</t>
  </si>
  <si>
    <t>Q32</t>
  </si>
  <si>
    <t>BARRANQUILLA LOS NOGALES</t>
  </si>
  <si>
    <t>Q33</t>
  </si>
  <si>
    <t>BARRANQUILLA CR 27</t>
  </si>
  <si>
    <t>Q42</t>
  </si>
  <si>
    <t>BARRANQUILLA CENTRO</t>
  </si>
  <si>
    <t>Q52</t>
  </si>
  <si>
    <t>BARRANQUILLA EL SILENCIO</t>
  </si>
  <si>
    <t>Q64</t>
  </si>
  <si>
    <t>ATLANTICO SOLEDAD 2000 CARRERA 14</t>
  </si>
  <si>
    <t>Q66</t>
  </si>
  <si>
    <t>BARRANQUILLA SAN REMO</t>
  </si>
  <si>
    <t>Q67</t>
  </si>
  <si>
    <t>BARRANQUILLA SAN NICOLAS CARRERA 4</t>
  </si>
  <si>
    <t>Q68</t>
  </si>
  <si>
    <t>GALAPA CLLE 10</t>
  </si>
  <si>
    <t>Q69</t>
  </si>
  <si>
    <t>BARRANQUILLA OLAYA CALLE 71</t>
  </si>
  <si>
    <t>EL TREBOL</t>
  </si>
  <si>
    <t>Q71</t>
  </si>
  <si>
    <t>BARRANQUILLA LAS DELICIAS</t>
  </si>
  <si>
    <t>FUNZA VARIANTE CELTA</t>
  </si>
  <si>
    <t>Q01</t>
  </si>
  <si>
    <t>ATLAN PUERTO COLOMBIA VILLA CAMPESTRE</t>
  </si>
  <si>
    <t>TIBABUYES</t>
  </si>
  <si>
    <t>Q04</t>
  </si>
  <si>
    <t>CARTAGENA LAS RAMBLAS</t>
  </si>
  <si>
    <t>PRADO 138</t>
  </si>
  <si>
    <t>Q07</t>
  </si>
  <si>
    <t>BARRANQUILLA CALLE 84</t>
  </si>
  <si>
    <t>INDEPENDENCIA</t>
  </si>
  <si>
    <t>Q08</t>
  </si>
  <si>
    <t>CARTAGENA EL CABRERO</t>
  </si>
  <si>
    <t>TOSCANA</t>
  </si>
  <si>
    <t>Q13</t>
  </si>
  <si>
    <t>CARTAGENA MATUNA</t>
  </si>
  <si>
    <t>ANILLO VIAL</t>
  </si>
  <si>
    <t>Q19</t>
  </si>
  <si>
    <t>BARRANQUILLA EL PORVENIR CALLE 82</t>
  </si>
  <si>
    <t>LA ESTACION</t>
  </si>
  <si>
    <t>Q23</t>
  </si>
  <si>
    <t>BARRANQUILLA CONCEPCION</t>
  </si>
  <si>
    <t>SANTAFE</t>
  </si>
  <si>
    <t>Q34</t>
  </si>
  <si>
    <t>SANTA MARTA BONDA</t>
  </si>
  <si>
    <t>BOSA LA LIBERTAD</t>
  </si>
  <si>
    <t>Q35</t>
  </si>
  <si>
    <t>CARTAGENA CRESPO</t>
  </si>
  <si>
    <t>CALATRAVA</t>
  </si>
  <si>
    <t>Q37</t>
  </si>
  <si>
    <t>BARRANQUILLA CARRERA 21</t>
  </si>
  <si>
    <t>Q41</t>
  </si>
  <si>
    <t>BARRANQUILLA CR 43 76</t>
  </si>
  <si>
    <t>ISIMO CAMPIN</t>
  </si>
  <si>
    <t>Q46</t>
  </si>
  <si>
    <t>BARRANQUILLA BORACAY</t>
  </si>
  <si>
    <t>Q47</t>
  </si>
  <si>
    <t>BARRANQUILLA MONTES</t>
  </si>
  <si>
    <t>Q48</t>
  </si>
  <si>
    <t>SANTA MARTA LA ESPERANZA</t>
  </si>
  <si>
    <t>Q51</t>
  </si>
  <si>
    <t>BARRANQUILLA LA PRADERA</t>
  </si>
  <si>
    <t>Q53</t>
  </si>
  <si>
    <t>SOLEDAD NORMANDIA</t>
  </si>
  <si>
    <t>BOSA NARANJOS</t>
  </si>
  <si>
    <t>Q54</t>
  </si>
  <si>
    <t>SANTA MARTA ONCE DE NOVIEMBRE</t>
  </si>
  <si>
    <t>Q55</t>
  </si>
  <si>
    <t>CARTAGENA CASTILLO SAN FELIPE</t>
  </si>
  <si>
    <t>LOS LIBERTADORES</t>
  </si>
  <si>
    <t>Q58</t>
  </si>
  <si>
    <t>BARRANQUILLA LA UNION</t>
  </si>
  <si>
    <t>Q62</t>
  </si>
  <si>
    <t>BARRANQUILLA CALLE 72</t>
  </si>
  <si>
    <t>MALL SANTA CRUZ</t>
  </si>
  <si>
    <t>VILLA ALSACIA</t>
  </si>
  <si>
    <t>SANTA LIBRADA</t>
  </si>
  <si>
    <t>SOACHA LEON 13</t>
  </si>
  <si>
    <t>MOLINOS</t>
  </si>
  <si>
    <t>LUCERO SUR</t>
  </si>
  <si>
    <t>ISIMO LAS FLORES</t>
  </si>
  <si>
    <t>ISIMO SIBA CR 31</t>
  </si>
  <si>
    <t>FUSA BALMORA</t>
  </si>
  <si>
    <t>EL CAMPIN</t>
  </si>
  <si>
    <t>ISIMO LA ESMERALDA</t>
  </si>
  <si>
    <t>B01</t>
  </si>
  <si>
    <t>ANTONIA SANTOS</t>
  </si>
  <si>
    <t>B02</t>
  </si>
  <si>
    <t>BARRANCA PALMIRA</t>
  </si>
  <si>
    <t>B05</t>
  </si>
  <si>
    <t>BARRANCABERMEJA CALLE 50</t>
  </si>
  <si>
    <t>B06</t>
  </si>
  <si>
    <t>CIMITARRA</t>
  </si>
  <si>
    <t>B08</t>
  </si>
  <si>
    <t>SAN FRANCISCO MUTUALIDAD</t>
  </si>
  <si>
    <t>B09</t>
  </si>
  <si>
    <t>DANGOND</t>
  </si>
  <si>
    <t>B10</t>
  </si>
  <si>
    <t>BARRANCA LA FLORESTA</t>
  </si>
  <si>
    <t>B11</t>
  </si>
  <si>
    <t>BARRANCA LOS PINOS</t>
  </si>
  <si>
    <t>B12</t>
  </si>
  <si>
    <t>CAMPO HERMOSO</t>
  </si>
  <si>
    <t>SUBA FLORES</t>
  </si>
  <si>
    <t>B13</t>
  </si>
  <si>
    <t>EL POBLADO</t>
  </si>
  <si>
    <t>B14</t>
  </si>
  <si>
    <t>POMARROSO LA CUMBRE</t>
  </si>
  <si>
    <t>B15</t>
  </si>
  <si>
    <t>OCANA PRIMAVERA</t>
  </si>
  <si>
    <t>B16</t>
  </si>
  <si>
    <t>PORTAL DE PROVENZA</t>
  </si>
  <si>
    <t>B17</t>
  </si>
  <si>
    <t>AGUACHICA CALLE QUINTA</t>
  </si>
  <si>
    <t>T27</t>
  </si>
  <si>
    <t>EL CABRERO LA DORADA</t>
  </si>
  <si>
    <t>T31</t>
  </si>
  <si>
    <t>TUNAL</t>
  </si>
  <si>
    <t>T42</t>
  </si>
  <si>
    <t>PALOCABILDO</t>
  </si>
  <si>
    <t>T44</t>
  </si>
  <si>
    <t>LA DORADA VILLA ESPERANZA</t>
  </si>
  <si>
    <t>S01</t>
  </si>
  <si>
    <t>GIRARDOT PANCHES</t>
  </si>
  <si>
    <t>T09</t>
  </si>
  <si>
    <t>CAJAMARCA</t>
  </si>
  <si>
    <t>T21</t>
  </si>
  <si>
    <t>CARMEN DE APICALA</t>
  </si>
  <si>
    <t>T37</t>
  </si>
  <si>
    <t>INTERLAKEN</t>
  </si>
  <si>
    <t>N16</t>
  </si>
  <si>
    <t>RIVERA</t>
  </si>
  <si>
    <t>N33</t>
  </si>
  <si>
    <t>TESORO</t>
  </si>
  <si>
    <t>N31</t>
  </si>
  <si>
    <t>PAICOL</t>
  </si>
  <si>
    <t>T11</t>
  </si>
  <si>
    <t>LIBANO</t>
  </si>
  <si>
    <t>T17</t>
  </si>
  <si>
    <t>CHAPARRAL</t>
  </si>
  <si>
    <t>T30</t>
  </si>
  <si>
    <t>PLANADAS</t>
  </si>
  <si>
    <t>T40</t>
  </si>
  <si>
    <t>VILLA HERMOSA</t>
  </si>
  <si>
    <t>T41</t>
  </si>
  <si>
    <t>PRADO</t>
  </si>
  <si>
    <t>T19</t>
  </si>
  <si>
    <t>MARIQUITA 1</t>
  </si>
  <si>
    <t>T33</t>
  </si>
  <si>
    <t>LAS FERIAS</t>
  </si>
  <si>
    <t>T34</t>
  </si>
  <si>
    <t>SANTA ISABEL</t>
  </si>
  <si>
    <t>T46</t>
  </si>
  <si>
    <t>PAYANDE</t>
  </si>
  <si>
    <t>T47</t>
  </si>
  <si>
    <t>IBAGUE VILLA MARLEN</t>
  </si>
  <si>
    <t>T49</t>
  </si>
  <si>
    <t>LA FRANCIA IBAGUE</t>
  </si>
  <si>
    <t>I15</t>
  </si>
  <si>
    <t>GUARNE ESTADIO</t>
  </si>
  <si>
    <t>I16</t>
  </si>
  <si>
    <t>COPACABANA PLAZA MERCADO</t>
  </si>
  <si>
    <t>I17</t>
  </si>
  <si>
    <t>MEDELLIN ARANJUEZ SAN ISIDRO</t>
  </si>
  <si>
    <t>I20</t>
  </si>
  <si>
    <t>MEDELLIN SAN JAVIER SAN MICHEL</t>
  </si>
  <si>
    <t>I32</t>
  </si>
  <si>
    <t>RIONEGRO PARQUE</t>
  </si>
  <si>
    <t>I36</t>
  </si>
  <si>
    <t>SABANETA CALLE LARGA</t>
  </si>
  <si>
    <t>I40</t>
  </si>
  <si>
    <t>MEDELLIN GUAYABAL PARQUE DE LAS CHIMENEA</t>
  </si>
  <si>
    <t>I51</t>
  </si>
  <si>
    <t>MEDELLIN CAMPO VALDES</t>
  </si>
  <si>
    <t>I53</t>
  </si>
  <si>
    <t>BELEN LOS ALPES</t>
  </si>
  <si>
    <t>I55</t>
  </si>
  <si>
    <t>BELLO PARIS</t>
  </si>
  <si>
    <t>I56</t>
  </si>
  <si>
    <t>ITAGUI SAN FRANCISCO</t>
  </si>
  <si>
    <t>I57</t>
  </si>
  <si>
    <t>MEDELLIN MIRAFLORES</t>
  </si>
  <si>
    <t>I58</t>
  </si>
  <si>
    <t>MEDELLIN SAN JAVIER ESTACIÓN</t>
  </si>
  <si>
    <t>I65</t>
  </si>
  <si>
    <t>COLORES</t>
  </si>
  <si>
    <t>I67</t>
  </si>
  <si>
    <t>ISIMO RIACHUELOS</t>
  </si>
  <si>
    <t>I69</t>
  </si>
  <si>
    <t>CANALIZACION</t>
  </si>
  <si>
    <t>I74</t>
  </si>
  <si>
    <t>ISIMO HERRADURA</t>
  </si>
  <si>
    <t>I75</t>
  </si>
  <si>
    <t>ISIMO POPULAR</t>
  </si>
  <si>
    <t>Q05</t>
  </si>
  <si>
    <t>ATLANTICO SOLEDAD HIPODROMO</t>
  </si>
  <si>
    <t>Q65</t>
  </si>
  <si>
    <t>SANTA MARTA LOS NARANJOS</t>
  </si>
  <si>
    <t>Q70</t>
  </si>
  <si>
    <t>BARRANQUIILLA LA VICTORIA</t>
  </si>
  <si>
    <t>Q73</t>
  </si>
  <si>
    <t>CARTAGENA ESPAÑA</t>
  </si>
  <si>
    <t>Q06</t>
  </si>
  <si>
    <t>SANTA MARTA SANTA LUCIA</t>
  </si>
  <si>
    <t>Q27</t>
  </si>
  <si>
    <t>CARTAGENA TERNERA</t>
  </si>
  <si>
    <t>Q29</t>
  </si>
  <si>
    <t>MAGDALENA CIENAGA</t>
  </si>
  <si>
    <t>Q45</t>
  </si>
  <si>
    <t>CARTAGENA BARLOVENTO</t>
  </si>
  <si>
    <t>Q49</t>
  </si>
  <si>
    <t>SANTA MARTA LAS ACACIAS</t>
  </si>
  <si>
    <t>Q50</t>
  </si>
  <si>
    <t>SANTA MARTA 1 DE MAYO</t>
  </si>
  <si>
    <t>Q59</t>
  </si>
  <si>
    <t>BARRANQUILLA 51 B</t>
  </si>
  <si>
    <t>Q63</t>
  </si>
  <si>
    <t>ATLANTICO SABANALARGA AVENIDA BOGOTA</t>
  </si>
  <si>
    <t>Q72</t>
  </si>
  <si>
    <t>BARRANQUILLA CARIBE VERDE</t>
  </si>
  <si>
    <t>Q74</t>
  </si>
  <si>
    <t>CARTAGENA EL RECREO</t>
  </si>
  <si>
    <t>Q78</t>
  </si>
  <si>
    <t>BARRANQUILLA LAS MERCEDES</t>
  </si>
  <si>
    <t>Q79</t>
  </si>
  <si>
    <t>ISIMO LA PAZ</t>
  </si>
  <si>
    <t>Q87</t>
  </si>
  <si>
    <t>SANTA ANA</t>
  </si>
  <si>
    <t>Q94</t>
  </si>
  <si>
    <t>ISIMO CIUDAD DEL PUERTO</t>
  </si>
  <si>
    <t>Q95</t>
  </si>
  <si>
    <t>LOS EJECUTIVOS</t>
  </si>
  <si>
    <t>MONTANA</t>
  </si>
  <si>
    <t>ISIMO LIJACÁ</t>
  </si>
  <si>
    <t>SAN PATRICIO</t>
  </si>
  <si>
    <t>B18</t>
  </si>
  <si>
    <t>GALICIA</t>
  </si>
  <si>
    <t>B19</t>
  </si>
  <si>
    <t>SAN MARTIN</t>
  </si>
  <si>
    <t>B20</t>
  </si>
  <si>
    <t>PLAZA KENNEDY</t>
  </si>
  <si>
    <t>B21</t>
  </si>
  <si>
    <t>RUITOQUE MIRADOR</t>
  </si>
  <si>
    <t>B22</t>
  </si>
  <si>
    <t>SAN LORENZO</t>
  </si>
  <si>
    <t>B23</t>
  </si>
  <si>
    <t>OCANA MERCADO</t>
  </si>
  <si>
    <t>B24</t>
  </si>
  <si>
    <t>LA AURORA</t>
  </si>
  <si>
    <t>B25</t>
  </si>
  <si>
    <t>REAL DE MINAS</t>
  </si>
  <si>
    <t>N18</t>
  </si>
  <si>
    <t>TELLO</t>
  </si>
  <si>
    <t>S02</t>
  </si>
  <si>
    <t>RICAURTE CUNDINAMARCA</t>
  </si>
  <si>
    <t>T13</t>
  </si>
  <si>
    <t>FLANDES</t>
  </si>
  <si>
    <t>T36</t>
  </si>
  <si>
    <t>EL ESPINAL 4 Y GONGORA</t>
  </si>
  <si>
    <t>T48</t>
  </si>
  <si>
    <t>IBAGUE BELEN</t>
  </si>
  <si>
    <t>N37</t>
  </si>
  <si>
    <t>QUIRINAL</t>
  </si>
  <si>
    <t>T07</t>
  </si>
  <si>
    <t>SALADO 1</t>
  </si>
  <si>
    <t>T16</t>
  </si>
  <si>
    <t>ORTEGA</t>
  </si>
  <si>
    <t>T45</t>
  </si>
  <si>
    <t>ATACO</t>
  </si>
  <si>
    <t>T51</t>
  </si>
  <si>
    <t>ISIMO JARDIN</t>
  </si>
  <si>
    <t>T29</t>
  </si>
  <si>
    <t>ALVARADO</t>
  </si>
  <si>
    <t>T43</t>
  </si>
  <si>
    <t>FALAN</t>
  </si>
  <si>
    <t>I03</t>
  </si>
  <si>
    <t>ITAGUI EL CAMI</t>
  </si>
  <si>
    <t>I48</t>
  </si>
  <si>
    <t>MEDELLIN BARRIO CRISTOBAL</t>
  </si>
  <si>
    <t>I54</t>
  </si>
  <si>
    <t>ARKADIA</t>
  </si>
  <si>
    <t>I66</t>
  </si>
  <si>
    <t>ISIMO ACUARELA</t>
  </si>
  <si>
    <t>I68</t>
  </si>
  <si>
    <t>ISIMO OBRERO</t>
  </si>
  <si>
    <t>I70</t>
  </si>
  <si>
    <t>ISIMO ESTADIO</t>
  </si>
  <si>
    <t>I71</t>
  </si>
  <si>
    <t>ISIMO SAN JUAN</t>
  </si>
  <si>
    <t>Q14</t>
  </si>
  <si>
    <t>BARRANQUILLA UNIVERSAL CARRERA 2</t>
  </si>
  <si>
    <t>Q30</t>
  </si>
  <si>
    <t>CARTAGENA SAN FERNANDO</t>
  </si>
  <si>
    <t>Q31</t>
  </si>
  <si>
    <t>CARTAGENA EL CAMPESTRE</t>
  </si>
  <si>
    <t>Q75</t>
  </si>
  <si>
    <t>BARRANQUILLA PARAISO</t>
  </si>
  <si>
    <t>Q77</t>
  </si>
  <si>
    <t>MANANTIALES</t>
  </si>
  <si>
    <t>Q81</t>
  </si>
  <si>
    <t>SOLEDAD LA TERMINAL</t>
  </si>
  <si>
    <t>Q83</t>
  </si>
  <si>
    <t>SIMON BOLIVAR</t>
  </si>
  <si>
    <t>Q85</t>
  </si>
  <si>
    <t>CEVILLAR</t>
  </si>
  <si>
    <t>Q88</t>
  </si>
  <si>
    <t>ISIMO SAN MARTIN</t>
  </si>
  <si>
    <t>Q89</t>
  </si>
  <si>
    <t>LUCERO</t>
  </si>
  <si>
    <t>Q91</t>
  </si>
  <si>
    <t>VILLA JORDAN</t>
  </si>
  <si>
    <t>Q96</t>
  </si>
  <si>
    <t>ISIMO CIUDAD DEL PARQUE</t>
  </si>
  <si>
    <t>Q97</t>
  </si>
  <si>
    <t>ISIMO ALBORAYA</t>
  </si>
  <si>
    <t>B26</t>
  </si>
  <si>
    <t>SAN ALBERTO</t>
  </si>
  <si>
    <t>B27</t>
  </si>
  <si>
    <t>LA CASONA</t>
  </si>
  <si>
    <t>B28</t>
  </si>
  <si>
    <t>CALLEJUELAS</t>
  </si>
  <si>
    <t>N34</t>
  </si>
  <si>
    <t>ALTAMIRA HUILA</t>
  </si>
  <si>
    <t>N39</t>
  </si>
  <si>
    <t>PALERMO</t>
  </si>
  <si>
    <t>N22</t>
  </si>
  <si>
    <t>ISNOS</t>
  </si>
  <si>
    <t>N27</t>
  </si>
  <si>
    <t>TARQUI</t>
  </si>
  <si>
    <t>N29</t>
  </si>
  <si>
    <t>SALADOBLANCO</t>
  </si>
  <si>
    <t>N35</t>
  </si>
  <si>
    <t>BELEN DE LOS ANDAQUIES</t>
  </si>
  <si>
    <t>T05</t>
  </si>
  <si>
    <t>MELGAR</t>
  </si>
  <si>
    <t>T39</t>
  </si>
  <si>
    <t>GUAMO 2</t>
  </si>
  <si>
    <t>T50</t>
  </si>
  <si>
    <t>ISIMO LEONES</t>
  </si>
  <si>
    <t>T52</t>
  </si>
  <si>
    <t>ISIMO RONDON</t>
  </si>
  <si>
    <t>N10</t>
  </si>
  <si>
    <t>BERDEZ</t>
  </si>
  <si>
    <t>N20</t>
  </si>
  <si>
    <t>YAGUARA</t>
  </si>
  <si>
    <t>T15</t>
  </si>
  <si>
    <t>IBAGUE LIMONAR</t>
  </si>
  <si>
    <t>T23</t>
  </si>
  <si>
    <t>CHAPARRAL 2</t>
  </si>
  <si>
    <t>T25</t>
  </si>
  <si>
    <t>GAITAN IBAGUE</t>
  </si>
  <si>
    <t>T06</t>
  </si>
  <si>
    <t>HONDA OBRERO</t>
  </si>
  <si>
    <t>I73</t>
  </si>
  <si>
    <t>ISIMO OBELISCO</t>
  </si>
  <si>
    <t>Q82</t>
  </si>
  <si>
    <t>BUENA ESPERANZA</t>
  </si>
  <si>
    <t>Q84</t>
  </si>
  <si>
    <t>SOLEDAD LAS MORAS</t>
  </si>
  <si>
    <t>Q90</t>
  </si>
  <si>
    <t>ISIMO VILLA ANGELITA</t>
  </si>
  <si>
    <t>Q93</t>
  </si>
  <si>
    <t>BUENOS AIRES</t>
  </si>
  <si>
    <t>LOMAS</t>
  </si>
  <si>
    <t>B29</t>
  </si>
  <si>
    <t>RESERVA CANAVERAL</t>
  </si>
  <si>
    <t>N24</t>
  </si>
  <si>
    <t>GARZON 4</t>
  </si>
  <si>
    <t>T02</t>
  </si>
  <si>
    <t>IBAGUE LA POLA</t>
  </si>
  <si>
    <t>N17</t>
  </si>
  <si>
    <t>TERUEL</t>
  </si>
  <si>
    <t>N21</t>
  </si>
  <si>
    <t>PAEZ LA PLATA</t>
  </si>
  <si>
    <t>Q80</t>
  </si>
  <si>
    <t>LA CENTRAL</t>
  </si>
  <si>
    <t>Q98</t>
  </si>
  <si>
    <t>ISIMO LAS TORRES</t>
  </si>
  <si>
    <t>N01</t>
  </si>
  <si>
    <t>PITALITO</t>
  </si>
  <si>
    <t>N41</t>
  </si>
  <si>
    <t>TORRES DEL CAFE</t>
  </si>
  <si>
    <t>N06</t>
  </si>
  <si>
    <t>CAMPO ALEGRE</t>
  </si>
  <si>
    <t>I64</t>
  </si>
  <si>
    <t>SANTA LUCIA 2</t>
  </si>
  <si>
    <t>N11</t>
  </si>
  <si>
    <t>BELLA VISTA</t>
  </si>
  <si>
    <t>I01</t>
  </si>
  <si>
    <t>ENVIGADO LAS VEGAS</t>
  </si>
  <si>
    <t>I04</t>
  </si>
  <si>
    <t>GUARNE PLAZA DE MERCADO</t>
  </si>
  <si>
    <t>I06</t>
  </si>
  <si>
    <t>GIRARDOTA PARQUE</t>
  </si>
  <si>
    <t>I09</t>
  </si>
  <si>
    <t>ITAGUI SAN GABRIEL</t>
  </si>
  <si>
    <t>I13</t>
  </si>
  <si>
    <t>ITAGUI ASTURIAS</t>
  </si>
  <si>
    <t>I19</t>
  </si>
  <si>
    <t>ENVIGADO LAS ORQUIDEAS</t>
  </si>
  <si>
    <t>I22</t>
  </si>
  <si>
    <t>BELLO FONTIDUENO</t>
  </si>
  <si>
    <t>I23</t>
  </si>
  <si>
    <t>MEDELLIN SAN ANTONIO DE PRADO PARQUE</t>
  </si>
  <si>
    <t>I24</t>
  </si>
  <si>
    <t>MEDELLIN SANTA LUCIA</t>
  </si>
  <si>
    <t>I25</t>
  </si>
  <si>
    <t>MARINILLA MARIA AUXILIADORA</t>
  </si>
  <si>
    <t>I26</t>
  </si>
  <si>
    <t>LA CEJA CARRERA 21 MARULANDA</t>
  </si>
  <si>
    <t>I28</t>
  </si>
  <si>
    <t>MEDELLIN BARRIO ANTIOQUIA</t>
  </si>
  <si>
    <t>I30</t>
  </si>
  <si>
    <t>MEDELLIN BELALCAZAR</t>
  </si>
  <si>
    <t>I35</t>
  </si>
  <si>
    <t>LA PINTADA</t>
  </si>
  <si>
    <t>I37</t>
  </si>
  <si>
    <t>ITAGUI SAN PIO</t>
  </si>
  <si>
    <t>I39</t>
  </si>
  <si>
    <t>ITAGUI SAN ISIDRO</t>
  </si>
  <si>
    <t>I42</t>
  </si>
  <si>
    <t>BELLO NIQUIA</t>
  </si>
  <si>
    <t>I43</t>
  </si>
  <si>
    <t>MEDELLIN GERONA</t>
  </si>
  <si>
    <t>I44</t>
  </si>
  <si>
    <t>SANTUARIO PARQUE</t>
  </si>
  <si>
    <t>I46</t>
  </si>
  <si>
    <t>LLANO GRANDE</t>
  </si>
  <si>
    <t>I49</t>
  </si>
  <si>
    <t>BELLO PARQUE TORRE CENTRO</t>
  </si>
  <si>
    <t>I50</t>
  </si>
  <si>
    <t>BELLO ROSALPI</t>
  </si>
  <si>
    <t>I59</t>
  </si>
  <si>
    <t>PARQUE BERRIO</t>
  </si>
  <si>
    <t>I60</t>
  </si>
  <si>
    <t>ITAGUI EL ROSARIO</t>
  </si>
  <si>
    <t>I61</t>
  </si>
  <si>
    <t>CARMEN DE VIBORAL</t>
  </si>
  <si>
    <t>I62</t>
  </si>
  <si>
    <t>ISIMO ITAGÜÍ MONTE VERDE</t>
  </si>
  <si>
    <t>M01</t>
  </si>
  <si>
    <t>MONTERIA NARINO</t>
  </si>
  <si>
    <t>M02</t>
  </si>
  <si>
    <t>CERETE SAN DIEGO</t>
  </si>
  <si>
    <t>M03</t>
  </si>
  <si>
    <t>MONTERIA EL DORADO</t>
  </si>
  <si>
    <t>M04</t>
  </si>
  <si>
    <t>MONTERIA VILLA ROCIO</t>
  </si>
  <si>
    <t>M05</t>
  </si>
  <si>
    <t>MONTERIA CASTELLANA</t>
  </si>
  <si>
    <t>M06</t>
  </si>
  <si>
    <t>SINCELEJO SAN CARLOS</t>
  </si>
  <si>
    <t>M07</t>
  </si>
  <si>
    <t>SINCELEJO LAS PENITAS</t>
  </si>
  <si>
    <t>M08</t>
  </si>
  <si>
    <t>MONTELIBANO</t>
  </si>
  <si>
    <t>M09</t>
  </si>
  <si>
    <t>CIENAGA DE ORO</t>
  </si>
  <si>
    <t>M10</t>
  </si>
  <si>
    <t>AYAPEL</t>
  </si>
  <si>
    <t>M11</t>
  </si>
  <si>
    <t>SUCRE SAMPUES</t>
  </si>
  <si>
    <t>M12</t>
  </si>
  <si>
    <t>MONTERIA SEIS DE MARZO</t>
  </si>
  <si>
    <t>M13</t>
  </si>
  <si>
    <t>SINCELEJO ARGELIA</t>
  </si>
  <si>
    <t>M14</t>
  </si>
  <si>
    <t>TIERRALTA</t>
  </si>
  <si>
    <t>M15</t>
  </si>
  <si>
    <t>CERETE LEOPOLDO BERDELLA</t>
  </si>
  <si>
    <t>M16</t>
  </si>
  <si>
    <t>PUEBLO NUEVO</t>
  </si>
  <si>
    <t>M17</t>
  </si>
  <si>
    <t>PUERTO LIBERTADOR</t>
  </si>
  <si>
    <t>M18</t>
  </si>
  <si>
    <t>COROZAL</t>
  </si>
  <si>
    <t>M19</t>
  </si>
  <si>
    <t>MONTERIA PRINCIPAL DE LA GRANJA</t>
  </si>
  <si>
    <t>M20</t>
  </si>
  <si>
    <t>SAN MARCOS</t>
  </si>
  <si>
    <t>M21</t>
  </si>
  <si>
    <t>PLANETA RICA LOS ANGELES</t>
  </si>
  <si>
    <t>M22</t>
  </si>
  <si>
    <t>MONTERIA VILLANOVA</t>
  </si>
  <si>
    <t>M23</t>
  </si>
  <si>
    <t>COVENAS</t>
  </si>
  <si>
    <t>M24</t>
  </si>
  <si>
    <t>CAUCASIA CENTRO</t>
  </si>
  <si>
    <t>M25</t>
  </si>
  <si>
    <t>CAUCASIA</t>
  </si>
  <si>
    <t>Q02</t>
  </si>
  <si>
    <t>SANTA MARTA EL JARDIN</t>
  </si>
  <si>
    <t>Q03</t>
  </si>
  <si>
    <t>ATLANTICO JUAN DE ACOSTA</t>
  </si>
  <si>
    <t>Q11</t>
  </si>
  <si>
    <t>MAGDALENA FUNDACION</t>
  </si>
  <si>
    <t>Q15</t>
  </si>
  <si>
    <t>SANTA MARTA RODADERO</t>
  </si>
  <si>
    <t>Q16</t>
  </si>
  <si>
    <t>BARRANQUILLA SANTO DOMINGO</t>
  </si>
  <si>
    <t>Q17</t>
  </si>
  <si>
    <t>SANTA MARTA ALCAZARES</t>
  </si>
  <si>
    <t>Q18</t>
  </si>
  <si>
    <t>SANTA MARTA SANTA RITA</t>
  </si>
  <si>
    <t>Q21</t>
  </si>
  <si>
    <t>MAGDALENA ARACATACA</t>
  </si>
  <si>
    <t>Q22</t>
  </si>
  <si>
    <t>SANTA MARTA BAVARIA VIVERO</t>
  </si>
  <si>
    <t>Q24</t>
  </si>
  <si>
    <t>SANTA MARTA MANZANARES</t>
  </si>
  <si>
    <t>Q25</t>
  </si>
  <si>
    <t>CARTAGENA BRUSELAS</t>
  </si>
  <si>
    <t>Q26</t>
  </si>
  <si>
    <t>BARRANQUILLA CARRERA 60</t>
  </si>
  <si>
    <t>Q28</t>
  </si>
  <si>
    <t>SANTA MARTA MAMATOCO</t>
  </si>
  <si>
    <t>Q36</t>
  </si>
  <si>
    <t>SAN JUAN NEPOMUCENO</t>
  </si>
  <si>
    <t>Q38</t>
  </si>
  <si>
    <t>BARRANQUILLA URBANIZACION LA PLAYA</t>
  </si>
  <si>
    <t>Q39</t>
  </si>
  <si>
    <t>ATLANTICO SABANAGRANDE</t>
  </si>
  <si>
    <t>Q43</t>
  </si>
  <si>
    <t>BARRANQUILLA CR 50</t>
  </si>
  <si>
    <t>Q44</t>
  </si>
  <si>
    <t>ATLANTICO SOLEDAD VILLAS DE SOLEDAD</t>
  </si>
  <si>
    <t>Q56</t>
  </si>
  <si>
    <t>BOLIVAR CARMEN DE BOLIVAR</t>
  </si>
  <si>
    <t>Q57</t>
  </si>
  <si>
    <t>ATLANTICO CAMPO DE LA CRUZ</t>
  </si>
  <si>
    <t>Q60</t>
  </si>
  <si>
    <t>BOLIVAR MARIA LA BAJA</t>
  </si>
  <si>
    <t>Q61</t>
  </si>
  <si>
    <t>BARRANQUILLA CALLE 41 SAN JOSE</t>
  </si>
  <si>
    <t>Q76</t>
  </si>
  <si>
    <t>ISIMO CENTENARIO</t>
  </si>
  <si>
    <t>V02</t>
  </si>
  <si>
    <t>ALMIRANTE PADILLA</t>
  </si>
  <si>
    <t>V03</t>
  </si>
  <si>
    <t>ASTREA</t>
  </si>
  <si>
    <t>V04</t>
  </si>
  <si>
    <t>BECERRIL</t>
  </si>
  <si>
    <t>V05</t>
  </si>
  <si>
    <t>CARMELO</t>
  </si>
  <si>
    <t>V06</t>
  </si>
  <si>
    <t>EL BANCO</t>
  </si>
  <si>
    <t>V07</t>
  </si>
  <si>
    <t>EL PLATO</t>
  </si>
  <si>
    <t>V08</t>
  </si>
  <si>
    <t>FONSECA</t>
  </si>
  <si>
    <t>V09</t>
  </si>
  <si>
    <t>FRANCISCO MOLINA</t>
  </si>
  <si>
    <t>V10</t>
  </si>
  <si>
    <t>HATONUEVO</t>
  </si>
  <si>
    <t>V11</t>
  </si>
  <si>
    <t>LA CARBONERA</t>
  </si>
  <si>
    <t>V12</t>
  </si>
  <si>
    <t>LA SANJUANERA</t>
  </si>
  <si>
    <t>V13</t>
  </si>
  <si>
    <t>LA VALLENATA</t>
  </si>
  <si>
    <t>V14</t>
  </si>
  <si>
    <t>MAICAO</t>
  </si>
  <si>
    <t>V15</t>
  </si>
  <si>
    <t>MAYALES</t>
  </si>
  <si>
    <t>V17</t>
  </si>
  <si>
    <t>ROBLES DE LA PAZ</t>
  </si>
  <si>
    <t>V19</t>
  </si>
  <si>
    <t>SAN DIEGO CESAR</t>
  </si>
  <si>
    <t>V21</t>
  </si>
  <si>
    <t>VALLE DE LAS FLORES</t>
  </si>
  <si>
    <t>V22</t>
  </si>
  <si>
    <t>VILLA JARDIN</t>
  </si>
  <si>
    <t>V23</t>
  </si>
  <si>
    <t>VILLA LIGIA</t>
  </si>
  <si>
    <t>V24</t>
  </si>
  <si>
    <t>WAYU</t>
  </si>
  <si>
    <t>YOPAL CAMPIÑA</t>
  </si>
  <si>
    <t>PUERTO LÓPEZ</t>
  </si>
  <si>
    <t>B30</t>
  </si>
  <si>
    <t>BARRANCA TORCOROMA</t>
  </si>
  <si>
    <t>B31</t>
  </si>
  <si>
    <t>MUTIS</t>
  </si>
  <si>
    <t>B32</t>
  </si>
  <si>
    <t>PERPETUO SOCORRO</t>
  </si>
  <si>
    <t>B33</t>
  </si>
  <si>
    <t>QUANTUM</t>
  </si>
  <si>
    <t>B34</t>
  </si>
  <si>
    <t>ISIMO LA CANTERA</t>
  </si>
  <si>
    <t>B35</t>
  </si>
  <si>
    <t>ISIMO SOLERI</t>
  </si>
  <si>
    <t>C01</t>
  </si>
  <si>
    <t>CHINACOTA</t>
  </si>
  <si>
    <t>C02</t>
  </si>
  <si>
    <t>CIUDADELA ANTONIA SANTOS</t>
  </si>
  <si>
    <t>C03</t>
  </si>
  <si>
    <t>EL CALLEJON</t>
  </si>
  <si>
    <t>C04</t>
  </si>
  <si>
    <t>LA CABRERA</t>
  </si>
  <si>
    <t>C05</t>
  </si>
  <si>
    <t>LOMITAS DE PRADERA</t>
  </si>
  <si>
    <t>C06</t>
  </si>
  <si>
    <t>PAMPLONA PLAZUELA</t>
  </si>
  <si>
    <t>C07</t>
  </si>
  <si>
    <t>VILLA DEL ROSARIO</t>
  </si>
  <si>
    <t>C08</t>
  </si>
  <si>
    <t>BELENCITO</t>
  </si>
  <si>
    <t>C09</t>
  </si>
  <si>
    <t>EL CANAL</t>
  </si>
  <si>
    <t>C10</t>
  </si>
  <si>
    <t>EL LLANO</t>
  </si>
  <si>
    <t>C11</t>
  </si>
  <si>
    <t>LOS FAROLES</t>
  </si>
  <si>
    <t>C12</t>
  </si>
  <si>
    <t>NUEVO HORIZONTE</t>
  </si>
  <si>
    <t>C13</t>
  </si>
  <si>
    <t>PRESIDENTE CUBEROS</t>
  </si>
  <si>
    <t>C14</t>
  </si>
  <si>
    <t>LA DECIMA</t>
  </si>
  <si>
    <t>C15</t>
  </si>
  <si>
    <t>PIZARREAL</t>
  </si>
  <si>
    <t>C16</t>
  </si>
  <si>
    <t>AVENIDA 20</t>
  </si>
  <si>
    <t>C17</t>
  </si>
  <si>
    <t>CENTRAL DE CUCUTA</t>
  </si>
  <si>
    <t>C18</t>
  </si>
  <si>
    <t>LA MILAGROSA</t>
  </si>
  <si>
    <t>C19</t>
  </si>
  <si>
    <t>NATILAN</t>
  </si>
  <si>
    <t>C20</t>
  </si>
  <si>
    <t>PRADOS DEL ESTE</t>
  </si>
  <si>
    <t>C21</t>
  </si>
  <si>
    <t>SIGLO XXI</t>
  </si>
  <si>
    <t>C22</t>
  </si>
  <si>
    <t>ZULIA</t>
  </si>
  <si>
    <t>C23</t>
  </si>
  <si>
    <t>LA VICTORIOSA</t>
  </si>
  <si>
    <t>C24</t>
  </si>
  <si>
    <t>CAOBOS</t>
  </si>
  <si>
    <t>C25</t>
  </si>
  <si>
    <t>LA AUXILIADORA</t>
  </si>
  <si>
    <t>C26</t>
  </si>
  <si>
    <t>PAMPLONA</t>
  </si>
  <si>
    <t>C27</t>
  </si>
  <si>
    <t>ALCALA DEL RIO</t>
  </si>
  <si>
    <t>C28</t>
  </si>
  <si>
    <t>LA REDOMA</t>
  </si>
  <si>
    <t>C29</t>
  </si>
  <si>
    <t>AEROPUERTO</t>
  </si>
  <si>
    <t>C30</t>
  </si>
  <si>
    <t>VIDELSO</t>
  </si>
  <si>
    <t>N05</t>
  </si>
  <si>
    <t>CAGUAN</t>
  </si>
  <si>
    <t>N07</t>
  </si>
  <si>
    <t>CANDIDO NEIVA</t>
  </si>
  <si>
    <t>N08</t>
  </si>
  <si>
    <t>GRANJAS NEIVA</t>
  </si>
  <si>
    <t>N09</t>
  </si>
  <si>
    <t>DONCELLO CAQUETA</t>
  </si>
  <si>
    <t>N12</t>
  </si>
  <si>
    <t>PITALITO 3</t>
  </si>
  <si>
    <t>N13</t>
  </si>
  <si>
    <t>COMUNEROS NEIVA</t>
  </si>
  <si>
    <t>N14</t>
  </si>
  <si>
    <t>GALINDO</t>
  </si>
  <si>
    <t>N15</t>
  </si>
  <si>
    <t>PITALITO 4</t>
  </si>
  <si>
    <t>N19</t>
  </si>
  <si>
    <t>CANAIMA AVENIDA MAX DUQUE</t>
  </si>
  <si>
    <t>N23</t>
  </si>
  <si>
    <t>LAS PALMAS NEIVA</t>
  </si>
  <si>
    <t>N25</t>
  </si>
  <si>
    <t>AIPE</t>
  </si>
  <si>
    <t>N26</t>
  </si>
  <si>
    <t>CHICALA</t>
  </si>
  <si>
    <t>N28</t>
  </si>
  <si>
    <t>CIUDADELA FLORENCIA</t>
  </si>
  <si>
    <t>N30</t>
  </si>
  <si>
    <t>SAN JOSE DE FRAGUA</t>
  </si>
  <si>
    <t>N32</t>
  </si>
  <si>
    <t>TIZON CRA 6W</t>
  </si>
  <si>
    <t>N36</t>
  </si>
  <si>
    <t>PUERTO RICO</t>
  </si>
  <si>
    <t>N38</t>
  </si>
  <si>
    <t>GIGANTE 2</t>
  </si>
  <si>
    <t>N40</t>
  </si>
  <si>
    <t>PAUJIL</t>
  </si>
  <si>
    <t>N44</t>
  </si>
  <si>
    <t>FLORENCIA CENTRO 2</t>
  </si>
  <si>
    <t>N45</t>
  </si>
  <si>
    <t>TIMACO NEIVA</t>
  </si>
  <si>
    <t>T01</t>
  </si>
  <si>
    <t>IBAGUE HIPODROMO</t>
  </si>
  <si>
    <t>T03</t>
  </si>
  <si>
    <t>IBAGUE SAN PEDRO</t>
  </si>
  <si>
    <t>T04</t>
  </si>
  <si>
    <t>VENADILLO</t>
  </si>
  <si>
    <t>T08</t>
  </si>
  <si>
    <t>HONDA CENTENARIO</t>
  </si>
  <si>
    <t>T10</t>
  </si>
  <si>
    <t>LERIDA</t>
  </si>
  <si>
    <t>T12</t>
  </si>
  <si>
    <t>NATAGAIMA</t>
  </si>
  <si>
    <t>T14</t>
  </si>
  <si>
    <t>PURIFICACION</t>
  </si>
  <si>
    <t>T20</t>
  </si>
  <si>
    <t>MARIQUITA 2</t>
  </si>
  <si>
    <t>T22</t>
  </si>
  <si>
    <t>SALDANA</t>
  </si>
  <si>
    <t>T24</t>
  </si>
  <si>
    <t>IBAGUE GAVIOTA</t>
  </si>
  <si>
    <t>T26</t>
  </si>
  <si>
    <t>EL POBLADO IBAGUE</t>
  </si>
  <si>
    <t>T35</t>
  </si>
  <si>
    <t>ARMERO GUAYABAL</t>
  </si>
  <si>
    <t>I77</t>
  </si>
  <si>
    <t>ISIMO VERSALLES</t>
  </si>
  <si>
    <t>I78</t>
  </si>
  <si>
    <t>ISIMO CONGOLO</t>
  </si>
  <si>
    <t>SANTA FE</t>
  </si>
  <si>
    <t>C31</t>
  </si>
  <si>
    <t>ROSALES</t>
  </si>
  <si>
    <t>LIBANO 1</t>
  </si>
  <si>
    <t>FLANDES TOLIMA</t>
  </si>
  <si>
    <t>IBAGUE LAS FERIAS</t>
  </si>
  <si>
    <t>VILLAHERMOSA</t>
  </si>
  <si>
    <t>VILLA MARLEN</t>
  </si>
  <si>
    <t>LA FRANCIA</t>
  </si>
  <si>
    <t>LEONES</t>
  </si>
  <si>
    <t>BELEN</t>
  </si>
  <si>
    <t>% PARTICIP</t>
  </si>
  <si>
    <t>Merma 01 A 30 JUNIO $</t>
  </si>
  <si>
    <t>% merma JUNIO</t>
  </si>
  <si>
    <t>venta JUNIO $</t>
  </si>
  <si>
    <t>AGUACATE VARIEDAD 400 G</t>
  </si>
  <si>
    <t>FRESA 250 G</t>
  </si>
  <si>
    <t>KIWI  300 G</t>
  </si>
  <si>
    <t>TOMATE CHERRY 250 G</t>
  </si>
  <si>
    <t>TEMPORADA</t>
  </si>
  <si>
    <t>GARZON4</t>
  </si>
  <si>
    <t>Region</t>
  </si>
  <si>
    <t>Tolima</t>
  </si>
  <si>
    <t>Huila</t>
  </si>
  <si>
    <t>Suma total</t>
  </si>
  <si>
    <t>Total Huila</t>
  </si>
  <si>
    <t>Total Tolima</t>
  </si>
  <si>
    <t>MUEBLES</t>
  </si>
  <si>
    <t>MUEBLES / TIENDA</t>
  </si>
  <si>
    <t>Tiendas</t>
  </si>
  <si>
    <t>17 + 11</t>
  </si>
  <si>
    <t>28  ITEMS</t>
  </si>
  <si>
    <t>18 + 13</t>
  </si>
  <si>
    <t>18 + 13 + 11</t>
  </si>
  <si>
    <t>42 ITEMS</t>
  </si>
  <si>
    <t>item</t>
  </si>
  <si>
    <t>descripicion_item</t>
  </si>
  <si>
    <t>fecha (Año y mes)</t>
  </si>
  <si>
    <t>cedi</t>
  </si>
  <si>
    <t>Venta $</t>
  </si>
  <si>
    <t>M_Conocida</t>
  </si>
  <si>
    <t>M_Desconocida</t>
  </si>
  <si>
    <t>M_Desperdicio</t>
  </si>
  <si>
    <t>Merma Total</t>
  </si>
  <si>
    <t>PAPA PAREJA  1000 G</t>
  </si>
  <si>
    <t>MANDARINA IMPORTADA 500 G</t>
  </si>
  <si>
    <t>UVA ISABELA 400 G</t>
  </si>
  <si>
    <t>TOMATE CHONTO UND RC</t>
  </si>
  <si>
    <t>LIMON TAHITI UND RC</t>
  </si>
  <si>
    <t>PAPA UND RC</t>
  </si>
  <si>
    <t>NARANJA UND RC</t>
  </si>
  <si>
    <t>PIMENTON UND RC</t>
  </si>
  <si>
    <t>CEBOLLA BLANCA UND RC</t>
  </si>
  <si>
    <t>MANDARINA UND RC</t>
  </si>
  <si>
    <t>CEBOLLA ROJA UND RC</t>
  </si>
  <si>
    <t>ZANAHORIA UND RC</t>
  </si>
  <si>
    <t>LULO UND  RC</t>
  </si>
  <si>
    <t>TOMATE DE ARBOL UND  RC</t>
  </si>
  <si>
    <t>BANANO 5 UND</t>
  </si>
  <si>
    <t>MAZORCA UND  RC</t>
  </si>
  <si>
    <t>CIRUELA IMPORTADA UND RC</t>
  </si>
  <si>
    <t>GRANADILLA UND  RC</t>
  </si>
  <si>
    <t>APS</t>
  </si>
  <si>
    <t>-</t>
  </si>
  <si>
    <t>ZUCCHINI VERDE 300G</t>
  </si>
  <si>
    <t>CEBOLLA LARGA 250 G</t>
  </si>
  <si>
    <t>AGUACATE HASS 600 G</t>
  </si>
  <si>
    <t>LECHUGA ROMANA HIDROPONICA 220 G</t>
  </si>
  <si>
    <t>LIMON TAHITI 300 G</t>
  </si>
  <si>
    <t>MANZANA VERDE 600 G</t>
  </si>
  <si>
    <t>PIMENTON  500 G</t>
  </si>
  <si>
    <t>MANZANA ROYAL GALA 600 G</t>
  </si>
  <si>
    <t>PERA VERDE 1000 G</t>
  </si>
  <si>
    <t>PERA VERDE 600 G</t>
  </si>
  <si>
    <t>TOMATE DE ARBOL 1000 G</t>
  </si>
  <si>
    <t>SUM de Venta $</t>
  </si>
  <si>
    <t>SUM de Merma Total</t>
  </si>
  <si>
    <t>region</t>
  </si>
  <si>
    <t>cod_tienda</t>
  </si>
  <si>
    <t>tienda</t>
  </si>
  <si>
    <t>NEVERA</t>
  </si>
  <si>
    <t>fecha (Mes)</t>
  </si>
  <si>
    <t>UND</t>
  </si>
  <si>
    <t>UxDxT</t>
  </si>
  <si>
    <t>TOTAL</t>
  </si>
  <si>
    <t>FRUVER</t>
  </si>
  <si>
    <t>Vta Prom día</t>
  </si>
  <si>
    <t>% particip fruver</t>
  </si>
  <si>
    <t>ORIENTE</t>
  </si>
  <si>
    <t>CORPORATIVO</t>
  </si>
  <si>
    <t>CR1</t>
  </si>
  <si>
    <t>CONFIADISIMO</t>
  </si>
  <si>
    <t>ANTIOQUIA</t>
  </si>
  <si>
    <t>RIONEGRO ALTO DE LOS LAURELES</t>
  </si>
  <si>
    <t>MEDELLIN CALASANZ</t>
  </si>
  <si>
    <t>LAURELES EL NOGAL</t>
  </si>
  <si>
    <t>GORETTI ANTIOQUIA</t>
  </si>
  <si>
    <t>COPACABANA PLAZA DE MERCADO</t>
  </si>
  <si>
    <t>MEDELLIN SAN ANTONIO PRADO CASA DE LA CULTURA</t>
  </si>
  <si>
    <t>ITAGUI EL TABLAZO</t>
  </si>
  <si>
    <t>MEDELLIN FONTIDUEÑO</t>
  </si>
  <si>
    <t>MEDELLIN BUENOS AIRES</t>
  </si>
  <si>
    <t>MEDELLIN PILARICA</t>
  </si>
  <si>
    <t>BARRIO CRISTOBAL</t>
  </si>
  <si>
    <t>CAMPO VALDEZ</t>
  </si>
  <si>
    <t>B + E + N</t>
  </si>
  <si>
    <t>SAN JAVIER ESTACION</t>
  </si>
  <si>
    <t>MEDELLIN 20 DE JULIO</t>
  </si>
  <si>
    <t>ACUARELA</t>
  </si>
  <si>
    <t>RIACHUELOS</t>
  </si>
  <si>
    <t>OBRERO</t>
  </si>
  <si>
    <t>ESTADIO</t>
  </si>
  <si>
    <t>SAN JUAN</t>
  </si>
  <si>
    <t>OBELISCO</t>
  </si>
  <si>
    <t>HERRADURA</t>
  </si>
  <si>
    <t>POPULAR</t>
  </si>
  <si>
    <t>SUR - HUILA</t>
  </si>
  <si>
    <t>TOLIMA</t>
  </si>
  <si>
    <t>BÁSICO + EXTENDIDO + NEVERA</t>
  </si>
  <si>
    <t>ZANAHORIA BABY  250 G</t>
  </si>
  <si>
    <t>CARIBE</t>
  </si>
  <si>
    <t>ATLANTICO PUERTO COLOMBIA VILLA CAMPESTRE</t>
  </si>
  <si>
    <t>CARTAGENA LAS RAMBLAS EN MANZANILLO</t>
  </si>
  <si>
    <t>SOLEDAD HIPODROMO</t>
  </si>
  <si>
    <t>BARRANQUILLA MURILLO CRA 33</t>
  </si>
  <si>
    <t>BARRANQUILLA UNIVERSAL CARRERA</t>
  </si>
  <si>
    <t>BARRANQUILLA EL PORVENIR</t>
  </si>
  <si>
    <t>BARRANQUILLA RECREO</t>
  </si>
  <si>
    <t>BARRANQUILLA CARRERA 27</t>
  </si>
  <si>
    <t>BARRANQUILLA CRA 43 76</t>
  </si>
  <si>
    <t>MANZANA ROJA UNIDAD</t>
  </si>
  <si>
    <t>BARRANQUILLA 51B</t>
  </si>
  <si>
    <t>MANZANA ROYAL GALA 1000 G</t>
  </si>
  <si>
    <t>ATLANTICO SOLEDAD 2000</t>
  </si>
  <si>
    <t>ATLANTICO GALAPA</t>
  </si>
  <si>
    <t>BARRANQUILLA OLAYA</t>
  </si>
  <si>
    <t>BARRANQUILLA LA VICTORIA</t>
  </si>
  <si>
    <t>LAS MERCEDES CRA 38</t>
  </si>
  <si>
    <t>LA PAZ</t>
  </si>
  <si>
    <t>HUILA</t>
  </si>
  <si>
    <t>LA TERMINAL</t>
  </si>
  <si>
    <t>LAS MORAS</t>
  </si>
  <si>
    <t>VILLA ANGELITA</t>
  </si>
  <si>
    <t>CIUDAD DEL PUERTO</t>
  </si>
  <si>
    <t>CIUDAD DEL PARQUE</t>
  </si>
  <si>
    <t>SUR - TOLIMA</t>
  </si>
  <si>
    <t>CENTRO</t>
  </si>
  <si>
    <t>VARIANTE CELTA</t>
  </si>
  <si>
    <t>ESMERALDA</t>
  </si>
  <si>
    <t>LA LIBERTAD</t>
  </si>
  <si>
    <t>LIJACA</t>
  </si>
  <si>
    <t>DIVINO NIÑO</t>
  </si>
  <si>
    <t>DINDALITO</t>
  </si>
  <si>
    <t>REGIÓN</t>
  </si>
  <si>
    <t>CONCAT</t>
  </si>
  <si>
    <t>ACTIVA S/N</t>
  </si>
  <si>
    <t>CEDI</t>
  </si>
  <si>
    <t>CEDI CORTO</t>
  </si>
  <si>
    <t>JEFE DE VENTAS</t>
  </si>
  <si>
    <t>EMAIL JEFE DE VENTAS</t>
  </si>
  <si>
    <t>Cel jefe de Ventas</t>
  </si>
  <si>
    <t>COORDINADOR DE ZONA</t>
  </si>
  <si>
    <t>EMAIL COORDINADOR DE ZONA</t>
  </si>
  <si>
    <t>COD ZONA</t>
  </si>
  <si>
    <t>ANALISTA DE OPERACIONES</t>
  </si>
  <si>
    <t>EMAIL ANALISTA DE OPERACIONES</t>
  </si>
  <si>
    <t>DIRECTOR REGIONAL</t>
  </si>
  <si>
    <t>EMAIL DIRECTOR REGIONAL</t>
  </si>
  <si>
    <t>ANALISTA DE TRADE MARKETING</t>
  </si>
  <si>
    <t>EMAIL ANALISTA DE TRADE MARKETING</t>
  </si>
  <si>
    <t>ANALISTA DE SEGURIDAD</t>
  </si>
  <si>
    <t>EMAIL ANALISTA DE SEGURIDAD</t>
  </si>
  <si>
    <t>JEFE DE SEGURIDAD</t>
  </si>
  <si>
    <t>EMAIL JEFE DE SEGURIDAD</t>
  </si>
  <si>
    <t>MUNICIPIO</t>
  </si>
  <si>
    <t>DEPARTAMENTO</t>
  </si>
  <si>
    <t>DIRECCION</t>
  </si>
  <si>
    <t>COORDENADAS</t>
  </si>
  <si>
    <t>HORARIO DE ATENCIÓN</t>
  </si>
  <si>
    <t>CANT TOPES FRONT</t>
  </si>
  <si>
    <t>CANT TOPES BACK</t>
  </si>
  <si>
    <t>CANTIDAD POS</t>
  </si>
  <si>
    <t>CANTIDAD MUEBLE CHECKOUT</t>
  </si>
  <si>
    <t>FARMACIA</t>
  </si>
  <si>
    <t>CANT CONGELADORES</t>
  </si>
  <si>
    <t>CANT BOTADEROS</t>
  </si>
  <si>
    <t>PLAN BOTELLERO</t>
  </si>
  <si>
    <t>GONDOLA CONGELADOR</t>
  </si>
  <si>
    <t>CIGARRERA BAT</t>
  </si>
  <si>
    <t>CIGARRERA COLTABACOS</t>
  </si>
  <si>
    <t>TIPOLOGIA X ÁREA</t>
  </si>
  <si>
    <t>CARNE FRESCA</t>
  </si>
  <si>
    <t>BOTELLERO</t>
  </si>
  <si>
    <t>I03 - ITAGUI EL CAMI</t>
  </si>
  <si>
    <t>CEDI ANTIOQUIA</t>
  </si>
  <si>
    <t>ANI</t>
  </si>
  <si>
    <t>LUISA FERNANDA VILLADA PALACIO</t>
  </si>
  <si>
    <t>luisa.villada@tiendasisimo.com</t>
  </si>
  <si>
    <t>DAMARIS RENDON PATIÑO</t>
  </si>
  <si>
    <t>damaris.rendon@tiendasisimo.com</t>
  </si>
  <si>
    <t>ANI ZONA 4</t>
  </si>
  <si>
    <t>JULIAN ANDRES ECHEVERRY CARRASQUILLA</t>
  </si>
  <si>
    <t>julian.echeverry@tiendasisimo.com</t>
  </si>
  <si>
    <t>LINA M. RIVERA MARIN</t>
  </si>
  <si>
    <t>lina.rivera@tiendasisimo.com</t>
  </si>
  <si>
    <t>JUAN CAMILO CARDOZO MOSQUERA</t>
  </si>
  <si>
    <t>juan.cardozo@tiendasisimo.com</t>
  </si>
  <si>
    <t>FERNANDO VELASQUEZ GUTIERREZ</t>
  </si>
  <si>
    <t>fernando.velasquez@tiendasisimo.com</t>
  </si>
  <si>
    <t>CARLOS AYALA PACHECO</t>
  </si>
  <si>
    <t>carlos.ayala@tiendasisimo.com</t>
  </si>
  <si>
    <t>ITAGUI</t>
  </si>
  <si>
    <t>Calle 51 #52-37</t>
  </si>
  <si>
    <t>265,0</t>
  </si>
  <si>
    <t>214,0</t>
  </si>
  <si>
    <t>6.1742214928896395, -75.60987852069567</t>
  </si>
  <si>
    <t>07:00 am - 09:00 pm</t>
  </si>
  <si>
    <t>TIPO B</t>
  </si>
  <si>
    <t>MED BAJO</t>
  </si>
  <si>
    <t>I18 - MEDELLIN SAN ANTONIO PRADO CASA DE LA CULTURA</t>
  </si>
  <si>
    <t>MEDELLIN</t>
  </si>
  <si>
    <t>Carrera 78 # 40 sur-19</t>
  </si>
  <si>
    <t>261,0</t>
  </si>
  <si>
    <t>228,0</t>
  </si>
  <si>
    <t>6.183691238879616, -75.65554142505984</t>
  </si>
  <si>
    <t>08:00 am - 09:00 pm</t>
  </si>
  <si>
    <t>I21 - ITAGUI EL TABLAZO</t>
  </si>
  <si>
    <t>Carrera 56 #56A-23</t>
  </si>
  <si>
    <t>248,0</t>
  </si>
  <si>
    <t>219,0</t>
  </si>
  <si>
    <t>6.1782318, -75.607517</t>
  </si>
  <si>
    <t>I38 - SABANETA PARQUE</t>
  </si>
  <si>
    <t>SABANETA</t>
  </si>
  <si>
    <t>Calle 71 SUR # 43B - 85</t>
  </si>
  <si>
    <t>6.150790635365078, -75.61587107836687</t>
  </si>
  <si>
    <t>I47 - LA ESTRELLA ANCON</t>
  </si>
  <si>
    <t>LA ESTRELLA</t>
  </si>
  <si>
    <t>CARRERA 3 #01-84</t>
  </si>
  <si>
    <t>243,0</t>
  </si>
  <si>
    <t>226,0</t>
  </si>
  <si>
    <t>6.159542783841385, -75.63650103481822</t>
  </si>
  <si>
    <t>I56 - ITAGUI SAN FRANCISCO</t>
  </si>
  <si>
    <t>Calle 27 # 69 - 14</t>
  </si>
  <si>
    <t>260,0</t>
  </si>
  <si>
    <t>245,0</t>
  </si>
  <si>
    <t>6.171560, -75.640967</t>
  </si>
  <si>
    <t>I02 - ENVIGADO PARQUE</t>
  </si>
  <si>
    <t>ENVIGADO</t>
  </si>
  <si>
    <t>Calle 37 sur # 39- 33 primer piso</t>
  </si>
  <si>
    <t>280,0</t>
  </si>
  <si>
    <t>6.169018571380511, -75.58519226598607</t>
  </si>
  <si>
    <t>I36 - SABANETA CALLE LARGA</t>
  </si>
  <si>
    <t>Calle 75S #46D-54 edifico calle larga</t>
  </si>
  <si>
    <t>379,0</t>
  </si>
  <si>
    <t>320,0</t>
  </si>
  <si>
    <t>6.151981020123899, -75.62054667438754</t>
  </si>
  <si>
    <t>TIPO A</t>
  </si>
  <si>
    <t>I40 - MEDELLIN GUAYABAL PARQUE DE LAS CHIMENEA</t>
  </si>
  <si>
    <t>Carrera 52 #14 Sur -75</t>
  </si>
  <si>
    <t>286,0</t>
  </si>
  <si>
    <t>224,0</t>
  </si>
  <si>
    <t>6.2183451, -75.57961300000001</t>
  </si>
  <si>
    <t>I66 - ACUARELA</t>
  </si>
  <si>
    <t>Calle 54 # 81-55</t>
  </si>
  <si>
    <t>303,0</t>
  </si>
  <si>
    <t>6.268590969869933, -75.59752328337356</t>
  </si>
  <si>
    <t>I54 - ARKADIA</t>
  </si>
  <si>
    <t>CARRERA 70 # 2 SUR 48</t>
  </si>
  <si>
    <t>350,0</t>
  </si>
  <si>
    <t>330,0</t>
  </si>
  <si>
    <t>6.211134386892507, -75.59418110378118</t>
  </si>
  <si>
    <t>I11 - LAURELES EL NOGAL</t>
  </si>
  <si>
    <t>Calle 32F #75C-145</t>
  </si>
  <si>
    <t>235,0</t>
  </si>
  <si>
    <t>217,0</t>
  </si>
  <si>
    <t>6.238531511018855, -75.59650503537769</t>
  </si>
  <si>
    <t>I71 - ISIMO SAN JUAN</t>
  </si>
  <si>
    <t>Calle 44 No. 90 – 22</t>
  </si>
  <si>
    <t>321,7</t>
  </si>
  <si>
    <t>6.25269,-75.60773</t>
  </si>
  <si>
    <t>I08 - MEDELLIN CALASANZ</t>
  </si>
  <si>
    <t>JOSÉ LUIS AGUIRRE DEOSSA</t>
  </si>
  <si>
    <t>jose.aguirre@tiendasisimo.com</t>
  </si>
  <si>
    <t>ANI ZONA 1</t>
  </si>
  <si>
    <t>Calle 49 #80-29</t>
  </si>
  <si>
    <t>372,0</t>
  </si>
  <si>
    <t>304,0</t>
  </si>
  <si>
    <t>6.26075225073431, -75.59779823603735</t>
  </si>
  <si>
    <t>I64 - SANTA LUCIA 2</t>
  </si>
  <si>
    <t>Carrera 87 #47D - 75</t>
  </si>
  <si>
    <t>315,0</t>
  </si>
  <si>
    <t>285,0</t>
  </si>
  <si>
    <t>6.258942974492522, -75.6041398047371</t>
  </si>
  <si>
    <t>I12 - GORETTI ANTIOQUIA</t>
  </si>
  <si>
    <t>BELLO</t>
  </si>
  <si>
    <t>Calle 70 #64-28</t>
  </si>
  <si>
    <t>246,0</t>
  </si>
  <si>
    <t>6.349783700000001, -75.5672543</t>
  </si>
  <si>
    <t>I22 - MEDELLIN FONTIDUEÑO</t>
  </si>
  <si>
    <t>Diagonal 44 # 32 - 49</t>
  </si>
  <si>
    <t>318,0</t>
  </si>
  <si>
    <t>256,0</t>
  </si>
  <si>
    <t>6.333559218094059, -75.53760196102108</t>
  </si>
  <si>
    <t>I31 - MEDELLIN CASTILLA</t>
  </si>
  <si>
    <t>Calle 96 # 67 - 52</t>
  </si>
  <si>
    <t>207,0</t>
  </si>
  <si>
    <t>190,0</t>
  </si>
  <si>
    <t>6.291692777698329, -75.57198085685818</t>
  </si>
  <si>
    <t>TIPO C</t>
  </si>
  <si>
    <t>I33 - MEDELLIN SANTA CRUZ</t>
  </si>
  <si>
    <t>JUAN ESTEBAN SIERRA FLOREZ</t>
  </si>
  <si>
    <t>juan.sierra@tiendasisimo.com</t>
  </si>
  <si>
    <t>ANI ZONA 2</t>
  </si>
  <si>
    <t>Calle 100 # 46 A - 28</t>
  </si>
  <si>
    <t>208,0</t>
  </si>
  <si>
    <t>189,0</t>
  </si>
  <si>
    <t>6.2913913459820305, -75.55362371645013</t>
  </si>
  <si>
    <t>I06 - GIRARDOTA PARQUE</t>
  </si>
  <si>
    <t>GIRADOTA</t>
  </si>
  <si>
    <t>Carrera 16 #6-24</t>
  </si>
  <si>
    <t>311,0</t>
  </si>
  <si>
    <t>237,0</t>
  </si>
  <si>
    <t>6.37816715492823, -75.44619229000996</t>
  </si>
  <si>
    <t>I10 - BARBOSA PARQUE</t>
  </si>
  <si>
    <t>BARBOSA</t>
  </si>
  <si>
    <t>Calle 13 #14-37</t>
  </si>
  <si>
    <t>240,0</t>
  </si>
  <si>
    <t>218,0</t>
  </si>
  <si>
    <t>6.436624, -75.331612</t>
  </si>
  <si>
    <t>I16 - COPACABANA PLAZA DE MERCADO</t>
  </si>
  <si>
    <t>COPACABANA</t>
  </si>
  <si>
    <t>Carrera 53 #50-49</t>
  </si>
  <si>
    <t>336,0</t>
  </si>
  <si>
    <t>241,0</t>
  </si>
  <si>
    <t>6.3463898, -75.5099042</t>
  </si>
  <si>
    <t>I17 - MEDELLIN ARANJUEZ SAN ISIDRO</t>
  </si>
  <si>
    <t>Carrera 50A #93-26</t>
  </si>
  <si>
    <t>270,0</t>
  </si>
  <si>
    <t>234,0</t>
  </si>
  <si>
    <t>6.2850594451252, -75.55838674768168</t>
  </si>
  <si>
    <t>I42 - BELLO NIQUIA</t>
  </si>
  <si>
    <t>Diagonal 56 #42-17</t>
  </si>
  <si>
    <t>6.3396991, -75.5483986</t>
  </si>
  <si>
    <t>I55 - BELLO PARIS</t>
  </si>
  <si>
    <t>Calle 20F #76-62/68 Bello, Antioquia</t>
  </si>
  <si>
    <t>281,0</t>
  </si>
  <si>
    <t>6.31330013275146,-75.5821762084961</t>
  </si>
  <si>
    <t>I67 - ISIMO RIACHUELOS</t>
  </si>
  <si>
    <t>Carrera 65 # 52 B - 140</t>
  </si>
  <si>
    <t>300,0</t>
  </si>
  <si>
    <t>254,0</t>
  </si>
  <si>
    <t>6.336291, -75.570491</t>
  </si>
  <si>
    <t>I68 - ISIMO OBRERO</t>
  </si>
  <si>
    <t>Cll 37 # 51 - 191</t>
  </si>
  <si>
    <t>410,0</t>
  </si>
  <si>
    <t>310,0</t>
  </si>
  <si>
    <t>6.323618,-75.5588006</t>
  </si>
  <si>
    <t>I70 - ISIMO ESTADIO</t>
  </si>
  <si>
    <t>Carrera 70 # 50 - 39</t>
  </si>
  <si>
    <t>6.2589381,-75.5861576,17</t>
  </si>
  <si>
    <t>I07 - SAN ANTONIO DE PEREIRA</t>
  </si>
  <si>
    <t>RIONEGRO</t>
  </si>
  <si>
    <t>Carrera 55B #21-46</t>
  </si>
  <si>
    <t>6.128964216245176, -75.38099573418916</t>
  </si>
  <si>
    <t>I27 - MEDELLIN BUENOS AIRES</t>
  </si>
  <si>
    <t>LINA M RIVERA MARIN</t>
  </si>
  <si>
    <t>Calle 49 # 33 - 30</t>
  </si>
  <si>
    <t>227,0</t>
  </si>
  <si>
    <t>6.2422679, -75.5553394</t>
  </si>
  <si>
    <t>I57 - MEDELLIN MIRAFLORES</t>
  </si>
  <si>
    <t>Calle 49 # 26 - 53</t>
  </si>
  <si>
    <t>276,0</t>
  </si>
  <si>
    <t>259,0</t>
  </si>
  <si>
    <t>6.239311, -75.550050</t>
  </si>
  <si>
    <t>I05 - RIONEGRO ALTO DE LOS LAURELES</t>
  </si>
  <si>
    <t>Carrera 52 #53-50</t>
  </si>
  <si>
    <t>323,0</t>
  </si>
  <si>
    <t>274,0</t>
  </si>
  <si>
    <t>6.157335481335065, -75.37289533016707</t>
  </si>
  <si>
    <t>I15 - GUARNE ESTADIO</t>
  </si>
  <si>
    <t>GUARNE</t>
  </si>
  <si>
    <t>Calle 52 #52B-210</t>
  </si>
  <si>
    <t>337,0</t>
  </si>
  <si>
    <t>283,0</t>
  </si>
  <si>
    <t>6.280193047835381, -75.4464359290288</t>
  </si>
  <si>
    <t>B05 - BARRANCABERMEJA CALLE 50</t>
  </si>
  <si>
    <t>CEDI ORIENTE</t>
  </si>
  <si>
    <t>ORB</t>
  </si>
  <si>
    <t>BARRANCABERMEJA</t>
  </si>
  <si>
    <t>SANTANDER</t>
  </si>
  <si>
    <t>4, Villa Jordán, Soledad, Atlántico</t>
  </si>
  <si>
    <t>B10 - BARRANCA LA FLORESTA</t>
  </si>
  <si>
    <t>Calle 61 # 29 -53</t>
  </si>
  <si>
    <t>B15 - OCAÑA PRIMAVERA</t>
  </si>
  <si>
    <t>OCAÑA</t>
  </si>
  <si>
    <t>NORTE DE SANTANDER</t>
  </si>
  <si>
    <t>Calle 7# 35 A 08</t>
  </si>
  <si>
    <t>B17 - AGUACHICA CALLE QUINTA</t>
  </si>
  <si>
    <t>AGUACHICA</t>
  </si>
  <si>
    <t>CESAR</t>
  </si>
  <si>
    <t>Calle 5 #22 74</t>
  </si>
  <si>
    <t>B18 - GALICIA</t>
  </si>
  <si>
    <t>PIEDECUESTA</t>
  </si>
  <si>
    <t>CALLE 2N # 7-93 LOCAL COMERCIAL PRIMER PISO URBANIZACIÓN VILLAS DE SANTA MARíAEDIFICIO TORRE SALAMANCA</t>
  </si>
  <si>
    <t>B19 - SAN MARTIN</t>
  </si>
  <si>
    <t>SAN MARTÍN</t>
  </si>
  <si>
    <t>Carrera 6 #16-38</t>
  </si>
  <si>
    <t>B21 - RUITOQUE MIRADOR</t>
  </si>
  <si>
    <t>FLORIDABLANCA</t>
  </si>
  <si>
    <t>VEREDA RUITOQUE FINCA EL MIRADOR</t>
  </si>
  <si>
    <t>B22 - SAN LORENZO</t>
  </si>
  <si>
    <t>BUCARAMANGA</t>
  </si>
  <si>
    <t>TRANSVERSAL 112 # 19 -82</t>
  </si>
  <si>
    <t>B23 - OCANA MERCADO</t>
  </si>
  <si>
    <t>Calle 9 #14- 46/66</t>
  </si>
  <si>
    <t>B26 - SAN ALBERTO</t>
  </si>
  <si>
    <t>B27 - LA CASONA</t>
  </si>
  <si>
    <t>Kilometro 1 Via Bogota Vereda los Colora</t>
  </si>
  <si>
    <t>B30 - BARRANCA TORCOROMA</t>
  </si>
  <si>
    <t>Calle 54 No. 18A-12</t>
  </si>
  <si>
    <t>C01 - CHINACOTA</t>
  </si>
  <si>
    <t>ORC</t>
  </si>
  <si>
    <t>CHINÁCOTA</t>
  </si>
  <si>
    <t>Carrera 3 # 4- 42</t>
  </si>
  <si>
    <t>C02 - CIUDADELA ANTONIA SANTOS</t>
  </si>
  <si>
    <t>CÚCUTA</t>
  </si>
  <si>
    <t>CALLE 24 #52-05</t>
  </si>
  <si>
    <t>C03 - EL CALLEJON</t>
  </si>
  <si>
    <t>CALLE 2A # 8-74 /76 EL CALLEJON</t>
  </si>
  <si>
    <t>C07 - VILLA DEL ROSARIO</t>
  </si>
  <si>
    <t>Calle 8 # 7-32/ 38</t>
  </si>
  <si>
    <t>C08 - BELENCITO</t>
  </si>
  <si>
    <t>Avenida.26 #31-38</t>
  </si>
  <si>
    <t>C09 - EL CANAL</t>
  </si>
  <si>
    <t>Avenida canal Bogota # 12 AN-157 Y Av. 8 ESTE #12AN-154</t>
  </si>
  <si>
    <t>C10 - EL LLANO</t>
  </si>
  <si>
    <t>Calle 9 # 9-32/34</t>
  </si>
  <si>
    <t>C14 - LA DECIMA</t>
  </si>
  <si>
    <t>Calle 10 #18-36 Av 18 y 19 Barrio Cundina</t>
  </si>
  <si>
    <t>C15 - PIZZAREAL</t>
  </si>
  <si>
    <t>LOS PATIOS</t>
  </si>
  <si>
    <t>Avenida 10 #16- 44</t>
  </si>
  <si>
    <t>C16 - AVENIDA 20</t>
  </si>
  <si>
    <t>Calle 20 # 20- 52</t>
  </si>
  <si>
    <t>C17 - CENTRAL DE CUCUTA</t>
  </si>
  <si>
    <t>Avenida 4 No 12-25/35</t>
  </si>
  <si>
    <t>C18 - LA MILAGROSA</t>
  </si>
  <si>
    <t>Calle 8 BN # 22A-15</t>
  </si>
  <si>
    <t>C19 - NATILAN</t>
  </si>
  <si>
    <t>Calle 5N AV 21-A y 22 Manzana K-4 urbanización Juan Atalaya.</t>
  </si>
  <si>
    <t>C22 - ZULIA</t>
  </si>
  <si>
    <t>Hacienda Casa Valle Barrio Pueblo Nuevo</t>
  </si>
  <si>
    <t>C23 - LA VICTORIOSA</t>
  </si>
  <si>
    <t>Avenida 7 #4CA- 24 Barrio La Victoria</t>
  </si>
  <si>
    <t>C24 - CAOBOS</t>
  </si>
  <si>
    <t>Calle 15 #2E 34</t>
  </si>
  <si>
    <t>C25 - LA AUXILIADORA</t>
  </si>
  <si>
    <t>Avenida Las Amercias 14AN 03-92</t>
  </si>
  <si>
    <t>C27 - ALCALA DEL RIO</t>
  </si>
  <si>
    <t>Calle 17N # 18E - 130 Urbanización Niza</t>
  </si>
  <si>
    <t>C28 - LA REDOMA</t>
  </si>
  <si>
    <t>Calle 19 2-25 Barrio San Luis Niza</t>
  </si>
  <si>
    <t>C29 - AEROPUERTO</t>
  </si>
  <si>
    <t>Avenida 2 # 0 -65 LOTE 17</t>
  </si>
  <si>
    <t>C30 - VIDELSO</t>
  </si>
  <si>
    <t>Avenida 10 #23-05 Brr Videlso</t>
  </si>
  <si>
    <t>C31 - ROSALES</t>
  </si>
  <si>
    <t>Manzana D avenida Olaya Herrera Calle 21 B - 29/ 37</t>
  </si>
  <si>
    <t>I01 - ENVIGADO LAS VEGAS</t>
  </si>
  <si>
    <t>Calle 30 Sur # 45A-150</t>
  </si>
  <si>
    <t>I04 - GUARNE PLAZA</t>
  </si>
  <si>
    <t>I09 - ITAGUI SAN GABRIEL</t>
  </si>
  <si>
    <t>Carrera 54E #54A Sur -96</t>
  </si>
  <si>
    <t>I13 - ITAGUI ASTURIAS</t>
  </si>
  <si>
    <t>Calle 50 #44-51</t>
  </si>
  <si>
    <t>I19 - ENVIGADO ORQUIDEAS</t>
  </si>
  <si>
    <t>Calle 23S #42B-68</t>
  </si>
  <si>
    <t>I23 - MEDELLIN SAN ANTONIO DE PRADO PARQUE</t>
  </si>
  <si>
    <t>Calle 42 Sur # 81 - 73</t>
  </si>
  <si>
    <t>I24 - MEDELLIN SANTA LUCIA</t>
  </si>
  <si>
    <t>Carrera 87 # 47 DD - 61</t>
  </si>
  <si>
    <t>I25 - MARINILLA MARIA AUXILIADORA</t>
  </si>
  <si>
    <t>MARINILLA</t>
  </si>
  <si>
    <t>Calle 30 # 43 - 22</t>
  </si>
  <si>
    <t>I26 - LA CEJA MARULANDA</t>
  </si>
  <si>
    <t>LA CEJA</t>
  </si>
  <si>
    <t>Carrera 21 # 14 - 59</t>
  </si>
  <si>
    <t>I28 - MEDELLIN BARRIO ANTIOQUIA</t>
  </si>
  <si>
    <t>Calle 25 # 65A - 38</t>
  </si>
  <si>
    <t>I30 - MEDELLIN BELALCAZAR</t>
  </si>
  <si>
    <t>Carrera 64A # 103 - 29</t>
  </si>
  <si>
    <t>I35 - LA PINTADA</t>
  </si>
  <si>
    <t>Calle 35 A # 30 D - 12</t>
  </si>
  <si>
    <t>M01 - MONTERIA NARINO</t>
  </si>
  <si>
    <t>CAM</t>
  </si>
  <si>
    <t>MONTERIA</t>
  </si>
  <si>
    <t>CORDOBA</t>
  </si>
  <si>
    <t>Calle 41 #5-67</t>
  </si>
  <si>
    <t>M02 - CERETE SAN DIEGO</t>
  </si>
  <si>
    <t>CERETE</t>
  </si>
  <si>
    <t>Carrera 15 # 9B-09</t>
  </si>
  <si>
    <t>M03 - MONTERIA EL DORADO</t>
  </si>
  <si>
    <t>Carrera 9W #27-23</t>
  </si>
  <si>
    <t>M04 - MONTERIA VILLA ROCIO</t>
  </si>
  <si>
    <t>Calle 22 Manzana A/MZ A LOTE 11 villa rocio</t>
  </si>
  <si>
    <t>M05 - MONTERIA CASTELLANA</t>
  </si>
  <si>
    <t>Carrera 6 #59-12</t>
  </si>
  <si>
    <t>M06 - SINCELEJO SAN CARLOS</t>
  </si>
  <si>
    <t>SINCELEJO</t>
  </si>
  <si>
    <t>SUCRE</t>
  </si>
  <si>
    <t>CARRERA 14 # 15 -04</t>
  </si>
  <si>
    <t>M07 - SINCELEJO LAS PENITAS</t>
  </si>
  <si>
    <t>Calle 25 #27C-13</t>
  </si>
  <si>
    <t>M08 - MONTELIBANO</t>
  </si>
  <si>
    <t>Calle 18 #04-49</t>
  </si>
  <si>
    <t>M09 - CIENAGA DE ORO</t>
  </si>
  <si>
    <t>Carrera 16 #8-94</t>
  </si>
  <si>
    <t>M10 - AYAPEL</t>
  </si>
  <si>
    <t>Calle 9 #2-29</t>
  </si>
  <si>
    <t>M11 - SUCRE SAMPUES</t>
  </si>
  <si>
    <t>SAMPUES</t>
  </si>
  <si>
    <t>Transversal 13 #21-34</t>
  </si>
  <si>
    <t>M12 - MONTERIA SEIS DE MARZO</t>
  </si>
  <si>
    <t>Transversal 14 #12-89</t>
  </si>
  <si>
    <t>M13 - SINCELEJO ARGELIA</t>
  </si>
  <si>
    <t>Calle 32 #7-35</t>
  </si>
  <si>
    <t>M14 - TIERRALTA</t>
  </si>
  <si>
    <t>Calle 10 #16-84</t>
  </si>
  <si>
    <t>M15 - CERETE LEOPOLDO BERDELLA</t>
  </si>
  <si>
    <t>calle 12 # 7 -50</t>
  </si>
  <si>
    <t>M16 - PUEBLO NUEVO</t>
  </si>
  <si>
    <t>Carrera 11 # 14 - 43</t>
  </si>
  <si>
    <t>M17 - PUERTO LIBERTADOR</t>
  </si>
  <si>
    <t>Kilometro 9 # 11 - 45</t>
  </si>
  <si>
    <t>M18 - COROZAL</t>
  </si>
  <si>
    <t>Calle 30 # 24 - 19</t>
  </si>
  <si>
    <t>M19 - MONTERIA PRINCIPAL DE LA GRANJA</t>
  </si>
  <si>
    <t>Transversal 5 # 17 - 04,</t>
  </si>
  <si>
    <t>M20 - SAN MARCOS</t>
  </si>
  <si>
    <t>Carrera 24 # 17 - 78</t>
  </si>
  <si>
    <t>M21 - PLANETA RICA LOS ANGELES</t>
  </si>
  <si>
    <t>PLANETA RICA</t>
  </si>
  <si>
    <t>Carrera 7 # 8 - 55</t>
  </si>
  <si>
    <t>M22 - MONTERIA VILLANOVA</t>
  </si>
  <si>
    <t>Transversal 29 # 43A - 90</t>
  </si>
  <si>
    <t>M23 - COVENAS</t>
  </si>
  <si>
    <t>COVEÑAS</t>
  </si>
  <si>
    <t>Calle 10 # 22 - 260</t>
  </si>
  <si>
    <t>M24 - CAUCASIA CENTRO</t>
  </si>
  <si>
    <t>Calle 23 # 05 - 23</t>
  </si>
  <si>
    <t>M25 - CAUCASIA</t>
  </si>
  <si>
    <t>Carrerea 20 # 10-46</t>
  </si>
  <si>
    <t>SUR</t>
  </si>
  <si>
    <t>N05 - CAGUAN</t>
  </si>
  <si>
    <t>CEDI SUR - HUILA</t>
  </si>
  <si>
    <t>SUN</t>
  </si>
  <si>
    <t>NEIVA</t>
  </si>
  <si>
    <t>Calle 4 #2-178 Los comuneros</t>
  </si>
  <si>
    <t>N07 - CANDIDO NEIVA</t>
  </si>
  <si>
    <t>Carrera 1 #45-26 CANDIDO LEGUIZAMO</t>
  </si>
  <si>
    <t>N08 - GRANJAS NEIVA</t>
  </si>
  <si>
    <t>Avenida 26 # 34-31 LOCAL 1-2</t>
  </si>
  <si>
    <t>N09 - DONCELLO CAQUETA</t>
  </si>
  <si>
    <t>EL DONCELLO</t>
  </si>
  <si>
    <t>CAQUETÁ</t>
  </si>
  <si>
    <t>CALLE 5 # 2 - 33/39</t>
  </si>
  <si>
    <t>N12 - PITALITO 3</t>
  </si>
  <si>
    <t>Carrera 4 No 18-28</t>
  </si>
  <si>
    <t>N13 - COMUNEROS NEIVA</t>
  </si>
  <si>
    <t>Calle 8 N 1 H 50 LC</t>
  </si>
  <si>
    <t>N14 - GALINDO</t>
  </si>
  <si>
    <t>Calle 77 B # 5-43 BODEGA 2 Barrio Luis Carlos Galan</t>
  </si>
  <si>
    <t>N19 - CANAIMA AVENIDA MAX DUQUE</t>
  </si>
  <si>
    <t>Calle 21# 28-88 LOCAL 03</t>
  </si>
  <si>
    <t>N23 - LAS PALMAS NEIVA</t>
  </si>
  <si>
    <t>Carrera 52 # 21-06 Las Palmas</t>
  </si>
  <si>
    <t>N25 - AIPE</t>
  </si>
  <si>
    <t>Carrera 5 # 6-13 y 6-17</t>
  </si>
  <si>
    <t>N26 - CHICALA</t>
  </si>
  <si>
    <t>Carrera 1 #70-123</t>
  </si>
  <si>
    <t>N28 - CIUDADELA FLORENCIA</t>
  </si>
  <si>
    <t>FLORENCIA</t>
  </si>
  <si>
    <t>CARRERA 29A # 22-53, BARRIO CIUDADELA HABITACIONAL SIGLO XXI</t>
  </si>
  <si>
    <t>N30 - SAN JOSE DE FRAGUA</t>
  </si>
  <si>
    <t>Calle 3 N 3-31/35/37/39</t>
  </si>
  <si>
    <t>N32 - TIZON</t>
  </si>
  <si>
    <t>Carrera 6W #28A - 01 Lcal 2</t>
  </si>
  <si>
    <t>N36 - PUERTO RICO</t>
  </si>
  <si>
    <t>Calle 5 #5-74/78/82</t>
  </si>
  <si>
    <t>N38 - GIGANTE 2</t>
  </si>
  <si>
    <t>GIGANTE</t>
  </si>
  <si>
    <t>Calle 4 # 6-72 Centro</t>
  </si>
  <si>
    <t>N40 - PAUJIL</t>
  </si>
  <si>
    <t>Calle 3 #3-20-30-32-34</t>
  </si>
  <si>
    <t>N44 - FLORENCIA CENTRO 2</t>
  </si>
  <si>
    <t>CARRERA 11 N. 13-24</t>
  </si>
  <si>
    <t>N45 - TIMANCO NEIVA</t>
  </si>
  <si>
    <t>Carrera 22 #12a Sur -15 La Esperanza</t>
  </si>
  <si>
    <t>Q02 - SANTA MARTA EL JARDIN</t>
  </si>
  <si>
    <t>CEDI CARIBE</t>
  </si>
  <si>
    <t>CAQ</t>
  </si>
  <si>
    <t>SANTA MARTA</t>
  </si>
  <si>
    <t>MAGDALENA</t>
  </si>
  <si>
    <t>Calle 14 # 23 - 16</t>
  </si>
  <si>
    <t>Q03 - ATLANTICO JUAN DE ACOSTA</t>
  </si>
  <si>
    <t>JUAN DE ACOSTA</t>
  </si>
  <si>
    <t>ATLANTICO</t>
  </si>
  <si>
    <t>Calle 6A # 3 - 26</t>
  </si>
  <si>
    <t>Q11 - MAGDALENA FUNDACION</t>
  </si>
  <si>
    <t>FUNDACION</t>
  </si>
  <si>
    <t>Calle 7 # 8 - 35</t>
  </si>
  <si>
    <t>Q15 - SANTA MARTA RODADERO</t>
  </si>
  <si>
    <t>Calle 23 # 3C - 80</t>
  </si>
  <si>
    <t>Q16 - BARRANQUILLA SANTO DOMINGO</t>
  </si>
  <si>
    <t>BARRANQUILLA</t>
  </si>
  <si>
    <t>Calle 90 # 2B - 05</t>
  </si>
  <si>
    <t>Q17 - SANTA MARTA ALCAZARES</t>
  </si>
  <si>
    <t>Calle 22 # 12 - 16</t>
  </si>
  <si>
    <t>Q18 - SANTA MARTA SANTA RITA</t>
  </si>
  <si>
    <t>Calle 23 # 7 - 45</t>
  </si>
  <si>
    <t>Q21 - MAGDALENA ARACATACA</t>
  </si>
  <si>
    <t>ARACATACA</t>
  </si>
  <si>
    <t>CALLE 8 ENTRE CARRERA 2 y 3 / calle 8 No 2-41 y calle 8 No 2-33</t>
  </si>
  <si>
    <t>Q22 - SANTA MARTA BAVARIA VIVERO</t>
  </si>
  <si>
    <t>Avenida del Rio Calle 29 # 13 - 74</t>
  </si>
  <si>
    <t>Q24 - SANTA MARTA MANZANARES</t>
  </si>
  <si>
    <t>Calle 30 # 4 - 33</t>
  </si>
  <si>
    <t>Q26 - BARRANQUILLA CARRERA 60</t>
  </si>
  <si>
    <t>Carrera 60 # 70 - 31</t>
  </si>
  <si>
    <t>Q28 - SANTA MARTA MAMATOCO</t>
  </si>
  <si>
    <t>Calle 29 # 53A - 114</t>
  </si>
  <si>
    <t>Q36 - BOLIVAR SAN JUAN NEPOMUCENO</t>
  </si>
  <si>
    <t>BOLIVAR</t>
  </si>
  <si>
    <t>Calle 11 # 11 - 26</t>
  </si>
  <si>
    <t>Q38 - BARRANQUILLA URBANIZACION LA PLAYA</t>
  </si>
  <si>
    <t>Cra 10 # 12 - 45</t>
  </si>
  <si>
    <t>Q43 - BARRANQUILLA CARRERA 50</t>
  </si>
  <si>
    <t>Carrera 50 # 54 - 29</t>
  </si>
  <si>
    <t>Q44 - SOLEDAD VILLAS DE SOLEDAD</t>
  </si>
  <si>
    <t>SOLEDAD</t>
  </si>
  <si>
    <t>Carrera 15 # 54 - 66</t>
  </si>
  <si>
    <t>Q56 - BOLIVAR CARMEN DE BOLIVAR</t>
  </si>
  <si>
    <t>Q57 - ATLANTICO CAMPO DE LA CRUZ</t>
  </si>
  <si>
    <t>CAMPO DE LA CRUZ</t>
  </si>
  <si>
    <t>Calle 6 # 9 - 05</t>
  </si>
  <si>
    <t>Q60 - BOLIVAR MARIA LA BAJA</t>
  </si>
  <si>
    <t>Q61 - BARRANQUILLA CALLE 41 SAN JOSE</t>
  </si>
  <si>
    <t>Calle 41 # 21 - 09</t>
  </si>
  <si>
    <t>Q76 - ISIMO CENTENARIO</t>
  </si>
  <si>
    <t>Calle 18 # 26 - 04</t>
  </si>
  <si>
    <t>S10 - USAQUEN SANTA CECILIA</t>
  </si>
  <si>
    <t>CEDI CENTRO</t>
  </si>
  <si>
    <t>BOGOTÁ</t>
  </si>
  <si>
    <t>BOGOTA D.C.</t>
  </si>
  <si>
    <t>Calle 162 7B - 48</t>
  </si>
  <si>
    <t>S14 - FLORIDA</t>
  </si>
  <si>
    <t>Calle 68 a # 87 - 44</t>
  </si>
  <si>
    <t>S21 - RIO NEGRO</t>
  </si>
  <si>
    <t>Calle 98 a # 60 - 93</t>
  </si>
  <si>
    <t>S23 - FUNDADORES BOGOTÁ</t>
  </si>
  <si>
    <t>Carrera 71 # 24 - 46 Sur</t>
  </si>
  <si>
    <t>S28 - PATIO BONITO</t>
  </si>
  <si>
    <t>Av. Carrera 86 # 42 - 29 Sur</t>
  </si>
  <si>
    <t>S33 - SOACHA CHICO SUR</t>
  </si>
  <si>
    <t>SOACHA</t>
  </si>
  <si>
    <t>CUNDINAMARCA</t>
  </si>
  <si>
    <t>Diagonal 15 b # 8 Este - 17</t>
  </si>
  <si>
    <t>S35 - AGUAZUL</t>
  </si>
  <si>
    <t>CASANARE</t>
  </si>
  <si>
    <t>Calle 8 # 16 - 30 / carrera 14 n 8 - 20 / calle 6 n 33 - 26</t>
  </si>
  <si>
    <t>S36 - PAZ DE ARI PORO</t>
  </si>
  <si>
    <t>PAZ DE ARIPORO</t>
  </si>
  <si>
    <t>Calle 10 # 9 - 13 /35/39</t>
  </si>
  <si>
    <t>S37 - PORE</t>
  </si>
  <si>
    <t>Carrera 21 # 3 - 63</t>
  </si>
  <si>
    <t>S38 - TAURAMENA</t>
  </si>
  <si>
    <t>Calle 2 # 12 - 87</t>
  </si>
  <si>
    <t>S39 - YOPAL CAMPIÑA</t>
  </si>
  <si>
    <t>YOPAL</t>
  </si>
  <si>
    <t>Calle 9 # 25 - 32</t>
  </si>
  <si>
    <t>S40 - YOPAL LLANO LINDO</t>
  </si>
  <si>
    <t>Calle 60 # 1 C Este - 15 mz 7 lote 2</t>
  </si>
  <si>
    <t>S41 - ACACIAS</t>
  </si>
  <si>
    <t>META</t>
  </si>
  <si>
    <t>Calle 15 # 17 - 86 - 
  Carrera 18 # 15 -12/24</t>
  </si>
  <si>
    <t>S42 - ACACIAS SAN JOSE</t>
  </si>
  <si>
    <t>Carrera 24 # 12 - 62</t>
  </si>
  <si>
    <t>S43 - PUERTO LLERAS META</t>
  </si>
  <si>
    <t>Calle 6b # 3 -53/55/59 /Calle 6b # 3 - 65/67/69</t>
  </si>
  <si>
    <t>S44 - SAN MARTIN META</t>
  </si>
  <si>
    <t>Calle 10 # 5 - 49</t>
  </si>
  <si>
    <t>S45 - VILLAVICENCIO CAUDAL</t>
  </si>
  <si>
    <t>VILLAVICENCIO</t>
  </si>
  <si>
    <t>Carrera 30 # 46 - 05 - barrio el triunfo - call 46 n 30 -04/14</t>
  </si>
  <si>
    <t>S46 - VILLAVICENCIO PINILLA</t>
  </si>
  <si>
    <t>Carrera 15 Este # 26 - 36</t>
  </si>
  <si>
    <t>S47 - VILLAVICENCIO COVISAN</t>
  </si>
  <si>
    <t>Calle 35 # 17 - 53 este mz f lote n°11 urbanizacion el milagro</t>
  </si>
  <si>
    <t>S48 - VILLAVICENCIO CATUMARE</t>
  </si>
  <si>
    <t>calle 18 a n 43 a n 113/118/119/124/125</t>
  </si>
  <si>
    <t>S49 - VILLAVICENCIO SAN ANTONIO</t>
  </si>
  <si>
    <t>SM 20 MZ 18 LT B Ciudadela San Antonio</t>
  </si>
  <si>
    <t>S50 - GUAMAL META</t>
  </si>
  <si>
    <t>GUAMAL</t>
  </si>
  <si>
    <t>Carrera 4 # 12-44</t>
  </si>
  <si>
    <t>S51 - VILLAVICENCIO SAN FERNANDO</t>
  </si>
  <si>
    <t>Carrera 14 # 39 - 28 urbanizacion castilla edif san fernando plaza ph locales 12345</t>
  </si>
  <si>
    <t>S54 - ALTAMIRA</t>
  </si>
  <si>
    <t>Calle 42a sur # 12 - 20 este</t>
  </si>
  <si>
    <t>S58 - 20 DE JULIO</t>
  </si>
  <si>
    <t>Carrera 8 # 24 - 29 Sur</t>
  </si>
  <si>
    <t>S62 - SOACHA EL DORADO</t>
  </si>
  <si>
    <t>S64 - CUMARAL META</t>
  </si>
  <si>
    <t>CUMARAL</t>
  </si>
  <si>
    <t>Carrera 19 # 11- 49/53</t>
  </si>
  <si>
    <t>S66 - VILLA NUEVA CASANARE</t>
  </si>
  <si>
    <t>VILLA NUEVA</t>
  </si>
  <si>
    <t>Carrera 10 # 9 - 71</t>
  </si>
  <si>
    <t>S67 - YOPAL LA HERRADURA</t>
  </si>
  <si>
    <t>Carrera 20 # 15 - 59 Br la herradura</t>
  </si>
  <si>
    <t>S75 - PUERTO LÓPEZ</t>
  </si>
  <si>
    <t>Calle 6 # 11 - 34/38 br el jardin</t>
  </si>
  <si>
    <t>S76 - OLAYA 2</t>
  </si>
  <si>
    <t>Carrera 18C # 27 68 sur</t>
  </si>
  <si>
    <t>S81 - LA FISCALA</t>
  </si>
  <si>
    <t>carrera 5 n 64 h - 28 sur usme</t>
  </si>
  <si>
    <t>S84 - GRANADA DELICIAS</t>
  </si>
  <si>
    <t>GRANADA</t>
  </si>
  <si>
    <t>carrera 13 # 24 - 50 barrio delicias</t>
  </si>
  <si>
    <t>S85 - VILLAVICENCIO EMPORIO</t>
  </si>
  <si>
    <t>tv 24 a # 39 b - 27 barrio el emporio</t>
  </si>
  <si>
    <t>S88 - VILLAVICENCIO ESPERANZA</t>
  </si>
  <si>
    <t>calle 14 # 31 a - 22 st39cs6esperanza etapa 7</t>
  </si>
  <si>
    <t>S89 - TUNJUELITO</t>
  </si>
  <si>
    <t>carrera 13 # 54 - 21 sur</t>
  </si>
  <si>
    <t>S91 - VILLAVICENCIO MANANTIAL</t>
  </si>
  <si>
    <t>Carrera 6 # 35 a - 22 Urbanización Manantial</t>
  </si>
  <si>
    <t>S92 - ALPES</t>
  </si>
  <si>
    <t>Carrera 9 E # 36 f 41/45 sur</t>
  </si>
  <si>
    <t>S95 - VILLAVICENCIO BARZAL</t>
  </si>
  <si>
    <t>Calle 33 b # 34 -10 BARRIO BARZAL BAJO</t>
  </si>
  <si>
    <t>S99 - SAN ISIDRO</t>
  </si>
  <si>
    <t>Calle 34 Sur # 7 - 35</t>
  </si>
  <si>
    <t>T01 - IBAGUE HIPODROMO</t>
  </si>
  <si>
    <t>CEDI SUR - TOLIMA</t>
  </si>
  <si>
    <t>SUT</t>
  </si>
  <si>
    <t>IBAGUÉ</t>
  </si>
  <si>
    <t>Calle 27 #4C-53</t>
  </si>
  <si>
    <t>T03 - IBAGUE SAN PEDRO</t>
  </si>
  <si>
    <t>Carrera 2 # 26-35 SAN PEDRO ALEJANDRINO</t>
  </si>
  <si>
    <t>T04 - VENADILLO</t>
  </si>
  <si>
    <t>Carrera 5 N° 3-09 3-10 Barrio Lorenzo Urueña</t>
  </si>
  <si>
    <t>T08 - HONDA CENTENARIO</t>
  </si>
  <si>
    <t>HONDA</t>
  </si>
  <si>
    <t>carrera 20 No. 8-89</t>
  </si>
  <si>
    <t>T10 - LERIDA</t>
  </si>
  <si>
    <t>Carrera 7 No. 6 - 26</t>
  </si>
  <si>
    <t>T12 - NATAGAIMA</t>
  </si>
  <si>
    <t>Carrera 3 #4-76</t>
  </si>
  <si>
    <t>T22 - SALDANA</t>
  </si>
  <si>
    <t>SALDAÑA</t>
  </si>
  <si>
    <t>Carrera 15 #13-01</t>
  </si>
  <si>
    <t>T24 - LA GAVIOTA IBAGUE</t>
  </si>
  <si>
    <t>Calle 5 #1-59 BARRIO LA GAVIOTA</t>
  </si>
  <si>
    <t>T26 - EL POBLADO IBAGUE</t>
  </si>
  <si>
    <t>Carrera 48 sur No. 106-44 km 4 via picaleña san franciasco aparco</t>
  </si>
  <si>
    <t>T35 - ARMERO GUAYABAL</t>
  </si>
  <si>
    <t>Carrera 6 # 6 -72 BARRIO CENTRO</t>
  </si>
  <si>
    <t>V02 - ALMIRANTE PADILLA</t>
  </si>
  <si>
    <t>CAV</t>
  </si>
  <si>
    <t>RIOHACHA</t>
  </si>
  <si>
    <t>GUAJIRA</t>
  </si>
  <si>
    <t>Carrera 15 #22-08</t>
  </si>
  <si>
    <t>V03 - ASTREA</t>
  </si>
  <si>
    <t>CL 7 1 04</t>
  </si>
  <si>
    <t>V04 - BECERRIL</t>
  </si>
  <si>
    <t>Carrera 5 12 - 62</t>
  </si>
  <si>
    <t>V05 - CARMELO</t>
  </si>
  <si>
    <t>VALLEDUPAR</t>
  </si>
  <si>
    <t>CALLE 44 #26 41</t>
  </si>
  <si>
    <t>V06 - EL BANCO</t>
  </si>
  <si>
    <t>CL 7 N 13 A 06</t>
  </si>
  <si>
    <t>V07 - EL PLATO</t>
  </si>
  <si>
    <t>PLATO</t>
  </si>
  <si>
    <t>VIA 14 #12A -161</t>
  </si>
  <si>
    <t>V08 - FONSECA</t>
  </si>
  <si>
    <t>CALLE 13 #15- 57</t>
  </si>
  <si>
    <t>V09 - FRANCISCO MOLINA</t>
  </si>
  <si>
    <t>CARRERA 4 16C 35 Locales 1,2,3</t>
  </si>
  <si>
    <t>V10 - HATONUEVO</t>
  </si>
  <si>
    <t>CALLEL 18 #18- 81</t>
  </si>
  <si>
    <t>V11 - LA CARBONERA</t>
  </si>
  <si>
    <t>BARRANCAS</t>
  </si>
  <si>
    <t>CALLE 11 7-91 Y 7-93</t>
  </si>
  <si>
    <t>V12 - LA SANJUANERA</t>
  </si>
  <si>
    <t>SAN JUAN DEL CESAR</t>
  </si>
  <si>
    <t>CALLE 3 #5-90</t>
  </si>
  <si>
    <t>V13 - LA VALLENATA</t>
  </si>
  <si>
    <t>VILLANUEVA</t>
  </si>
  <si>
    <t>Carrera 5 #12A 102 Barrio San Luis</t>
  </si>
  <si>
    <t>V14 - MAICAO</t>
  </si>
  <si>
    <t>CALLE 16 #13- 43</t>
  </si>
  <si>
    <t>V15 - MAYALES</t>
  </si>
  <si>
    <t>CARRERA 7 28 51</t>
  </si>
  <si>
    <t>V17 - ROBLES DE LA PAZ</t>
  </si>
  <si>
    <t>Carrera 8 #7- 17</t>
  </si>
  <si>
    <t>V19 - SAN DIEGO CESAR</t>
  </si>
  <si>
    <t>SAN DIEGO</t>
  </si>
  <si>
    <t>Calle 3 No 3 - 74</t>
  </si>
  <si>
    <t>V21 - VALLE DE LAS FLORES</t>
  </si>
  <si>
    <t>CALLE 16 #19B -90</t>
  </si>
  <si>
    <t>V22 - VILLA JARDIN</t>
  </si>
  <si>
    <t>Carrera 7H No 43-07</t>
  </si>
  <si>
    <t>V23 - VILLA LIGIA</t>
  </si>
  <si>
    <t>CALLE 1 #23-09</t>
  </si>
  <si>
    <t>V24 - WAYU</t>
  </si>
  <si>
    <t>CALLE 11 #9 46</t>
  </si>
  <si>
    <t>I32 - RIONEGRO PARQUE</t>
  </si>
  <si>
    <t>Carrera 51 # 48 - 35</t>
  </si>
  <si>
    <t>314,0</t>
  </si>
  <si>
    <t>239,0</t>
  </si>
  <si>
    <t>6.153088957630699, -75.37511087651797</t>
  </si>
  <si>
    <t>I46 - LLANO GRANDE</t>
  </si>
  <si>
    <t>Vía Llano grande Km 4 – Sector la Amalita,</t>
  </si>
  <si>
    <t>6.131465713600041, -75.39882627158332</t>
  </si>
  <si>
    <t>I51 - CAMPO VALDEZ</t>
  </si>
  <si>
    <t>Calle 78 # 45 - 38</t>
  </si>
  <si>
    <t>292,0</t>
  </si>
  <si>
    <t>6.271530080221361, -75.55475272069502</t>
  </si>
  <si>
    <t>I34 - ROBLEDO PARQUE</t>
  </si>
  <si>
    <t>YAIR JOSE MARTINEZ MARTINEZ</t>
  </si>
  <si>
    <t>yair.martinez@tiendasisimo.com</t>
  </si>
  <si>
    <t>ANI ZONA 3</t>
  </si>
  <si>
    <t>Carrera 86 # 64-45</t>
  </si>
  <si>
    <t>326,0</t>
  </si>
  <si>
    <t>6.2755231560207845, -75.59685371454941</t>
  </si>
  <si>
    <t>I20 - MEDELLIN SAN JAVIER SAN MICHEL</t>
  </si>
  <si>
    <t>Calle 40 #105-102</t>
  </si>
  <si>
    <t>257,0</t>
  </si>
  <si>
    <t>6.255408300497028, -75.61960403357074</t>
  </si>
  <si>
    <t>I29 - MEDELLIN PILARICA</t>
  </si>
  <si>
    <t>Calle 75 # 72B - 227</t>
  </si>
  <si>
    <t>229,0</t>
  </si>
  <si>
    <t>6.275910558612194, -75.5852349251386</t>
  </si>
  <si>
    <t>I48 - BARRIO CRISTOBAL</t>
  </si>
  <si>
    <t>Carrera 88 # 39-53</t>
  </si>
  <si>
    <t>216,0</t>
  </si>
  <si>
    <t>6.248986570731319, -75.60855437853652</t>
  </si>
  <si>
    <t>I58 - SAN JAVIER ESTACION</t>
  </si>
  <si>
    <t>Carrera 99 # 44-30</t>
  </si>
  <si>
    <t>250,0</t>
  </si>
  <si>
    <t>200,0</t>
  </si>
  <si>
    <t>6.256911192028487, -75.61472013752865</t>
  </si>
  <si>
    <t>I45 - MEDELLIN ROBLEDO VILLA FLORA</t>
  </si>
  <si>
    <t>Calle 77 BB # 82-107</t>
  </si>
  <si>
    <t>6.280744616296075, -75.5890215605304</t>
  </si>
  <si>
    <t>I53 - BELEN LOS ALPES</t>
  </si>
  <si>
    <t>CALLE 29 a # 83 A - 10</t>
  </si>
  <si>
    <t>298,0</t>
  </si>
  <si>
    <t>6.230704903012313, -75.60628816302422</t>
  </si>
  <si>
    <t>I63 - MEDELLIN 20 DE JULIO</t>
  </si>
  <si>
    <t>Calle 39D # 108A - 16/18</t>
  </si>
  <si>
    <t>202,0</t>
  </si>
  <si>
    <t>191,0</t>
  </si>
  <si>
    <t>6.253199, -75.622093</t>
  </si>
  <si>
    <t>I65 - COLORES</t>
  </si>
  <si>
    <t>CALLE 52 # 73-24</t>
  </si>
  <si>
    <t>340,0</t>
  </si>
  <si>
    <t>290,0</t>
  </si>
  <si>
    <t>6.2617387980591515, -75.58859216839255</t>
  </si>
  <si>
    <t>I69 - CANALIZACION</t>
  </si>
  <si>
    <t>Cl. 40 # 97-32</t>
  </si>
  <si>
    <t>175,9</t>
  </si>
  <si>
    <t>6.2587517,-75.61868487</t>
  </si>
  <si>
    <t>I14 - MEDELLIN FLORIDA NUEVA</t>
  </si>
  <si>
    <t>Calle 44A #71-72</t>
  </si>
  <si>
    <t>6.250415634717832, -75.59086209185958</t>
  </si>
  <si>
    <t>I73 - ISIMO OBELISCO</t>
  </si>
  <si>
    <t>CARRERA 74 # 49B - 05</t>
  </si>
  <si>
    <t>316,0</t>
  </si>
  <si>
    <t>272,0</t>
  </si>
  <si>
    <t>6.26144458,-75.58633807</t>
  </si>
  <si>
    <t>I74 - ISIMO HERRADURA</t>
  </si>
  <si>
    <t>Calle 62 # 128-93</t>
  </si>
  <si>
    <t>424,0</t>
  </si>
  <si>
    <t>6.27843,-75.63406</t>
  </si>
  <si>
    <t>Q31 - CARTAGENA EL CAMPESTRE</t>
  </si>
  <si>
    <t>BENILDA TERESA ARRIETA KAMELL</t>
  </si>
  <si>
    <t>benilda.arrieta@tiendasisimo.com</t>
  </si>
  <si>
    <t>DIEGO ARMANDO CALDERON PINZON</t>
  </si>
  <si>
    <t>diego.calderon@tiendasisimo.com</t>
  </si>
  <si>
    <t>CAQ ZONA 5</t>
  </si>
  <si>
    <t>RAFAEL DE JESUS CAMARGO CARDENAS</t>
  </si>
  <si>
    <t>rafael.camargo@tiendasisimo.com</t>
  </si>
  <si>
    <t>DIANA L. GONZALEZ MURIEL</t>
  </si>
  <si>
    <t>diana.gonzalez@tiendasisimo.com</t>
  </si>
  <si>
    <t>YURITZA V. OSPINO JIMENEZ</t>
  </si>
  <si>
    <t>yuritza.ospino@tiendasisimo.com</t>
  </si>
  <si>
    <t>ADOLFO MURILLO MEDINA</t>
  </si>
  <si>
    <t>adolfo.murillo@tiendasisimo.com</t>
  </si>
  <si>
    <t>ARMANDO BURBANO CAICEDO</t>
  </si>
  <si>
    <t>armando.burbano@tiendasisimo.com</t>
  </si>
  <si>
    <t>CARTAGENA</t>
  </si>
  <si>
    <t>Calle 10 # 56B-277</t>
  </si>
  <si>
    <t>207,8</t>
  </si>
  <si>
    <t>10.377199, -75.499890</t>
  </si>
  <si>
    <t>Q30 - CARTAGENA SAN FERNANDO</t>
  </si>
  <si>
    <t>Calle 15 # 80B - 08</t>
  </si>
  <si>
    <t>328,7</t>
  </si>
  <si>
    <t>247,0</t>
  </si>
  <si>
    <t>10.379242, -75.478988</t>
  </si>
  <si>
    <t>Q74 - CARTAGENA EL RECREO</t>
  </si>
  <si>
    <t>CALLE 31 A #80D-27</t>
  </si>
  <si>
    <t>329,0</t>
  </si>
  <si>
    <t>236,0</t>
  </si>
  <si>
    <t>10.386742, -75.471991</t>
  </si>
  <si>
    <t>Q95 - LOS EJECUTIVOS</t>
  </si>
  <si>
    <t>Calle 30 # 57-89</t>
  </si>
  <si>
    <t>10.397128, -75.495957</t>
  </si>
  <si>
    <t>Q45 - CARTAGENA BARLOVENTO</t>
  </si>
  <si>
    <t>Carrera 17 #70 B - 01</t>
  </si>
  <si>
    <t>165,7</t>
  </si>
  <si>
    <t>10.437488, -75.517282</t>
  </si>
  <si>
    <t>Q73 - CARTAGENA ESPAÑA</t>
  </si>
  <si>
    <t>CALLE 30 #44B-39</t>
  </si>
  <si>
    <t>177,0</t>
  </si>
  <si>
    <t>10.406381, -75.511621</t>
  </si>
  <si>
    <t>Q27 - CARTAGENA TERNERA</t>
  </si>
  <si>
    <t>Diagonal 32A # 29 - 118</t>
  </si>
  <si>
    <t>351,0</t>
  </si>
  <si>
    <t>291,1</t>
  </si>
  <si>
    <t>10.384275, -75.465638</t>
  </si>
  <si>
    <t>Q25 - CARTAGENA BRUSELAS</t>
  </si>
  <si>
    <t>Avenida Crisanto Luque Diagonal 22 # 42 - 55</t>
  </si>
  <si>
    <t>253,0</t>
  </si>
  <si>
    <t>192,9</t>
  </si>
  <si>
    <t>10.402434, -75.519389</t>
  </si>
  <si>
    <t>Q33 - BARRANQUILLA CARRERA 27</t>
  </si>
  <si>
    <t>JUAN SEBASTIAN ARANGO ZAPATA</t>
  </si>
  <si>
    <t>juan.arango@tiendasisimo.com</t>
  </si>
  <si>
    <t>CAQ ZONA 2</t>
  </si>
  <si>
    <t>Carrera 27 # 59-43</t>
  </si>
  <si>
    <t>218,3</t>
  </si>
  <si>
    <t>180,0</t>
  </si>
  <si>
    <t>10.975258, -74.802503</t>
  </si>
  <si>
    <t>Q89 - LUCERO</t>
  </si>
  <si>
    <t>Cra. 38 # 53-57</t>
  </si>
  <si>
    <t>10.982083969951889, -74.79439922718173</t>
  </si>
  <si>
    <t>Q71 - BARRANQUILLA LAS DELICIAS</t>
  </si>
  <si>
    <t>CRA 38 # 70 - 50</t>
  </si>
  <si>
    <t>343,7</t>
  </si>
  <si>
    <t>266,0</t>
  </si>
  <si>
    <t>10.984856, -74.808481</t>
  </si>
  <si>
    <t>Q82 - BUENA ESPERANZA</t>
  </si>
  <si>
    <t>Carrera 18 # 58 - 57</t>
  </si>
  <si>
    <t>397,0</t>
  </si>
  <si>
    <t>10.964244230535439, -74.80431934701788</t>
  </si>
  <si>
    <t>Q52 - BARRANQUILLA EL SILENCIO</t>
  </si>
  <si>
    <t>Carrera 26 C7 # 75-07</t>
  </si>
  <si>
    <t>151,3</t>
  </si>
  <si>
    <t>100,0</t>
  </si>
  <si>
    <t>10.979191, -74.816157</t>
  </si>
  <si>
    <t>Q69 - BARRANQUILLA OLAYA</t>
  </si>
  <si>
    <t>Calle 71 # 32 - 09</t>
  </si>
  <si>
    <t>296,0</t>
  </si>
  <si>
    <t>206,0</t>
  </si>
  <si>
    <t>10.981128, -74.810749</t>
  </si>
  <si>
    <t>Q78 - LAS MERCEDES CRA 38</t>
  </si>
  <si>
    <t>CARRERA 38 76-51</t>
  </si>
  <si>
    <t>255,0</t>
  </si>
  <si>
    <t>173,0</t>
  </si>
  <si>
    <t>10.986494,-74.816740</t>
  </si>
  <si>
    <t>Q85 - CEVILLAR</t>
  </si>
  <si>
    <t>LEIDYS PAOLA NIEBLES CHARRIS</t>
  </si>
  <si>
    <t>leidys.niebles@tiendasisimo.com</t>
  </si>
  <si>
    <t>CAQ ZONA 4</t>
  </si>
  <si>
    <t>Calle 47 No. 16 - 31</t>
  </si>
  <si>
    <t>10.959989, -74.801345</t>
  </si>
  <si>
    <t>Q94 - ISIMO CIUDAD DEL PUERTO</t>
  </si>
  <si>
    <t>MIGUEL FERNANDO ARENIZ GAMBOA</t>
  </si>
  <si>
    <t>miguel.areniz@tiendasisimo.com</t>
  </si>
  <si>
    <t>CAQ ZONA 3</t>
  </si>
  <si>
    <t>Calle 30 Cra 24 # 81</t>
  </si>
  <si>
    <t>10.9203269,-74.7789734</t>
  </si>
  <si>
    <t>Q75 - BARRANQUILLA PARAISO</t>
  </si>
  <si>
    <t>RODRIGO JOSE RUZ LOPEZ</t>
  </si>
  <si>
    <t>rodrigo.ruz@tiendasisimo.com</t>
  </si>
  <si>
    <t>CAQ ZONA 1</t>
  </si>
  <si>
    <t>Carrera 74 #81-158</t>
  </si>
  <si>
    <t>300,4</t>
  </si>
  <si>
    <t>188,2</t>
  </si>
  <si>
    <t>11.018662, -74.808004</t>
  </si>
  <si>
    <t>Q32 - BARRANQUILLA LOS NOGALES</t>
  </si>
  <si>
    <t>Calle 84 # 42B1 11 /29</t>
  </si>
  <si>
    <t>10.993970, -74.824732</t>
  </si>
  <si>
    <t>Q87 - SANTA ANA</t>
  </si>
  <si>
    <t>Calle 58 # 64-29</t>
  </si>
  <si>
    <t>268,0</t>
  </si>
  <si>
    <t>200,8</t>
  </si>
  <si>
    <t>10.999037, -74.789829</t>
  </si>
  <si>
    <t>Q23 - BARRANQUILLA CONCEPCION</t>
  </si>
  <si>
    <t>Calle 76 # 66 - 50</t>
  </si>
  <si>
    <t>317,0</t>
  </si>
  <si>
    <t>212,2</t>
  </si>
  <si>
    <t>11.008968, -74.798117</t>
  </si>
  <si>
    <t>Q07 - BARRANQUILLA CALLE 84</t>
  </si>
  <si>
    <t>Calle 84 # 64B - 15</t>
  </si>
  <si>
    <t>281,4</t>
  </si>
  <si>
    <t>212,4</t>
  </si>
  <si>
    <t>11.012731,-74.8104118</t>
  </si>
  <si>
    <t>Q41 - BARRANQUILLA CRA 43 76</t>
  </si>
  <si>
    <t>Carrera 43 # 76 -198</t>
  </si>
  <si>
    <t>275,9</t>
  </si>
  <si>
    <t>10.995233, -74.813132</t>
  </si>
  <si>
    <t>Q46 - BARRANQUILLA BORACAY</t>
  </si>
  <si>
    <t>Calle 72 # 39 - 175 Local 101</t>
  </si>
  <si>
    <t>288,0</t>
  </si>
  <si>
    <t>202,6</t>
  </si>
  <si>
    <t>10.988743, -74.809083</t>
  </si>
  <si>
    <t>Q19 - BARRANQUILLA EL PORVENIR</t>
  </si>
  <si>
    <t>Calle 82 # 44 - 52</t>
  </si>
  <si>
    <t>286,2</t>
  </si>
  <si>
    <t>10.999444, -74.817222</t>
  </si>
  <si>
    <t>Q62 - BARRANQUILLA CALLE 72</t>
  </si>
  <si>
    <t>Calle 72 # 58 - 52</t>
  </si>
  <si>
    <t>210,6</t>
  </si>
  <si>
    <t>11.001501, -74.797880</t>
  </si>
  <si>
    <t>Q66 - BARRANQUILLA SAN REMO</t>
  </si>
  <si>
    <t>Carrera 53 # 70 - 86</t>
  </si>
  <si>
    <t>313,0</t>
  </si>
  <si>
    <t>250,5</t>
  </si>
  <si>
    <t>10.997694, -74.801291</t>
  </si>
  <si>
    <t>07:00 am - 08:00 pm</t>
  </si>
  <si>
    <t>Q59 - BARRANQUILLA 51B</t>
  </si>
  <si>
    <t>Carrera 51B # 80 -99</t>
  </si>
  <si>
    <t>269,0</t>
  </si>
  <si>
    <t>215,0</t>
  </si>
  <si>
    <t>11.004079, -74.813614</t>
  </si>
  <si>
    <t>Q08 - CARTAGENA EL CABRERO</t>
  </si>
  <si>
    <t>YEIDY JOHANNA LATORRE CÁRDENAS</t>
  </si>
  <si>
    <t>johanna.latorre@tiendasisimo.com</t>
  </si>
  <si>
    <t>CAQ ZONA 6</t>
  </si>
  <si>
    <t>Carrera 2 # 41 - 328 Local 1, 2 y 3 (Edificio Napoli)</t>
  </si>
  <si>
    <t>159,5</t>
  </si>
  <si>
    <t>10.433615, -75.540693</t>
  </si>
  <si>
    <t>Q04 - CARTAGENA LAS RAMBLAS EN MANZANILLO</t>
  </si>
  <si>
    <t>Plaza Comercial Las Ramblas Local Anclas 1
  Vía al mar Km 10, Zona Norte
  Entrada Manzanillo,Carretera I - 90A #10</t>
  </si>
  <si>
    <t>235,4</t>
  </si>
  <si>
    <t>157,8</t>
  </si>
  <si>
    <t>10.516307, -75.470550</t>
  </si>
  <si>
    <t>Q55 - CARTAGENA CASTILLO SAN FELIPE</t>
  </si>
  <si>
    <t>Carrera 17 #32-30</t>
  </si>
  <si>
    <t>232,5</t>
  </si>
  <si>
    <t>171,0</t>
  </si>
  <si>
    <t>10.424562, -75.538171</t>
  </si>
  <si>
    <t>Q13 - CARTAGENA MATUNA</t>
  </si>
  <si>
    <t>Carrera 10 # 32 A - 50</t>
  </si>
  <si>
    <t>203,0</t>
  </si>
  <si>
    <t>10.424731, -75.545836</t>
  </si>
  <si>
    <t>Q35 - CARTAGENA CRESPO</t>
  </si>
  <si>
    <t>Calle 70 No. 6-38</t>
  </si>
  <si>
    <t>244,2</t>
  </si>
  <si>
    <t>166,3</t>
  </si>
  <si>
    <t>10.448888, -75.516812</t>
  </si>
  <si>
    <t>Q29 - MAGDALENA CIENAGA</t>
  </si>
  <si>
    <t>BERENICE MARÍA JIMENEZ TORREGROZA</t>
  </si>
  <si>
    <t>berenice.jimenez@tiendasisimo.com</t>
  </si>
  <si>
    <t>CAQ ZONA 7</t>
  </si>
  <si>
    <t>CIENAGA</t>
  </si>
  <si>
    <t>Carrera 13 # 18-41</t>
  </si>
  <si>
    <t>11.0066819,-74.2492494</t>
  </si>
  <si>
    <t>Q06 - SANTA MARTA SANTA LUCIA</t>
  </si>
  <si>
    <t>Transversal 30 # 19 - 129
  Carrera 32 # 17 - 125 Local 03</t>
  </si>
  <si>
    <t>295,0</t>
  </si>
  <si>
    <t>225,0</t>
  </si>
  <si>
    <t>11.2374864,-74.1796432</t>
  </si>
  <si>
    <t>Q48 - SANTA MARTA LA ESPERANZA</t>
  </si>
  <si>
    <t>Carrera 8 # 27 - 06</t>
  </si>
  <si>
    <t>312,0</t>
  </si>
  <si>
    <t>230,0</t>
  </si>
  <si>
    <t>11.235924, -74.206491</t>
  </si>
  <si>
    <t>Q34 - SANTA MARTA BONDA</t>
  </si>
  <si>
    <t>Calle 5 # 19 - 62</t>
  </si>
  <si>
    <t>185,0</t>
  </si>
  <si>
    <t>11.235484, -74.123720</t>
  </si>
  <si>
    <t>Q49 - SANTA MARTA LAS ACACIAS</t>
  </si>
  <si>
    <t>Lote 1 MZ T, Calle 29c #20-17</t>
  </si>
  <si>
    <t>301,0</t>
  </si>
  <si>
    <t>220,0</t>
  </si>
  <si>
    <t>11.2151341, -74.1606395</t>
  </si>
  <si>
    <t>Q65 - SANTA MARTA LOS NARANJOS</t>
  </si>
  <si>
    <t>Carrera 20 # 26B - 127</t>
  </si>
  <si>
    <t>242,0</t>
  </si>
  <si>
    <t>194,0</t>
  </si>
  <si>
    <t>11.235509, -74.192112</t>
  </si>
  <si>
    <t>Q50 - SANTA MARTA 1 DE MAYO</t>
  </si>
  <si>
    <t>Calle 30 #21 - 22</t>
  </si>
  <si>
    <t>274,6</t>
  </si>
  <si>
    <t>204,0</t>
  </si>
  <si>
    <t>11.223084, -74.199990</t>
  </si>
  <si>
    <t>Q54 - SANTA MARTA ONCE DE NOVIEMBRE</t>
  </si>
  <si>
    <t>Calle 30 # 73 - 16</t>
  </si>
  <si>
    <t>252,0</t>
  </si>
  <si>
    <t>11.225720, -74.153322</t>
  </si>
  <si>
    <t>Q37 - BARRANQUILLA CARRERA 21</t>
  </si>
  <si>
    <t>Carrera 21 # 47D - 67 / 79</t>
  </si>
  <si>
    <t>10.964764, -74.796827</t>
  </si>
  <si>
    <t>Q09 - BARRANQUILLA MURILLO CRA 33</t>
  </si>
  <si>
    <t>Carrera 33 # 44 - 93</t>
  </si>
  <si>
    <t>278,0</t>
  </si>
  <si>
    <t>219,8</t>
  </si>
  <si>
    <t>10.974722, -74.788056</t>
  </si>
  <si>
    <t>Q10 - BARRANQUILLA SAN JOSE</t>
  </si>
  <si>
    <t>Carrera 19 # 45B - 07</t>
  </si>
  <si>
    <t>275,0</t>
  </si>
  <si>
    <t>10.958611, -74.795556</t>
  </si>
  <si>
    <t>Q47 - BARRANQUILLA MONTES</t>
  </si>
  <si>
    <t>Calle 39 # 24 - 26</t>
  </si>
  <si>
    <t>284,0</t>
  </si>
  <si>
    <t>253,5</t>
  </si>
  <si>
    <t>10.965324, -74.787480</t>
  </si>
  <si>
    <t>Q42 - BARRANQUILLA CENTRO</t>
  </si>
  <si>
    <t>Calle 40 # 43 - 123 LC 3
  Calle 40 # 43 - 41</t>
  </si>
  <si>
    <t>297,0</t>
  </si>
  <si>
    <t>10.981928, -74.781982</t>
  </si>
  <si>
    <t>06:00 am - 08:00 pm</t>
  </si>
  <si>
    <t>Q20 - BARRANQUILLA RECREO</t>
  </si>
  <si>
    <t>Carrera 43 # 59 - 41</t>
  </si>
  <si>
    <t>182,0</t>
  </si>
  <si>
    <t>10.985823, -74.796706</t>
  </si>
  <si>
    <t>Q72 - BARRANQUILLA CARIBE VERDE</t>
  </si>
  <si>
    <t>ATLÁNTICO</t>
  </si>
  <si>
    <t>CARRERA 9G #110-187 L35, PARQUE LOGISTICO, INDUSTRIAL Y COMERCIAL</t>
  </si>
  <si>
    <t>306,0</t>
  </si>
  <si>
    <t>10.955090, -74.836420</t>
  </si>
  <si>
    <t>Q67 - BARRANQUILLA SAN NICOLAS CARRERA 4</t>
  </si>
  <si>
    <t>Calle 41b # 3c - 46</t>
  </si>
  <si>
    <t>176,3</t>
  </si>
  <si>
    <t>135,0</t>
  </si>
  <si>
    <t>10.938107, -74.795630</t>
  </si>
  <si>
    <t>Q51 - BARRANQUILLA LA PRADERA</t>
  </si>
  <si>
    <t>Calle 111 # 31 - 05</t>
  </si>
  <si>
    <t>240,3</t>
  </si>
  <si>
    <t>209,0</t>
  </si>
  <si>
    <t>10.978303, -74.837121</t>
  </si>
  <si>
    <t>Q58 - BARRANQUILLA LA UNION</t>
  </si>
  <si>
    <t>Carrera 14 # 36b – 66</t>
  </si>
  <si>
    <t>237,2</t>
  </si>
  <si>
    <t>10.952766, -74.791971</t>
  </si>
  <si>
    <t>Q93 - BUENOS AIRES</t>
  </si>
  <si>
    <t>Carrera 7# 45g- 103</t>
  </si>
  <si>
    <t>10.941355, -74.802413</t>
  </si>
  <si>
    <t>Q70 - BARRANQUILLA LA VICTORIA</t>
  </si>
  <si>
    <t>Carrera 14 # 45B2 - 57</t>
  </si>
  <si>
    <t>271,0</t>
  </si>
  <si>
    <t>205,0</t>
  </si>
  <si>
    <t>10.954852, -74.799484</t>
  </si>
  <si>
    <t>Q63 - ATLANTICO SABANALARGA AVENIDA BOGOTA</t>
  </si>
  <si>
    <t>SABANALARGA</t>
  </si>
  <si>
    <t>Carrera 23 # 26 - 23</t>
  </si>
  <si>
    <t>451,0</t>
  </si>
  <si>
    <t>323,7</t>
  </si>
  <si>
    <t>10.637153, -74.923726</t>
  </si>
  <si>
    <t>Q79 - LA PAZ</t>
  </si>
  <si>
    <t>CARRERA 13 #99b-63</t>
  </si>
  <si>
    <t>210,0</t>
  </si>
  <si>
    <t>10.964026, -74.830954</t>
  </si>
  <si>
    <t>Q39 - ATLANTICO SABANAGRANDE</t>
  </si>
  <si>
    <t>SABANAGRANDE</t>
  </si>
  <si>
    <t>Calle 10 # 17 - 40</t>
  </si>
  <si>
    <t>10.784381, -74.756097</t>
  </si>
  <si>
    <t>Q68 - ATLANTICO GALAPA</t>
  </si>
  <si>
    <t>GALAPA</t>
  </si>
  <si>
    <t>Calle 10 # 21 - 28</t>
  </si>
  <si>
    <t>10.902736, -74.884156</t>
  </si>
  <si>
    <t>Q88 - ISIMO SAN MARTIN</t>
  </si>
  <si>
    <t>Carrera 6 # 76 - 43</t>
  </si>
  <si>
    <t>10.945396, -74.822192</t>
  </si>
  <si>
    <t>Q14 - BARRANQUILLA UNIVERSAL CARRERA</t>
  </si>
  <si>
    <t>Calle 34B # 1B-67</t>
  </si>
  <si>
    <t>10.935874, -74.787407</t>
  </si>
  <si>
    <t>Q64 - ATLANTICO SOLEDAD 2000</t>
  </si>
  <si>
    <t>Carrera 14 # 44 - 63</t>
  </si>
  <si>
    <t>193,0</t>
  </si>
  <si>
    <t>137,0</t>
  </si>
  <si>
    <t>10.908947, -74.782333</t>
  </si>
  <si>
    <t>Q53 - SOLEDAD NORMANDIA</t>
  </si>
  <si>
    <t>Calle 48 # 17C- 13</t>
  </si>
  <si>
    <t>302,9</t>
  </si>
  <si>
    <t>213,3</t>
  </si>
  <si>
    <t>10.916171, -74.784968</t>
  </si>
  <si>
    <t>Q12 - SOLEDAD LAS TRINITARIAS</t>
  </si>
  <si>
    <t>Calle 58B # 27 - 10</t>
  </si>
  <si>
    <t>231,0</t>
  </si>
  <si>
    <t>10.923611, -74.793611</t>
  </si>
  <si>
    <t>Q80 - LA CENTRAL</t>
  </si>
  <si>
    <t>Carrera 5 # 66-22</t>
  </si>
  <si>
    <t>10.891566434225348, -74.8055351379911</t>
  </si>
  <si>
    <t>Q77 - MANANTIALES</t>
  </si>
  <si>
    <t>Cra. 12 # 66-113</t>
  </si>
  <si>
    <t>10.903506, -74.806325</t>
  </si>
  <si>
    <t>Q83 - SIMON BOLIVAR</t>
  </si>
  <si>
    <t>CALLE 19 #3B-20</t>
  </si>
  <si>
    <t>10.939428, -74.778692</t>
  </si>
  <si>
    <t>Q84 - LAS MORAS</t>
  </si>
  <si>
    <t>CL 45 # 15 SUR - 179 Y 15 SUR 199</t>
  </si>
  <si>
    <t>10.921582, -74.798718</t>
  </si>
  <si>
    <t>Q05 - SOLEDAD HIPODROMO</t>
  </si>
  <si>
    <t>Cra 30 # 24 - 140 / 148</t>
  </si>
  <si>
    <t>230,2</t>
  </si>
  <si>
    <t>10.926962, -74.769504</t>
  </si>
  <si>
    <t>Q90 - VILLA ANGELITA</t>
  </si>
  <si>
    <t>carrera 12b # 76a-21</t>
  </si>
  <si>
    <t>209,2</t>
  </si>
  <si>
    <t>10.333262, -75.425711</t>
  </si>
  <si>
    <t>Q81 - LA TERMINAL</t>
  </si>
  <si>
    <t>Carrera 14 No. 58 - 53</t>
  </si>
  <si>
    <t>10.908659, -74.795383</t>
  </si>
  <si>
    <t>Q91 - VILLA JORDAN</t>
  </si>
  <si>
    <t>Calle 65 No. 5 E - 100, Centro Comercial Macondo II, Local</t>
  </si>
  <si>
    <t>10.90052012219006, -74.80231318044424</t>
  </si>
  <si>
    <t>Q01 - ATLANTICO PUERTO COLOMBIA VILLA CAMPESTRE</t>
  </si>
  <si>
    <t>PUERTO COLOMBIA</t>
  </si>
  <si>
    <t>Carrera 30 Corredor Universitario # 1 - 1841
  Local 39 y 40 piso 1, Centro Comercial Le Champ</t>
  </si>
  <si>
    <t>11.017990, -74.864917</t>
  </si>
  <si>
    <t>Q96 - ISIMO CIUDAD DEL PARQUE</t>
  </si>
  <si>
    <t>Cra 10 a # 77a-15</t>
  </si>
  <si>
    <t>262,0</t>
  </si>
  <si>
    <t>186,0</t>
  </si>
  <si>
    <t>10.908176, -74.815756</t>
  </si>
  <si>
    <t>S55 - QUIRIGUA</t>
  </si>
  <si>
    <t>CRISTIAN DAVID ZARATE MORALES</t>
  </si>
  <si>
    <t>cristian.zarate@tiendasisimo.com</t>
  </si>
  <si>
    <t>ANDRES FELIPE ROMERO</t>
  </si>
  <si>
    <t>andres.romero@tiendasisimo.com</t>
  </si>
  <si>
    <t>CES ZONA 2</t>
  </si>
  <si>
    <t>LUISA FERNANDA LUGO PALACIOS</t>
  </si>
  <si>
    <t>luisa.lugo@tiendasisimo.com</t>
  </si>
  <si>
    <t>LUIS FERNANDO OTALORA CELEITA</t>
  </si>
  <si>
    <t>fernando.otalora@tiendasisimo.com</t>
  </si>
  <si>
    <t>JUAN DAVID HERRERA TORRES</t>
  </si>
  <si>
    <t>juan.herrera@tiendasisimo.com</t>
  </si>
  <si>
    <t>NELSON JOAQUIN GARZÓN VALERO</t>
  </si>
  <si>
    <t>nelson.garzon@tiendasisimo.com</t>
  </si>
  <si>
    <t>EDGAR ORLANDO RODRIGUEZ</t>
  </si>
  <si>
    <t>edgar.rodriguez@tiendasisimo.com</t>
  </si>
  <si>
    <t>KR 93 # 81 - 54</t>
  </si>
  <si>
    <t>133,0</t>
  </si>
  <si>
    <t>4.7078281,-74.1707437,13</t>
  </si>
  <si>
    <t>S03 - SUBA VILLA GLORIA</t>
  </si>
  <si>
    <t>Calle 132 # 140B - 05</t>
  </si>
  <si>
    <t>192,0</t>
  </si>
  <si>
    <t>4.7428976,-74.1171803,3a,75</t>
  </si>
  <si>
    <t>S04 - BOGOTA SUBA AURES 1</t>
  </si>
  <si>
    <t>Carrera 101 # 131 c - 27</t>
  </si>
  <si>
    <t>154,0</t>
  </si>
  <si>
    <t>4.7342654,-74.0963162,3a,75</t>
  </si>
  <si>
    <t>S63 - SUBA HOSPITAL</t>
  </si>
  <si>
    <t>Avenida Calle 153 # 103B - 10</t>
  </si>
  <si>
    <t>339,0</t>
  </si>
  <si>
    <t>4.7538809,-74.0910399,3a,75</t>
  </si>
  <si>
    <t>S98 - VILLA GLADYS</t>
  </si>
  <si>
    <t>Carrera 111 B # 71B - 16/10- Lote 2 - Lote 3 B</t>
  </si>
  <si>
    <t>4.7086409,-74.1305451</t>
  </si>
  <si>
    <t>SA7 - TIBABUYES</t>
  </si>
  <si>
    <t>Carrera 110A # 131B - 61</t>
  </si>
  <si>
    <t>4.737889, -74.104679</t>
  </si>
  <si>
    <t>SA2 - SUBA FONTANAR</t>
  </si>
  <si>
    <t>CARRERA 145 # 144C-87</t>
  </si>
  <si>
    <t>398,0</t>
  </si>
  <si>
    <t>352,0</t>
  </si>
  <si>
    <t>4.754749, -74.115710</t>
  </si>
  <si>
    <t>S13 - ENGATIVA PUEBLO 2</t>
  </si>
  <si>
    <t>Carrera 121 # 64 - 31</t>
  </si>
  <si>
    <t>146,0</t>
  </si>
  <si>
    <t>4.7142262,-74.1438964</t>
  </si>
  <si>
    <t>SC1 - ISIMO DINDALITO</t>
  </si>
  <si>
    <t>LEYDI TATIANA CORTES CASALLAS</t>
  </si>
  <si>
    <t>leidy.cortes@tiendasisimo.com</t>
  </si>
  <si>
    <t>CES ZONA 5</t>
  </si>
  <si>
    <t>Calle 40 sur No. 97 – 06</t>
  </si>
  <si>
    <t>404,0</t>
  </si>
  <si>
    <t>4.646858360462094, -74.17415287683964</t>
  </si>
  <si>
    <t>S53 - QUINTA PAREDES EMBAJADA</t>
  </si>
  <si>
    <t>DANIEL ANDRES CETINA PINILLA</t>
  </si>
  <si>
    <t>daniel.cetina@tiendasisimo.com</t>
  </si>
  <si>
    <t>CES ZONA 8</t>
  </si>
  <si>
    <t>Av calle 24 n 44 a - 63 primer piso</t>
  </si>
  <si>
    <t>147,0</t>
  </si>
  <si>
    <t>4.6339011,-74.0997868</t>
  </si>
  <si>
    <t>S78 - CIUDAD JARDIN</t>
  </si>
  <si>
    <t>calle 128 b #58 b - 53 primer piso</t>
  </si>
  <si>
    <t>375,0</t>
  </si>
  <si>
    <t>4.7194544,-74.0698992,3a,75</t>
  </si>
  <si>
    <t>S94 - MINUTO DE DIOS</t>
  </si>
  <si>
    <t>Transversal 76 # 81i - 60</t>
  </si>
  <si>
    <t>4.70165,-74.0919741,3a,75</t>
  </si>
  <si>
    <t>S16 - NORMANDIA OCCIDENTAL 2</t>
  </si>
  <si>
    <t>Av. Calle 53 # 74 a - 94</t>
  </si>
  <si>
    <t>195,0</t>
  </si>
  <si>
    <t>4.6762376,-74.1097447</t>
  </si>
  <si>
    <t>S19 - POLO CLUB</t>
  </si>
  <si>
    <t>Avenida Carrera 24 # 86 - 28</t>
  </si>
  <si>
    <t>196,0</t>
  </si>
  <si>
    <t>138,0</t>
  </si>
  <si>
    <t>4.6744129,-74.0625884,3a,75</t>
  </si>
  <si>
    <t>S20 - QUESADA</t>
  </si>
  <si>
    <t>Calle 52 # 15 - 69</t>
  </si>
  <si>
    <t>4.6396911,-74.0681793,3a,75</t>
  </si>
  <si>
    <t>SB9 - EL CAMPIN</t>
  </si>
  <si>
    <t>BOGOTÁ D.C.</t>
  </si>
  <si>
    <t>Avenida calle 63 No. 35A – 39</t>
  </si>
  <si>
    <t>4.652184446744451, -74.0800785330551</t>
  </si>
  <si>
    <t>S15 - FONTIBON PLAZA</t>
  </si>
  <si>
    <t>Carrera 102 # 19 - 38</t>
  </si>
  <si>
    <t>4.6755331,-74.1466785</t>
  </si>
  <si>
    <t>S96 - MODELIA</t>
  </si>
  <si>
    <t>Carrera 82 # 22A-84</t>
  </si>
  <si>
    <t>4.6649983,-74.1298869</t>
  </si>
  <si>
    <t>S05 - CHIA FAGUA</t>
  </si>
  <si>
    <t>GIOVANNY ALBERTO HIDALGO LEGUIZAMO</t>
  </si>
  <si>
    <t>giovanny.hidalgo@tiendasisimo.com</t>
  </si>
  <si>
    <t>CES ZONA 3</t>
  </si>
  <si>
    <t>CHÍA</t>
  </si>
  <si>
    <t>Vereda La Fagua sector tienda campesina chia cundinamarca</t>
  </si>
  <si>
    <t>130,0</t>
  </si>
  <si>
    <t>4.8844191,-74.0694263</t>
  </si>
  <si>
    <t>S17 - FACA SANTANDER</t>
  </si>
  <si>
    <t>FACATATIVÁ</t>
  </si>
  <si>
    <t>Carrera 2 # 1 - 55</t>
  </si>
  <si>
    <t>172,0</t>
  </si>
  <si>
    <t>4.8068236,-74.3539051</t>
  </si>
  <si>
    <t>S80 - ZIPAQUIRA LA PAZ</t>
  </si>
  <si>
    <t>ZIPAQUIRÁ</t>
  </si>
  <si>
    <t>call 8 n 33 - 06 lote 10 mz 6 urbanizacion cilla maria barrio la paz</t>
  </si>
  <si>
    <t>258,0</t>
  </si>
  <si>
    <t>5.0249502,-73.9844037</t>
  </si>
  <si>
    <t>S11 - UBATE JJ</t>
  </si>
  <si>
    <t>UBATÉ</t>
  </si>
  <si>
    <t>Calle 11 # 4 - 48</t>
  </si>
  <si>
    <t>390,0</t>
  </si>
  <si>
    <t>5.3091465,-73.8135103</t>
  </si>
  <si>
    <t>S18 - FUNZA ZUAME</t>
  </si>
  <si>
    <t>FUNZA</t>
  </si>
  <si>
    <t>Carrera 6 # 24 - 55</t>
  </si>
  <si>
    <t>249,0</t>
  </si>
  <si>
    <t>4.7126651,-74.2027722</t>
  </si>
  <si>
    <t>S65 - TABIO</t>
  </si>
  <si>
    <t>Carrera 4 # 5 - 21</t>
  </si>
  <si>
    <t>221,0</t>
  </si>
  <si>
    <t>4.9168422,-74.1031694</t>
  </si>
  <si>
    <t>S93 - SOPO CENTRO</t>
  </si>
  <si>
    <t>SOPÓ CENTRO</t>
  </si>
  <si>
    <t>Calle 3 sur # 4 - 27</t>
  </si>
  <si>
    <t>335,0</t>
  </si>
  <si>
    <t>4.905139,-73.945061</t>
  </si>
  <si>
    <t>SA5 - EL TREBOL</t>
  </si>
  <si>
    <t>MOSQUERA</t>
  </si>
  <si>
    <t>Carrera 3 No. 13 – 12 local # 1 Centro Comercial El Trebol P.H,</t>
  </si>
  <si>
    <t>343,0</t>
  </si>
  <si>
    <t>4.726575405930854, -74.22578696032278</t>
  </si>
  <si>
    <t>SA6 - VARIANTE CELTA</t>
  </si>
  <si>
    <t>Carrera 9 # 8 – 51</t>
  </si>
  <si>
    <t>4.710959844086415, -74.21380697679655</t>
  </si>
  <si>
    <t>SB0 - TOSCANA</t>
  </si>
  <si>
    <t>Calle 4 No. 30 - 75</t>
  </si>
  <si>
    <t>399,0</t>
  </si>
  <si>
    <t>346,0</t>
  </si>
  <si>
    <t>5.010570434163521, -73.99116181912635</t>
  </si>
  <si>
    <t>SB1 - ANILLO VIAL</t>
  </si>
  <si>
    <t>CHIA</t>
  </si>
  <si>
    <t>Calle 17 no. 11 68</t>
  </si>
  <si>
    <t>427,0</t>
  </si>
  <si>
    <t>360,0</t>
  </si>
  <si>
    <t>4.866386795887665, -74.05901399999999</t>
  </si>
  <si>
    <t>SB2 - ESMERALDA</t>
  </si>
  <si>
    <t>Carrera 10 # 16 – 41</t>
  </si>
  <si>
    <t>5.031743133708879, -73.9988870173203</t>
  </si>
  <si>
    <t>SB6 - ISIMO CALATRAVA</t>
  </si>
  <si>
    <t>Calle 29 No. 1A – 48</t>
  </si>
  <si>
    <t>4.875587069739216, -74.04236417824836</t>
  </si>
  <si>
    <t>SB8 - MONTANA</t>
  </si>
  <si>
    <t>Carrera 10 A # 10 – 04 / 12</t>
  </si>
  <si>
    <t>460,0</t>
  </si>
  <si>
    <t>4.714448579107959, -74.22713</t>
  </si>
  <si>
    <t>S08 - SAN ANTONIO</t>
  </si>
  <si>
    <t>LAURA ISABELA HOYOS MAYA</t>
  </si>
  <si>
    <t>laura.hoyos@tiendasisimo.com</t>
  </si>
  <si>
    <t>CES ZONA 1</t>
  </si>
  <si>
    <t>Av calle 183 # 11 - 76</t>
  </si>
  <si>
    <t>178,0</t>
  </si>
  <si>
    <t>119,0</t>
  </si>
  <si>
    <t>4.7603115,-74.0342591,3a,75</t>
  </si>
  <si>
    <t>S06 - CEDRO GOLF</t>
  </si>
  <si>
    <t>Calle 147 # 7g - 59</t>
  </si>
  <si>
    <t>197,0</t>
  </si>
  <si>
    <t>4.7251044,-74.0316112,3a,75</t>
  </si>
  <si>
    <t>S09 - SANTA TERESA</t>
  </si>
  <si>
    <t>Calle 166 # 8f - 85</t>
  </si>
  <si>
    <t>4.7439231,-74.029072,3a,75</t>
  </si>
  <si>
    <t>S69 - MAZUREN</t>
  </si>
  <si>
    <t>Calle 149 # 45 - 54</t>
  </si>
  <si>
    <t>4.731271,-74.0510504,3a,75</t>
  </si>
  <si>
    <t>I37 - ITAGUI SAN PIO</t>
  </si>
  <si>
    <t>JOSE FERNANDO MENDEZ MEJÍA</t>
  </si>
  <si>
    <t>Diagonal 47A #30-12</t>
  </si>
  <si>
    <t>I39 - ITAGUI SAN ISIDRO</t>
  </si>
  <si>
    <t>Carrera 50 #40-43</t>
  </si>
  <si>
    <t>I43 - MEDELLIN GERONA</t>
  </si>
  <si>
    <t>CALLE 45 # 36 A 46/48</t>
  </si>
  <si>
    <t>I44 - SANTUARIO PARQUE</t>
  </si>
  <si>
    <t>SANTUARIO</t>
  </si>
  <si>
    <t>Carrera 50 # 49 - 53</t>
  </si>
  <si>
    <t>I49 - BELLO PARQUE TORRE CENTRO</t>
  </si>
  <si>
    <t>Carrera 52 # 51-39</t>
  </si>
  <si>
    <t>I50 - BELLO ROSALPI</t>
  </si>
  <si>
    <t>EDIFICIO MORE Cra 58A No. 56-108</t>
  </si>
  <si>
    <t>I59 - PARQUE BERRIO</t>
  </si>
  <si>
    <t>Calle 51 A #50 - 23/50-26, 50-30, 50-34 y 50-38; QUINTO PISO EDIFICIO FLAMINGO</t>
  </si>
  <si>
    <t>I60 - ITAGUI ROSARIO</t>
  </si>
  <si>
    <t>Calle 48 # 57 - 35</t>
  </si>
  <si>
    <t>I61 - CARMEN DE VIBORAL</t>
  </si>
  <si>
    <t>Carrera 31 # 19 - 75</t>
  </si>
  <si>
    <t>I62 - ITAGUI MONTE VERDE</t>
  </si>
  <si>
    <t>Carrera 50 A # 34 - 22</t>
  </si>
  <si>
    <t>SA3 - SAN PATRICIO</t>
  </si>
  <si>
    <t>Carrera 15 # 105A – 60</t>
  </si>
  <si>
    <t>263,0</t>
  </si>
  <si>
    <t>238,0</t>
  </si>
  <si>
    <t>4.690097231499881, -74.04600873447305</t>
  </si>
  <si>
    <t>SA8 - PRADO 138</t>
  </si>
  <si>
    <t>Calle 138 # 50 - 16</t>
  </si>
  <si>
    <t>287,0</t>
  </si>
  <si>
    <t>4.724895061919347, -74.05498921912319</t>
  </si>
  <si>
    <t>SB7 - ISIMO LIJACÁ</t>
  </si>
  <si>
    <t>CALLE 187 # 15 78</t>
  </si>
  <si>
    <t>4.76443354473026, -74.03583182883635</t>
  </si>
  <si>
    <t>S07 - LOS CEDROS</t>
  </si>
  <si>
    <t>Calle 144 # 18 a - 43</t>
  </si>
  <si>
    <t>4.7256486,-74.0455953,3a,75</t>
  </si>
  <si>
    <t>S31 - CHIPAQUE CENTRO</t>
  </si>
  <si>
    <t>LISANDRO NIAMPIRA MORENO</t>
  </si>
  <si>
    <t>lisandro.niampira@tiendasisimo.com</t>
  </si>
  <si>
    <t>CES ZONA 6</t>
  </si>
  <si>
    <t>CHIPAQUE</t>
  </si>
  <si>
    <t>Calle 4 # 2 - 28/52</t>
  </si>
  <si>
    <t>160,0</t>
  </si>
  <si>
    <t>4.4425902,-74.0434742</t>
  </si>
  <si>
    <t>S24 - JUAN REY</t>
  </si>
  <si>
    <t>Calle 74 c Sur # 14 - 61 Este</t>
  </si>
  <si>
    <t>176,0</t>
  </si>
  <si>
    <t>4.5159564,-74.0905823,19</t>
  </si>
  <si>
    <t>S25 - LA VICTORIA</t>
  </si>
  <si>
    <t>Calle 40 sur # 3 c - 28 este - 16</t>
  </si>
  <si>
    <t>305,0</t>
  </si>
  <si>
    <t>4.551064,-74.0931898,20</t>
  </si>
  <si>
    <t>S29 - SAN CRISTOBAL SUR</t>
  </si>
  <si>
    <t>Calle 17a sur # 6 - 42 Este</t>
  </si>
  <si>
    <t>212,0</t>
  </si>
  <si>
    <t>4.5718984,-74.0825193,21</t>
  </si>
  <si>
    <t>S30 - SANTA RITA</t>
  </si>
  <si>
    <t>carrera 10 este # 51a # 48 sur</t>
  </si>
  <si>
    <t>142,0</t>
  </si>
  <si>
    <t>4.5384867,-74.0915124,19</t>
  </si>
  <si>
    <t>S34 - FUSAGASUGA</t>
  </si>
  <si>
    <t>Calle 9 # 5 - 21/33</t>
  </si>
  <si>
    <t>426,0</t>
  </si>
  <si>
    <t>4.3417743,-74.363686</t>
  </si>
  <si>
    <t>S56 - 22 SUR</t>
  </si>
  <si>
    <t>Av. Calle 22 sur # 6 - 49</t>
  </si>
  <si>
    <t>4.572862,-74.0919735,21</t>
  </si>
  <si>
    <t>S70 - SILVANIA</t>
  </si>
  <si>
    <t>Calle 5 # 5 - 20</t>
  </si>
  <si>
    <t>165,0</t>
  </si>
  <si>
    <t>4.4019543,-74.3885603</t>
  </si>
  <si>
    <t>S79 - USME PUEBLO</t>
  </si>
  <si>
    <t>carrera 14 # 138 f 43 /49 sur</t>
  </si>
  <si>
    <t>183,0</t>
  </si>
  <si>
    <t>4.4682589,-74.1282766,20.75</t>
  </si>
  <si>
    <t>S83 - MONTE BLANCO</t>
  </si>
  <si>
    <t>carrera 14 # 96 -33 sur</t>
  </si>
  <si>
    <t>150,0</t>
  </si>
  <si>
    <t>4.5014025,-74.1174996,21</t>
  </si>
  <si>
    <t>SA1 - ISIMO SAN BLAS</t>
  </si>
  <si>
    <t>Cra. 3 Este # 22b -13 SUR</t>
  </si>
  <si>
    <t>4.5684052,-74.0858616</t>
  </si>
  <si>
    <t>SA4 - LOMAS</t>
  </si>
  <si>
    <t>Carrera 9F 40 - 28 sur</t>
  </si>
  <si>
    <t>4.5709, -74.0831</t>
  </si>
  <si>
    <t>SC0 - ISIMO DIVINO NIÑO</t>
  </si>
  <si>
    <t>Calle 27 sur # 7 - 39</t>
  </si>
  <si>
    <t>4.5700156585022365, -74.09573384886595</t>
  </si>
  <si>
    <t>SC4 - ISIMO BRAVO PAEZ</t>
  </si>
  <si>
    <t>CL 35 SUR No. 26-35/45 L.C. 102</t>
  </si>
  <si>
    <t>4.5847451910381, -74.11837264972834</t>
  </si>
  <si>
    <t>SC3 - ISIMO UNICENTRO DE OCCIDENTE</t>
  </si>
  <si>
    <t>Carrera 111 C No. 86 – 74 local 1 – 33 Centro Comercial Unicentro de Occidente,</t>
  </si>
  <si>
    <t>140,0</t>
  </si>
  <si>
    <t>4.7234337274762614, -74.11436262691664</t>
  </si>
  <si>
    <t>S72 - PATIO BONITO 87</t>
  </si>
  <si>
    <t>Carrera 87 # 1 - 33</t>
  </si>
  <si>
    <t>4.640034,-74.1595655,21</t>
  </si>
  <si>
    <t>SA9 - INDEPENDENCIA</t>
  </si>
  <si>
    <t>CARRERA 87 C # 71 A 10 SUR</t>
  </si>
  <si>
    <t>4.6203836,-74.1976584</t>
  </si>
  <si>
    <t>S27 - PARQUE LUIS CARLOS GALAN</t>
  </si>
  <si>
    <t>Carrera 78 a # 36 a - 17/23 Sur</t>
  </si>
  <si>
    <t>4.6219849,-74.150669,3a,75</t>
  </si>
  <si>
    <t>S32 - SOACHA DESPENSA</t>
  </si>
  <si>
    <t>Carrera 12 n 11 - 22</t>
  </si>
  <si>
    <t>149,0</t>
  </si>
  <si>
    <t>4.5967421,-74.1951795</t>
  </si>
  <si>
    <t>S57 - BOSA LAURELES</t>
  </si>
  <si>
    <t>Carrera 81 # 72 - 24 Sur</t>
  </si>
  <si>
    <t>161,0</t>
  </si>
  <si>
    <t>4.6102385,-74.1963807,21</t>
  </si>
  <si>
    <t>S71 - UNIR TIERRA NEGRA</t>
  </si>
  <si>
    <t>Calle 34 a sur # 90 a - 10</t>
  </si>
  <si>
    <t>4.6431497,-74.1667623,21</t>
  </si>
  <si>
    <t>S82 - SOACHA ESQUINA</t>
  </si>
  <si>
    <t>carrera 6 # 9 04 diag 6 bis # 5a - 64 esquina</t>
  </si>
  <si>
    <t>479,0</t>
  </si>
  <si>
    <t>355,0</t>
  </si>
  <si>
    <t>4.5796059,-74.2243306</t>
  </si>
  <si>
    <t>S87 - RESERVAS DEL PORVENIR</t>
  </si>
  <si>
    <t>carrera 93 d # 49 - 08 sur</t>
  </si>
  <si>
    <t>331,0</t>
  </si>
  <si>
    <t>4.6384603,-74.1847149,17</t>
  </si>
  <si>
    <t>SB3 - LA ESTACION</t>
  </si>
  <si>
    <t>CALLE 65 SUR # 78 B 12</t>
  </si>
  <si>
    <t>704,0</t>
  </si>
  <si>
    <t>199,0</t>
  </si>
  <si>
    <t>4.602042935616202, -74.18226250996717</t>
  </si>
  <si>
    <t>SB4 - SANTAFE</t>
  </si>
  <si>
    <t>Calle 56F # 98 D 10 Sur</t>
  </si>
  <si>
    <t>325,0</t>
  </si>
  <si>
    <t>4.639150215278377, -74.19327289814555</t>
  </si>
  <si>
    <t>SB5 - ISIMO LA LIBERTAD</t>
  </si>
  <si>
    <t>Calle 59C sur No. 87G – 04</t>
  </si>
  <si>
    <t>378,0</t>
  </si>
  <si>
    <t>321,0</t>
  </si>
  <si>
    <t>4.62364595303955, -74.18957379999999</t>
  </si>
  <si>
    <t>SC2 - VILLA SUAITA</t>
  </si>
  <si>
    <t>Calle 62 Sur # 82A 32</t>
  </si>
  <si>
    <t>188,0</t>
  </si>
  <si>
    <t>4.614873977533443, -74.18725499119563</t>
  </si>
  <si>
    <t>S26 - OLARTE VILLA DEL RIO</t>
  </si>
  <si>
    <t>YEFERSON CAICEDO PULIDO</t>
  </si>
  <si>
    <t>yeferson.caicedo@tiendasisimo.com</t>
  </si>
  <si>
    <t>CES ZONA 4</t>
  </si>
  <si>
    <t>Carrera 71 b # 53 a - 73/79 sur</t>
  </si>
  <si>
    <t>4.603792,-74.1620808,20.71</t>
  </si>
  <si>
    <t>S59 - RESTREPO</t>
  </si>
  <si>
    <t>Calle 16 Sur # 16 - 77</t>
  </si>
  <si>
    <t>4.585365,-74.0994239,21</t>
  </si>
  <si>
    <t>S60 - LUCERO BAJO</t>
  </si>
  <si>
    <t>Transversal 17 a bis # 64 - 09 sur primer piso</t>
  </si>
  <si>
    <t>277,0</t>
  </si>
  <si>
    <t>4.5547557,-74.1380162,20.13</t>
  </si>
  <si>
    <t>S73 - NUEVO MUZU</t>
  </si>
  <si>
    <t>Diagonal 51 a Sur # 60 c - 50</t>
  </si>
  <si>
    <t>187,0</t>
  </si>
  <si>
    <t>4.5896774,-74.1462286,21</t>
  </si>
  <si>
    <t>S74 - CARMEN</t>
  </si>
  <si>
    <t>Diagonal 51 a sur # 27 - 59 piso 1</t>
  </si>
  <si>
    <t>4.5817051,-74.1340008,3a,75</t>
  </si>
  <si>
    <t>S86 - CHUCUA</t>
  </si>
  <si>
    <t>carrera 72 g # 42 - 06 sur</t>
  </si>
  <si>
    <t>155,0</t>
  </si>
  <si>
    <t>4.6048027,-74.1460277</t>
  </si>
  <si>
    <t>S90 - SAN JOAQUIN B</t>
  </si>
  <si>
    <t>Carrera 17 a # 76 a - 23 Sur</t>
  </si>
  <si>
    <t>4.540667,-74.1380634,19.33</t>
  </si>
  <si>
    <t>S97 - SAN VICENTE DE FERRER</t>
  </si>
  <si>
    <t>CARRERA 33 No. 52G 38 SUR</t>
  </si>
  <si>
    <t>4.5831793,-74.1397917</t>
  </si>
  <si>
    <t>SA0 - SAN FRANCISCO</t>
  </si>
  <si>
    <t>CARRERA 19 # 60 A 23 SUR</t>
  </si>
  <si>
    <t>4.5618072, -74.1393025</t>
  </si>
  <si>
    <t>B01 - ANTONIA SANTOS</t>
  </si>
  <si>
    <t>OMAR ENRIQUE PEDROZO RESTREPO</t>
  </si>
  <si>
    <t>omar.pedrozo@tiendasisimo.com</t>
  </si>
  <si>
    <t>IVAN DANIEL CASTELLANOS MANTILLA</t>
  </si>
  <si>
    <t>ivan.castellanos@tiendasisimo.com</t>
  </si>
  <si>
    <t>ORB ZONA 1</t>
  </si>
  <si>
    <t>JESUS A PLATA MACIAS</t>
  </si>
  <si>
    <t>jesus.plata@tiendasisimo.com</t>
  </si>
  <si>
    <t>JEFFERSON MEJIA OCAMPO</t>
  </si>
  <si>
    <t>jefferson.mejia@tiendasisimo.com</t>
  </si>
  <si>
    <t>No aplica</t>
  </si>
  <si>
    <t>FABIAN RICO TARAZONA</t>
  </si>
  <si>
    <t>fabian.rico@tiendasisimo.com</t>
  </si>
  <si>
    <t>Carrera 25 # 33a-34</t>
  </si>
  <si>
    <t>7.122321,-73.1190802</t>
  </si>
  <si>
    <t>B08 - SAN FRANCISCO MUTUALIDAD</t>
  </si>
  <si>
    <t>Calle 21# 22 -42</t>
  </si>
  <si>
    <t>383,0</t>
  </si>
  <si>
    <t>358,0</t>
  </si>
  <si>
    <t>7°07'40"N 73°07'23"W</t>
  </si>
  <si>
    <t>B12 - CAMPO HERMOSO</t>
  </si>
  <si>
    <t>Calle 45 # 10W-45/49 Local B -C</t>
  </si>
  <si>
    <t>7.102913, -73.141230</t>
  </si>
  <si>
    <t>B13 - EL POBLADO</t>
  </si>
  <si>
    <t>GIRÓN</t>
  </si>
  <si>
    <t>Calle 36 #23- 138</t>
  </si>
  <si>
    <t>7.070903, -73.169297</t>
  </si>
  <si>
    <t>B24 - LA AURORA</t>
  </si>
  <si>
    <t>Calle 34# 30- 38</t>
  </si>
  <si>
    <t>291,0</t>
  </si>
  <si>
    <t>7.124419,-73.1144006</t>
  </si>
  <si>
    <t>B25 - REAL DE MINAS</t>
  </si>
  <si>
    <t>Avenida Samanes con Calle 9 entrada UTS calle de los Estudiantes</t>
  </si>
  <si>
    <t>322,0</t>
  </si>
  <si>
    <t>7.1042208,-73.1237592</t>
  </si>
  <si>
    <t>B28 - CALLEJUELAS</t>
  </si>
  <si>
    <t>Calle 8 #4-108</t>
  </si>
  <si>
    <t>7.0013163,-73.0583937</t>
  </si>
  <si>
    <t>B29 - RESERVA CANAVERAL</t>
  </si>
  <si>
    <t>Calle 157A No 154 - 163</t>
  </si>
  <si>
    <t>223,0</t>
  </si>
  <si>
    <t>7°04'14"N 73°06'59"W</t>
  </si>
  <si>
    <t>B31 - MUTIS</t>
  </si>
  <si>
    <t>Calle 60 # 8 W -109 Local 4</t>
  </si>
  <si>
    <t>374,0</t>
  </si>
  <si>
    <t>7.0971465,-73.1336839</t>
  </si>
  <si>
    <t>B32 - PERPETUO SOCORRO</t>
  </si>
  <si>
    <t>Carrerra 17 # 51A-10</t>
  </si>
  <si>
    <t>181,0</t>
  </si>
  <si>
    <t>7.1104033,-73.1207798</t>
  </si>
  <si>
    <t>B33 - QUANTUM</t>
  </si>
  <si>
    <t>Calle 7#4-56/72</t>
  </si>
  <si>
    <t>294,0</t>
  </si>
  <si>
    <t>7°03'37"N 73°05'16"W</t>
  </si>
  <si>
    <t>C04 - LA CABRERA</t>
  </si>
  <si>
    <t>LEONARDO BEDOYA ARICAPA</t>
  </si>
  <si>
    <t>leonardo.bedoya@tiendasisimo.com</t>
  </si>
  <si>
    <t>ORC ZONA 4</t>
  </si>
  <si>
    <t>Avenida 6# 15- 05</t>
  </si>
  <si>
    <t>400,0</t>
  </si>
  <si>
    <t>7.8815043,-72.5039214</t>
  </si>
  <si>
    <t>C05 - LOMITAS DE PRADERA</t>
  </si>
  <si>
    <t>Lote 1,2,3 Manzana P Urbanizacion Campo</t>
  </si>
  <si>
    <t>302,0</t>
  </si>
  <si>
    <t>7.8603121,-72.4741151</t>
  </si>
  <si>
    <t>C06 - PAMPLONA PLAZUELA</t>
  </si>
  <si>
    <t>Calle 9 #7- 38</t>
  </si>
  <si>
    <t>382,0</t>
  </si>
  <si>
    <t>345,0</t>
  </si>
  <si>
    <t>7.3722094,-72.6493912</t>
  </si>
  <si>
    <t>C11 - LOS FAROLES</t>
  </si>
  <si>
    <t>Avenida 11E #1- 40</t>
  </si>
  <si>
    <t>580,0</t>
  </si>
  <si>
    <t>496,0</t>
  </si>
  <si>
    <t>7.8980722,-72.4905887</t>
  </si>
  <si>
    <t>C12 - NUEVO HORIZONTE</t>
  </si>
  <si>
    <t>CALLE 9 #23-15 NUEVO HORIZONTE</t>
  </si>
  <si>
    <t>168,0</t>
  </si>
  <si>
    <t>7.892487,-72.5408928</t>
  </si>
  <si>
    <t>C13 - PRESIDENTE CUBEROS</t>
  </si>
  <si>
    <t>Calle 22 # 12-42</t>
  </si>
  <si>
    <t>7.8757247,-72.5100708</t>
  </si>
  <si>
    <t>C20 - PRADOS DEL ESTE</t>
  </si>
  <si>
    <t>Avenida 8 # 6 - 138</t>
  </si>
  <si>
    <t>332,0</t>
  </si>
  <si>
    <t>7.913538, -72.474623</t>
  </si>
  <si>
    <t>C21 - SIGLO XXI</t>
  </si>
  <si>
    <t>Avenida 9 2-41 Barrio la Union</t>
  </si>
  <si>
    <t>7.8949466,-72.4687537</t>
  </si>
  <si>
    <t>C26 - PAMPLONA</t>
  </si>
  <si>
    <t>Carrera 4 #4 -61</t>
  </si>
  <si>
    <t>7.3780372,-72.6491736</t>
  </si>
  <si>
    <t>B02 - BARRANCA PALMIRA</t>
  </si>
  <si>
    <t>YESICA PAOLA JAIMES SALCEDO</t>
  </si>
  <si>
    <t>yesica.jaimes@tiendasisimo.com</t>
  </si>
  <si>
    <t>ORB ZONA 2</t>
  </si>
  <si>
    <t>Carrera 28 # 47- 39</t>
  </si>
  <si>
    <t>7.0585539,-73.851129</t>
  </si>
  <si>
    <t>B06 - CIMITARRA</t>
  </si>
  <si>
    <t>Carrera 6 # 8 - 21/23</t>
  </si>
  <si>
    <t>6.31513,-73.95050</t>
  </si>
  <si>
    <t>B09 - DANGOND</t>
  </si>
  <si>
    <t>Calle 109 #11-102</t>
  </si>
  <si>
    <t>7.0779095,-73.1246458</t>
  </si>
  <si>
    <t>B11 - BARRANCA LOS PINOS</t>
  </si>
  <si>
    <t>Calle 35 #34- 85</t>
  </si>
  <si>
    <t>7°02'46"N 73°50'48"W</t>
  </si>
  <si>
    <t>B14 - POMARROSO LA CUMBRE</t>
  </si>
  <si>
    <t>Calle 30 # 5E-08 y Calle 29B #5E-03</t>
  </si>
  <si>
    <t>7.0759099,-73.0895662</t>
  </si>
  <si>
    <t>B16 - PORTAL DE PROVENZA</t>
  </si>
  <si>
    <t>Calle 105 #25 - 80</t>
  </si>
  <si>
    <t>170,0</t>
  </si>
  <si>
    <t>7.0866962,-73.1099629</t>
  </si>
  <si>
    <t>B20 - PLAZA KENNEDY</t>
  </si>
  <si>
    <t>CALLE 17N #12-23</t>
  </si>
  <si>
    <t>7°09'09"N 73°08'05"W</t>
  </si>
  <si>
    <t>N22 - ISNOS</t>
  </si>
  <si>
    <t>LEIDY ANDREA SANMIGUEL ALVARADO</t>
  </si>
  <si>
    <t>leidy.sanmiguel@tiendasisimo.com</t>
  </si>
  <si>
    <t>DIXON JADER MUÑOZ PEÑA</t>
  </si>
  <si>
    <t>dixon.munoz@tiendasisimo.com</t>
  </si>
  <si>
    <t>SUN ZONA 7</t>
  </si>
  <si>
    <t>RAUL ANDRES ESPINOSA RENGIFO</t>
  </si>
  <si>
    <t>raul.espinosa@tiendasisimo.com</t>
  </si>
  <si>
    <t>MIRALBA VARGAS CRUZ</t>
  </si>
  <si>
    <t>miralba.vargas@tiendasisimo.com</t>
  </si>
  <si>
    <t>JUAN CARLOS CORTES QUINTERO</t>
  </si>
  <si>
    <t>juan.cortes@tiendasisimo.com</t>
  </si>
  <si>
    <t>Kilometro 3 4-36 barrio centro</t>
  </si>
  <si>
    <t>278,6</t>
  </si>
  <si>
    <t>210,1</t>
  </si>
  <si>
    <t>1.930480948843425, -76.21666306894284</t>
  </si>
  <si>
    <t>N29 - SALADOBLANCO</t>
  </si>
  <si>
    <t>Calle 2 # 6-67 BARRIO CENTRO</t>
  </si>
  <si>
    <t>124,0</t>
  </si>
  <si>
    <t>1.9911043153737058, -76.04590456001334</t>
  </si>
  <si>
    <t>N01 - PITALITO</t>
  </si>
  <si>
    <t>Calle 5 # 16A-43 LOCAL 01 CONJUNTO RESIDENCIAL SANTA CLARA</t>
  </si>
  <si>
    <t>473,0</t>
  </si>
  <si>
    <t>1.8593039852250843, -76.05547510012502</t>
  </si>
  <si>
    <t>N11 - BELLA VISTA</t>
  </si>
  <si>
    <t>Calle 2 19a 18 bellavista</t>
  </si>
  <si>
    <t>404,1</t>
  </si>
  <si>
    <t>1.5991309671538914, -75.60040258318037</t>
  </si>
  <si>
    <t>N15 - PITALITO 4</t>
  </si>
  <si>
    <t>Carrera 2 # 10 -48 Barrio AGUA BLANCA</t>
  </si>
  <si>
    <t>341,0</t>
  </si>
  <si>
    <t>1.8533068407150324, -76.04234479926579</t>
  </si>
  <si>
    <t>N27 - TARQUI</t>
  </si>
  <si>
    <t>Calle 4 N° 8-43 BARRIO CENTRO</t>
  </si>
  <si>
    <t>2.113374001125297, -75.82401305710948</t>
  </si>
  <si>
    <t>N35 - BELEN DE LOS ANDAQUIES</t>
  </si>
  <si>
    <t>Carrera 5 N°5-35 BARRIO CINCUENTENARIO</t>
  </si>
  <si>
    <t>1.4155242961159376, -75.87273316391976</t>
  </si>
  <si>
    <t>N41 - TORRES DEL CAFE</t>
  </si>
  <si>
    <t>JESUS DAVID MARTINEZ SOLARTE</t>
  </si>
  <si>
    <t>jesus.martinez@tiendasisimo.com</t>
  </si>
  <si>
    <t>SUN ZONA 5</t>
  </si>
  <si>
    <t>GARZON</t>
  </si>
  <si>
    <t>Calle 10 # 5 - 02 Torre 3 Local 2 Edificio Promotora del Café</t>
  </si>
  <si>
    <t>190,6</t>
  </si>
  <si>
    <t>2.196884442236508, -75.6231352672093</t>
  </si>
  <si>
    <t>N10 - BERDEZ</t>
  </si>
  <si>
    <t>Carrera 7 # 42B 26 SANTA BARBARA</t>
  </si>
  <si>
    <t>2.9576926666569863, -75.31144179438873</t>
  </si>
  <si>
    <t>N16 - RIVERA</t>
  </si>
  <si>
    <t>Calle 5 # 6-24 Centro</t>
  </si>
  <si>
    <t>2.7791122562726267, -75.25689640036371</t>
  </si>
  <si>
    <t>N18 - TELLO</t>
  </si>
  <si>
    <t>Calle 4 # 6-57 PORTADA</t>
  </si>
  <si>
    <t>273,0</t>
  </si>
  <si>
    <t>3.068939350703636, -75.13887822768321</t>
  </si>
  <si>
    <t>N24 - GARZON4</t>
  </si>
  <si>
    <t>Transversal 10 #10-21 Lote 1</t>
  </si>
  <si>
    <t>2.198744055740848, -75.62742070724836</t>
  </si>
  <si>
    <t>N33 - TESORO</t>
  </si>
  <si>
    <t>Carrera 36 # 25-65 Lote 9 SM 6</t>
  </si>
  <si>
    <t>2.9475258054219173, -75.2643260691099</t>
  </si>
  <si>
    <t>N34 - ALTAMIRA HUILA</t>
  </si>
  <si>
    <t>Carrera 7 N° 4-34 LT 11 MZ B</t>
  </si>
  <si>
    <t>129,0</t>
  </si>
  <si>
    <t>2.0637580445480435, -75.79011549518245</t>
  </si>
  <si>
    <t>N17 - TERUEL</t>
  </si>
  <si>
    <t>JOSE ALFREDO JOVEN GRAFFE</t>
  </si>
  <si>
    <t>jose.joven@tiendasisimo.com</t>
  </si>
  <si>
    <t>SUN ZONA 6</t>
  </si>
  <si>
    <t>Carrera 4 #6- 55 Centro</t>
  </si>
  <si>
    <t>158,0</t>
  </si>
  <si>
    <t>2.7419182858727043, -75.5682873112393</t>
  </si>
  <si>
    <t>N20 - YAGUARA</t>
  </si>
  <si>
    <t>YAGUARÁ</t>
  </si>
  <si>
    <t>Calle 3 # 5-82 Centro</t>
  </si>
  <si>
    <t>232,0</t>
  </si>
  <si>
    <t>2.663785356645181, -75.51840115115371</t>
  </si>
  <si>
    <t>N39 - PALERMO</t>
  </si>
  <si>
    <t>Carrera 07 #9-32 Centro</t>
  </si>
  <si>
    <t>163,0</t>
  </si>
  <si>
    <t>2.888662878364538, -75.43371197757187</t>
  </si>
  <si>
    <t>N21 - PAEZ LA PLATA</t>
  </si>
  <si>
    <t>LA PLATA</t>
  </si>
  <si>
    <t>Carrera 6 con Calle 8 esquina Barrio Paez</t>
  </si>
  <si>
    <t>2.392255662853818, -75.89177645989432</t>
  </si>
  <si>
    <t>N31 - PAICOL</t>
  </si>
  <si>
    <t>Carrera # 6 5-37 Centro</t>
  </si>
  <si>
    <t>116,0</t>
  </si>
  <si>
    <t>2.4496139639272436, -75.77472142112767</t>
  </si>
  <si>
    <t>N06 - CAMPO ALEGRE</t>
  </si>
  <si>
    <t>Carrera 12 # 17 - 65 Local 3</t>
  </si>
  <si>
    <t>2.6853405165701516, -75.3277739342936</t>
  </si>
  <si>
    <t>N37 - QUIRINAL</t>
  </si>
  <si>
    <t>Calle 21 5 A 07 QUIRINAL</t>
  </si>
  <si>
    <t>2.937135385288898, -75.29094025084326</t>
  </si>
  <si>
    <t>S01 - GIRARDOT PANCHES</t>
  </si>
  <si>
    <t>glen.reales@tiendasisimo.com</t>
  </si>
  <si>
    <t>INGRI YORLENY GARCIA MONTERO</t>
  </si>
  <si>
    <t>ingri.garcia@tiendasisimo.com</t>
  </si>
  <si>
    <t>SUT ZONA 2</t>
  </si>
  <si>
    <t>OSCAR WILLIAM CHARRIS GARZON</t>
  </si>
  <si>
    <t>oscar.charris@tiendasisimo.com</t>
  </si>
  <si>
    <t>GIRARDOT</t>
  </si>
  <si>
    <t>Calle 18 No 15 -39 /la Estacion</t>
  </si>
  <si>
    <t>4.298892233877834, -74.80874125667405</t>
  </si>
  <si>
    <t>S02 - RICAURTE CUNDINAMARCA</t>
  </si>
  <si>
    <t>RICAURTE</t>
  </si>
  <si>
    <t>Diagonal 7 No 14B - 20</t>
  </si>
  <si>
    <t>157,0</t>
  </si>
  <si>
    <t>4.279907990974495, -74.771559622982</t>
  </si>
  <si>
    <t>T02 - IBAGUE LA POLA</t>
  </si>
  <si>
    <t>Calle 8 2 23 B. LA POLA</t>
  </si>
  <si>
    <t>291,5</t>
  </si>
  <si>
    <t>187,5</t>
  </si>
  <si>
    <t>4.445305123063295, -75.24433811898946</t>
  </si>
  <si>
    <t>T05 - MELGAR</t>
  </si>
  <si>
    <t>Calle 8 # 24 - 11 CENTRO</t>
  </si>
  <si>
    <t>365,0</t>
  </si>
  <si>
    <t>256,5</t>
  </si>
  <si>
    <t>4.203782436776706, -74.64133994349052</t>
  </si>
  <si>
    <t>T13 - FLANDES TOLIMA</t>
  </si>
  <si>
    <t>Carrera 7A # 7B -21</t>
  </si>
  <si>
    <t>4.282049318983744, -74.81496433892747</t>
  </si>
  <si>
    <t>T21 - CARMEN DE APICALA</t>
  </si>
  <si>
    <t>Calle 5 8-40 Barrio Centro, Carmen de apicala</t>
  </si>
  <si>
    <t>307,0</t>
  </si>
  <si>
    <t>4.147075513180737, -74.7206510831884</t>
  </si>
  <si>
    <t>T36 - EL ESPINAL 4 Y GONGORA</t>
  </si>
  <si>
    <t>ESPINAL</t>
  </si>
  <si>
    <t>Carrera 11 N 9 54</t>
  </si>
  <si>
    <t>157,6</t>
  </si>
  <si>
    <t>4.146014114824142, -74.8830038841784</t>
  </si>
  <si>
    <t>T39 - GUAMO 2</t>
  </si>
  <si>
    <t>GUAMO</t>
  </si>
  <si>
    <t>Carrera 11 N 12-51 BRR SAN MARTIN , GUAMO</t>
  </si>
  <si>
    <t>4.033567791821732, -74.97020938822901</t>
  </si>
  <si>
    <t>T48 - BELEN</t>
  </si>
  <si>
    <t>Calle 10 #10 A 16 BARRIO/ BELEN IBAGUE</t>
  </si>
  <si>
    <t>4.450234504580637, -75.24019981947009</t>
  </si>
  <si>
    <t>T50 - LEONES</t>
  </si>
  <si>
    <t>Calle 10 # 20 – 43/47</t>
  </si>
  <si>
    <t>4.298279729244296, -74.8042097644175</t>
  </si>
  <si>
    <t>T16 - ORTEGA</t>
  </si>
  <si>
    <t>JONATHAN CAMILO USME GÓNGORA</t>
  </si>
  <si>
    <t>jonathan.usme@tiendasisimo.com</t>
  </si>
  <si>
    <t>SUT ZONA 4</t>
  </si>
  <si>
    <t>Calle 5 #10-26/30 CENTRO ORTEGA</t>
  </si>
  <si>
    <t>287,4</t>
  </si>
  <si>
    <t>176,5</t>
  </si>
  <si>
    <t>3.93477725646491, -75.2210343773415</t>
  </si>
  <si>
    <t>T23 - CHAPARRAL 2</t>
  </si>
  <si>
    <t>Carrera 8 #7-76C</t>
  </si>
  <si>
    <t>3.721883027274567, -75.48662723348885</t>
  </si>
  <si>
    <t>T45 - ATACO</t>
  </si>
  <si>
    <t>Carrera 5 A #8-21</t>
  </si>
  <si>
    <t>233,1</t>
  </si>
  <si>
    <t>144,1</t>
  </si>
  <si>
    <t>3.5906285476812574, -75.38256206715178</t>
  </si>
  <si>
    <t>T14 - PURIFICACION</t>
  </si>
  <si>
    <t>PURIFICACIÓN</t>
  </si>
  <si>
    <t>Carrera 5 # 6-53</t>
  </si>
  <si>
    <t>334,5</t>
  </si>
  <si>
    <t>221,5</t>
  </si>
  <si>
    <t>3.8541136283993693, -74.92999779783193</t>
  </si>
  <si>
    <t>T15 - IBAGUE LIMONAR</t>
  </si>
  <si>
    <t>Carrera 6 # 56-0 ESQUINA BARRIO LIMONAR</t>
  </si>
  <si>
    <t>4.43646298252415, -75.20464697091444</t>
  </si>
  <si>
    <t>T17 - CHAPARRAL</t>
  </si>
  <si>
    <t>Calle 10 #6-39</t>
  </si>
  <si>
    <t>348,0</t>
  </si>
  <si>
    <t>3.7245182197063182, -75.4831012276913</t>
  </si>
  <si>
    <t>T25 - GAITAN IBAGUE</t>
  </si>
  <si>
    <t>Transversal 13 # 35B-28 LOTE 14</t>
  </si>
  <si>
    <t>340,9</t>
  </si>
  <si>
    <t>4.446077406900485, -75.2146237159394</t>
  </si>
  <si>
    <t>T30 - PLANADAS</t>
  </si>
  <si>
    <t>Carrera 5A #6-26</t>
  </si>
  <si>
    <t>342,6</t>
  </si>
  <si>
    <t>3.1946629724998896, -75.64511445526709</t>
  </si>
  <si>
    <t>T41 - PRADO</t>
  </si>
  <si>
    <t>Carrera 5 #12-58 / BARRIO EL DIVISO</t>
  </si>
  <si>
    <t>136,3</t>
  </si>
  <si>
    <t>3.753042348602827, -74.92848106187208</t>
  </si>
  <si>
    <t>T42 - PALOCABILDO</t>
  </si>
  <si>
    <t>KATERINE LUZ GONZALEZ VASQUEZ</t>
  </si>
  <si>
    <t>katerine.gonzalez@tiendasisimo.com</t>
  </si>
  <si>
    <t>SUT ZONA 3</t>
  </si>
  <si>
    <t>Calle 6 6-10, BARRIO CENTRO</t>
  </si>
  <si>
    <t>233,0</t>
  </si>
  <si>
    <t>162,7</t>
  </si>
  <si>
    <t>5.121422435393203, -75.02225294188075</t>
  </si>
  <si>
    <t>T43 - FALAN</t>
  </si>
  <si>
    <t>Carrera 4 N. 6 -16 BARRIO CENTRO</t>
  </si>
  <si>
    <t>164,0</t>
  </si>
  <si>
    <t>97,0</t>
  </si>
  <si>
    <t>5.124069167633076, -74.95161467681095</t>
  </si>
  <si>
    <t>T44 - LA DORADA VILLA ESPERANZA</t>
  </si>
  <si>
    <t>LA DORADA</t>
  </si>
  <si>
    <t>CALDAS</t>
  </si>
  <si>
    <t>Calle 47 # 2 -12 MZN D lt4 bariio villa esperanza</t>
  </si>
  <si>
    <t>158,7</t>
  </si>
  <si>
    <t>127,9</t>
  </si>
  <si>
    <t>5.480618854394138, -74.67215981493248</t>
  </si>
  <si>
    <t>T06 - HONDA OBRERO</t>
  </si>
  <si>
    <t>Carrera10 # 30-23 BARRIO OBRERO</t>
  </si>
  <si>
    <t>5.220025110830375, -74.7332126832602</t>
  </si>
  <si>
    <t>T27 - EL CABRERO LA DORADA</t>
  </si>
  <si>
    <t>Calle 18 n° 8-33 Barrio el Cabrero</t>
  </si>
  <si>
    <t>5.454917903504361, -74.66875173482003</t>
  </si>
  <si>
    <t>T34 - SANTA ISABEL</t>
  </si>
  <si>
    <t>Calle 6 N. 1-82 BARRIO CENTRO</t>
  </si>
  <si>
    <t>222,0</t>
  </si>
  <si>
    <t>4.713601065470626, -75.09732177175887</t>
  </si>
  <si>
    <t>T31 - TUNAL</t>
  </si>
  <si>
    <t>Carrera 1 # 68-12 BARRIO TUNAL</t>
  </si>
  <si>
    <t>4.434406929865373, -75.19095885504892</t>
  </si>
  <si>
    <t>T46 - PAYANDE</t>
  </si>
  <si>
    <t>Carrera 5 No 9-18</t>
  </si>
  <si>
    <t>265,5</t>
  </si>
  <si>
    <t>175,0</t>
  </si>
  <si>
    <t>4.298348786787024, -75.09903662995302</t>
  </si>
  <si>
    <t>T47 - VILLA MARLEN</t>
  </si>
  <si>
    <t>Calle 44 #6-67 BARRIO VILLA MARLEN</t>
  </si>
  <si>
    <t>254,8</t>
  </si>
  <si>
    <t>4.43648185728449, -75.21008930231798</t>
  </si>
  <si>
    <t>T49 - LA FRANCIA</t>
  </si>
  <si>
    <t>Carrera 4 #31 - 68 BARRIO CLARET</t>
  </si>
  <si>
    <t>4.4331679194854665, -75.22323979425063</t>
  </si>
  <si>
    <t>T09 - CAJAMARCA</t>
  </si>
  <si>
    <t>MARISEL LEDEZMA RIVAS</t>
  </si>
  <si>
    <t>marisel.ledezma@tiendasisimo.com</t>
  </si>
  <si>
    <t>SUT ZONA 1</t>
  </si>
  <si>
    <t>Calle 7 # 6-24 BARRIO CENTRO</t>
  </si>
  <si>
    <t>265,3</t>
  </si>
  <si>
    <t>177,3</t>
  </si>
  <si>
    <t>4.441587550092651, -75.42740649186649</t>
  </si>
  <si>
    <t>T19 - MARIQUITA 1</t>
  </si>
  <si>
    <t>MARIQUITA</t>
  </si>
  <si>
    <t>Carrera 2A # 6 - 61 BARRIO CENTRO</t>
  </si>
  <si>
    <t>244,0</t>
  </si>
  <si>
    <t>5.197133031540041, -74.89778150929267</t>
  </si>
  <si>
    <t>T33 - IBAGUE LAS FERIAS</t>
  </si>
  <si>
    <t>Carrera 2 Sur - Calle 25 #25-02</t>
  </si>
  <si>
    <t>262,3</t>
  </si>
  <si>
    <t>144,2</t>
  </si>
  <si>
    <t>4.431996789053616, -75.23234983240903</t>
  </si>
  <si>
    <t>T37 - INTERLAKEN</t>
  </si>
  <si>
    <t>Casa Lote Manzana D No. 131 Y 132 / Calle 19 No. 8 - 30</t>
  </si>
  <si>
    <t>216,6</t>
  </si>
  <si>
    <t>4.444907750337013, -75.2323829393841</t>
  </si>
  <si>
    <t>T40 - VILLAHERMOSA</t>
  </si>
  <si>
    <t>Calle 9 # 4 - 23</t>
  </si>
  <si>
    <t>178,7</t>
  </si>
  <si>
    <t>5.0303215615431895, -75.11652905055655</t>
  </si>
  <si>
    <t>T07 - SALADO 1</t>
  </si>
  <si>
    <t>Carrera 14 N.145-22 SALADO IBAGUE</t>
  </si>
  <si>
    <t>185,5</t>
  </si>
  <si>
    <t>4.450191156395056, -75.14471382705324</t>
  </si>
  <si>
    <t>T11 - LIBANO 1</t>
  </si>
  <si>
    <t>Carrera 8 # 4-37 CENTRO LIBANO</t>
  </si>
  <si>
    <t>4.92271274467829, -75.06223888840968</t>
  </si>
  <si>
    <t>T20 - MARIQUITA 2</t>
  </si>
  <si>
    <t>Carrera 6 N.8-19 BARRIO CARMEN</t>
  </si>
  <si>
    <t>381,0</t>
  </si>
  <si>
    <t>5.19699469936445, -74.89306980850539</t>
  </si>
  <si>
    <t>T29 - ALVARADO</t>
  </si>
  <si>
    <t>Carrera 3 ENTRADA PRINCIPAL CONSTRUCTORA SAOMA</t>
  </si>
  <si>
    <t>125,2</t>
  </si>
  <si>
    <t>4.564186634243527, -74.95412748971124</t>
  </si>
  <si>
    <t>SC5 - ISIMO TIHUAQUE</t>
  </si>
  <si>
    <t>NUEVA</t>
  </si>
  <si>
    <t>Carrera 15 este # 89 C 31 sur</t>
  </si>
  <si>
    <t>4.50127400331887, -74.08616763317677</t>
  </si>
  <si>
    <t>I72</t>
  </si>
  <si>
    <t>ISIMO MANRIQUE</t>
  </si>
  <si>
    <t>I72 - ISIMO MANRIQUE</t>
  </si>
  <si>
    <t>jose.mendez@tiendasisimo.com</t>
  </si>
  <si>
    <t>carrera 45 #67-21</t>
  </si>
  <si>
    <t>6.263329839134813, -75.55554802948328</t>
  </si>
  <si>
    <t>I75 - ISIMO POPULAR</t>
  </si>
  <si>
    <t>CARRERA 42 C # 108A - 33</t>
  </si>
  <si>
    <t>6.2979098,-75.5474464,17</t>
  </si>
  <si>
    <t/>
  </si>
  <si>
    <t>SUM of Venta $</t>
  </si>
  <si>
    <t>SUM of Merma Total</t>
  </si>
  <si>
    <t>Total general</t>
  </si>
  <si>
    <t>COUNTA of CANTIDAD MUEBLES FRUVER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</si>
</sst>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&quot;$&quot;#,##0"/>
    <numFmt numFmtId="166" formatCode="0.0%"/>
    <numFmt numFmtId="167" formatCode="dd/mm/yyyy"/>
    <numFmt numFmtId="168" formatCode="d/m/yyyy"/>
  </numFmts>
  <fonts count="2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9"/>
      <color rgb="FFFFFFFF"/>
      <name val="Arial"/>
    </font>
    <font>
      <sz val="8"/>
      <color rgb="FF000000"/>
      <name val="Aptos Narrow"/>
    </font>
    <font>
      <sz val="8"/>
      <color rgb="FF000000"/>
      <name val="Arial"/>
    </font>
    <font>
      <b/>
      <sz val="10"/>
      <color rgb="FFFFFFFF"/>
      <name val="Arial"/>
      <scheme val="minor"/>
    </font>
    <font>
      <b/>
      <sz val="9"/>
      <color rgb="FFFFFFFF"/>
      <name val="Aptos Narrow"/>
    </font>
    <font>
      <sz val="9"/>
      <color rgb="FF000000"/>
      <name val="Arial"/>
      <scheme val="minor"/>
    </font>
    <font>
      <b/>
      <sz val="9"/>
      <color rgb="FFFFFFFF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7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9"/>
      <color rgb="FF000000"/>
      <name val="Arial"/>
    </font>
    <font>
      <sz val="7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Aptos Narrow"/>
    </font>
    <font>
      <sz val="9"/>
      <color theme="1"/>
      <name val="Arial"/>
      <scheme val="minor"/>
    </font>
    <font>
      <sz val="8"/>
      <color theme="1"/>
      <name val="Arial"/>
    </font>
    <font>
      <b/>
      <sz val="9"/>
      <color theme="1"/>
      <name val="Arial"/>
      <scheme val="minor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7030A0"/>
        <bgColor rgb="FF7030A0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AF9F9"/>
        <bgColor rgb="FFFAF9F9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</fills>
  <borders count="28"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1" fillId="4" borderId="0" xfId="0" applyNumberFormat="1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3" fontId="1" fillId="7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8" fillId="4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2" borderId="5" xfId="0" applyFont="1" applyFill="1" applyBorder="1"/>
    <xf numFmtId="0" fontId="11" fillId="2" borderId="5" xfId="0" applyFont="1" applyFill="1" applyBorder="1"/>
    <xf numFmtId="3" fontId="10" fillId="0" borderId="5" xfId="0" applyNumberFormat="1" applyFont="1" applyBorder="1"/>
    <xf numFmtId="166" fontId="10" fillId="0" borderId="5" xfId="0" applyNumberFormat="1" applyFont="1" applyBorder="1"/>
    <xf numFmtId="0" fontId="10" fillId="0" borderId="5" xfId="0" applyFont="1" applyBorder="1"/>
    <xf numFmtId="0" fontId="12" fillId="0" borderId="5" xfId="0" applyFont="1" applyBorder="1" applyAlignment="1">
      <alignment horizontal="center"/>
    </xf>
    <xf numFmtId="0" fontId="13" fillId="0" borderId="0" xfId="0" applyFont="1"/>
    <xf numFmtId="0" fontId="14" fillId="2" borderId="5" xfId="0" applyFont="1" applyFill="1" applyBorder="1"/>
    <xf numFmtId="0" fontId="15" fillId="2" borderId="5" xfId="0" applyFont="1" applyFill="1" applyBorder="1"/>
    <xf numFmtId="3" fontId="14" fillId="2" borderId="5" xfId="0" applyNumberFormat="1" applyFont="1" applyFill="1" applyBorder="1"/>
    <xf numFmtId="166" fontId="14" fillId="2" borderId="5" xfId="0" applyNumberFormat="1" applyFont="1" applyFill="1" applyBorder="1"/>
    <xf numFmtId="0" fontId="16" fillId="2" borderId="5" xfId="0" applyFont="1" applyFill="1" applyBorder="1" applyAlignment="1">
      <alignment horizontal="center"/>
    </xf>
    <xf numFmtId="10" fontId="13" fillId="0" borderId="0" xfId="0" applyNumberFormat="1" applyFont="1"/>
    <xf numFmtId="3" fontId="13" fillId="0" borderId="0" xfId="0" applyNumberFormat="1" applyFont="1"/>
    <xf numFmtId="0" fontId="18" fillId="10" borderId="8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7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167" fontId="19" fillId="0" borderId="9" xfId="0" applyNumberFormat="1" applyFont="1" applyBorder="1" applyAlignment="1">
      <alignment horizontal="center" wrapText="1"/>
    </xf>
    <xf numFmtId="0" fontId="20" fillId="12" borderId="2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 vertical="center" wrapText="1"/>
    </xf>
    <xf numFmtId="3" fontId="13" fillId="13" borderId="0" xfId="0" applyNumberFormat="1" applyFont="1" applyFill="1" applyAlignment="1">
      <alignment horizontal="center"/>
    </xf>
    <xf numFmtId="0" fontId="21" fillId="9" borderId="7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 vertical="center" wrapText="1"/>
    </xf>
    <xf numFmtId="168" fontId="19" fillId="0" borderId="9" xfId="0" applyNumberFormat="1" applyFont="1" applyBorder="1" applyAlignment="1">
      <alignment horizontal="center" wrapText="1"/>
    </xf>
    <xf numFmtId="0" fontId="20" fillId="12" borderId="3" xfId="0" applyFont="1" applyFill="1" applyBorder="1" applyAlignment="1">
      <alignment horizontal="center"/>
    </xf>
    <xf numFmtId="0" fontId="22" fillId="12" borderId="3" xfId="0" applyFont="1" applyFill="1" applyBorder="1" applyAlignment="1">
      <alignment horizontal="center"/>
    </xf>
    <xf numFmtId="0" fontId="21" fillId="14" borderId="7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wrapText="1"/>
    </xf>
    <xf numFmtId="0" fontId="22" fillId="15" borderId="6" xfId="0" applyFont="1" applyFill="1" applyBorder="1" applyAlignment="1">
      <alignment horizontal="center" vertical="center" wrapText="1"/>
    </xf>
    <xf numFmtId="167" fontId="19" fillId="16" borderId="0" xfId="0" applyNumberFormat="1" applyFont="1" applyFill="1" applyAlignment="1">
      <alignment horizontal="right"/>
    </xf>
    <xf numFmtId="168" fontId="19" fillId="16" borderId="0" xfId="0" applyNumberFormat="1" applyFont="1" applyFill="1" applyAlignment="1">
      <alignment horizontal="right"/>
    </xf>
    <xf numFmtId="0" fontId="19" fillId="16" borderId="0" xfId="0" applyFont="1" applyFill="1"/>
    <xf numFmtId="0" fontId="17" fillId="0" borderId="0" xfId="0" applyFont="1" applyAlignment="1">
      <alignment horizontal="center"/>
    </xf>
    <xf numFmtId="3" fontId="1" fillId="13" borderId="0" xfId="0" applyNumberFormat="1" applyFont="1" applyFill="1" applyAlignment="1">
      <alignment horizontal="center"/>
    </xf>
    <xf numFmtId="10" fontId="13" fillId="13" borderId="0" xfId="0" applyNumberFormat="1" applyFont="1" applyFill="1" applyAlignment="1">
      <alignment horizontal="center"/>
    </xf>
    <xf numFmtId="0" fontId="23" fillId="17" borderId="7" xfId="0" applyFont="1" applyFill="1" applyBorder="1" applyAlignment="1">
      <alignment horizontal="center" vertical="center" wrapText="1"/>
    </xf>
    <xf numFmtId="0" fontId="17" fillId="17" borderId="7" xfId="0" applyFont="1" applyFill="1" applyBorder="1" applyAlignment="1">
      <alignment horizontal="center" vertical="center" wrapText="1"/>
    </xf>
    <xf numFmtId="0" fontId="10" fillId="2" borderId="7" xfId="0" applyFont="1" applyFill="1" applyBorder="1"/>
    <xf numFmtId="0" fontId="11" fillId="2" borderId="7" xfId="0" applyFont="1" applyFill="1" applyBorder="1"/>
    <xf numFmtId="3" fontId="10" fillId="0" borderId="7" xfId="0" applyNumberFormat="1" applyFont="1" applyBorder="1"/>
    <xf numFmtId="166" fontId="10" fillId="0" borderId="7" xfId="0" applyNumberFormat="1" applyFont="1" applyBorder="1"/>
    <xf numFmtId="0" fontId="10" fillId="0" borderId="7" xfId="0" applyFont="1" applyBorder="1"/>
    <xf numFmtId="0" fontId="13" fillId="0" borderId="7" xfId="0" applyFont="1" applyBorder="1" applyAlignment="1">
      <alignment horizontal="center"/>
    </xf>
    <xf numFmtId="0" fontId="13" fillId="0" borderId="7" xfId="0" applyFont="1" applyBorder="1"/>
    <xf numFmtId="0" fontId="13" fillId="2" borderId="0" xfId="0" applyFont="1" applyFill="1"/>
    <xf numFmtId="0" fontId="7" fillId="11" borderId="5" xfId="0" applyFont="1" applyFill="1" applyBorder="1" applyAlignment="1">
      <alignment horizontal="center" wrapText="1"/>
    </xf>
    <xf numFmtId="0" fontId="20" fillId="12" borderId="6" xfId="0" applyFont="1" applyFill="1" applyBorder="1" applyAlignment="1">
      <alignment horizontal="center" wrapText="1"/>
    </xf>
    <xf numFmtId="165" fontId="11" fillId="9" borderId="7" xfId="0" applyNumberFormat="1" applyFont="1" applyFill="1" applyBorder="1" applyAlignment="1">
      <alignment horizontal="center" wrapText="1"/>
    </xf>
    <xf numFmtId="165" fontId="11" fillId="5" borderId="7" xfId="0" applyNumberFormat="1" applyFont="1" applyFill="1" applyBorder="1" applyAlignment="1">
      <alignment horizontal="center" wrapText="1"/>
    </xf>
    <xf numFmtId="0" fontId="17" fillId="17" borderId="7" xfId="0" applyFont="1" applyFill="1" applyBorder="1" applyAlignment="1">
      <alignment horizontal="center"/>
    </xf>
    <xf numFmtId="0" fontId="17" fillId="17" borderId="0" xfId="0" applyFont="1" applyFill="1" applyAlignment="1">
      <alignment horizontal="center"/>
    </xf>
    <xf numFmtId="10" fontId="10" fillId="0" borderId="7" xfId="0" applyNumberFormat="1" applyFont="1" applyBorder="1"/>
    <xf numFmtId="0" fontId="6" fillId="18" borderId="0" xfId="0" applyFont="1" applyFill="1" applyAlignment="1">
      <alignment horizontal="center"/>
    </xf>
    <xf numFmtId="0" fontId="6" fillId="18" borderId="4" xfId="0" applyFont="1" applyFill="1" applyBorder="1" applyAlignment="1">
      <alignment horizontal="center"/>
    </xf>
    <xf numFmtId="3" fontId="6" fillId="18" borderId="4" xfId="0" applyNumberFormat="1" applyFont="1" applyFill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16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0" fontId="21" fillId="8" borderId="7" xfId="0" applyFont="1" applyFill="1" applyBorder="1" applyAlignment="1">
      <alignment horizontal="center" vertical="center" wrapText="1"/>
    </xf>
    <xf numFmtId="0" fontId="13" fillId="8" borderId="0" xfId="0" applyFont="1" applyFill="1"/>
    <xf numFmtId="167" fontId="13" fillId="0" borderId="0" xfId="0" applyNumberFormat="1" applyFont="1"/>
    <xf numFmtId="168" fontId="13" fillId="0" borderId="0" xfId="0" applyNumberFormat="1" applyFont="1"/>
    <xf numFmtId="0" fontId="0" fillId="0" borderId="0" xfId="0"/>
    <xf numFmtId="0" fontId="17" fillId="0" borderId="10" xfId="0" applyFont="1" applyBorder="1" applyAlignment="1">
      <alignment horizontal="center" vertical="center"/>
    </xf>
    <xf numFmtId="0" fontId="24" fillId="0" borderId="13" xfId="0" applyFont="1" applyBorder="1"/>
    <xf numFmtId="0" fontId="24" fillId="0" borderId="11" xfId="0" applyFont="1" applyBorder="1"/>
    <xf numFmtId="0" fontId="17" fillId="0" borderId="12" xfId="0" applyFont="1" applyBorder="1"/>
    <xf numFmtId="0" fontId="24" fillId="0" borderId="8" xfId="0" applyFont="1" applyBorder="1"/>
    <xf numFmtId="0" fontId="6" fillId="18" borderId="0" xfId="0" applyFont="1" applyFill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4" xfId="0" pivotButton="1" applyBorder="1"/>
    <xf numFmtId="0" fontId="0" fillId="0" borderId="16" xfId="0" applyBorder="1"/>
    <xf numFmtId="0" fontId="0" fillId="0" borderId="17" xfId="0" applyBorder="1"/>
    <xf numFmtId="0" fontId="0" fillId="0" borderId="14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18" xfId="0" applyNumberFormat="1" applyBorder="1"/>
    <xf numFmtId="0" fontId="0" fillId="0" borderId="20" xfId="0" applyNumberFormat="1" applyBorder="1"/>
    <xf numFmtId="3" fontId="0" fillId="0" borderId="14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4" xfId="0" applyBorder="1"/>
    <xf numFmtId="0" fontId="0" fillId="0" borderId="24" xfId="0" applyNumberFormat="1" applyBorder="1"/>
    <xf numFmtId="0" fontId="0" fillId="0" borderId="0" xfId="0" applyNumberFormat="1"/>
    <xf numFmtId="0" fontId="0" fillId="0" borderId="25" xfId="0" applyNumberFormat="1" applyBorder="1"/>
    <xf numFmtId="0" fontId="0" fillId="0" borderId="26" xfId="0" applyNumberFormat="1" applyBorder="1"/>
    <xf numFmtId="0" fontId="0" fillId="0" borderId="2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estamo" refreshedDate="46205.656111689816" refreshedVersion="8" recordCount="129" xr:uid="{00000000-000A-0000-FFFF-FFFF01000000}">
  <cacheSource type="worksheet">
    <worksheetSource ref="A2:J131" sheet="Datos"/>
  </cacheSource>
  <cacheFields count="10">
    <cacheField name="item" numFmtId="0">
      <sharedItems containsSemiMixedTypes="0" containsString="0" containsNumber="1" containsInteger="1" minValue="154" maxValue="2726" count="83">
        <n v="157"/>
        <n v="1210"/>
        <n v="2243"/>
        <n v="1561"/>
        <n v="2244"/>
        <n v="1510"/>
        <n v="1074"/>
        <n v="1562"/>
        <n v="155"/>
        <n v="231"/>
        <n v="1601"/>
        <n v="235"/>
        <n v="2473"/>
        <n v="233"/>
        <n v="1671"/>
        <n v="2247"/>
        <n v="1085"/>
        <n v="1673"/>
        <n v="1803"/>
        <n v="2248"/>
        <n v="2050"/>
        <n v="175"/>
        <n v="1807"/>
        <n v="1800"/>
        <n v="1079"/>
        <n v="1812"/>
        <n v="1072"/>
        <n v="1868"/>
        <n v="2052"/>
        <n v="1867"/>
        <n v="883"/>
        <n v="2606"/>
        <n v="1806"/>
        <n v="1082"/>
        <n v="1623"/>
        <n v="754"/>
        <n v="2600"/>
        <n v="1071"/>
        <n v="1084"/>
        <n v="2001"/>
        <n v="1804"/>
        <n v="1156"/>
        <n v="1813"/>
        <n v="1797"/>
        <n v="1819"/>
        <n v="1081"/>
        <n v="1793"/>
        <n v="1795"/>
        <n v="1796"/>
        <n v="1816"/>
        <n v="1805"/>
        <n v="1559"/>
        <n v="1560"/>
        <n v="2296"/>
        <n v="2295"/>
        <n v="1633"/>
        <n v="2291"/>
        <n v="2293"/>
        <n v="2292"/>
        <n v="238"/>
        <n v="1632"/>
        <n v="2723"/>
        <n v="2724"/>
        <n v="966"/>
        <n v="2725"/>
        <n v="2726"/>
        <n v="2722"/>
        <n v="2242"/>
        <n v="1817"/>
        <n v="1076"/>
        <n v="965"/>
        <n v="1069"/>
        <n v="1068"/>
        <n v="154"/>
        <n v="1080"/>
        <n v="217"/>
        <n v="223"/>
        <n v="1675"/>
        <n v="1077"/>
        <n v="963"/>
        <n v="232"/>
        <n v="964"/>
        <n v="236"/>
      </sharedItems>
    </cacheField>
    <cacheField name="descripicion_item" numFmtId="0">
      <sharedItems count="83">
        <s v="ARANDANOS FRESCOS 125 G"/>
        <s v="BANANO UNIDAD"/>
        <s v="MANZANA ROYAL BOLSA  500 G"/>
        <s v="AGUACATE HASS UND"/>
        <s v="MANZANA VERDE BOLSA  500 G"/>
        <s v="UVA RED GLOBE 400 G"/>
        <s v="AGUACATE VARIEDAD UNIDAD"/>
        <s v="UVA VERDE SIN SEMILLA 400 G"/>
        <s v="AJO 3 UND"/>
        <s v="PAPA 2000 G"/>
        <s v="PLATANO UND"/>
        <s v="TOMATE CHONTO 500 G"/>
        <s v="PAPAYA MEDIANA UNIDAD"/>
        <s v="PLATANO HARTON 1000 G"/>
        <s v="MANZANA  ROYAL GALA UND"/>
        <s v="LIMON X 1000 G"/>
        <s v="UCHUVA  300 G"/>
        <s v="MANZANA VERDE UND"/>
        <s v="KIWI 200 G"/>
        <s v="ZANAHORIA X 1000 G"/>
        <s v="MIX FRUTAS IMPORTADAS"/>
        <s v="CEBOLLA BLANCA CABEZONA 500 G"/>
        <s v="MANGO VARIEDAD UNIDAD"/>
        <s v="GRANADILLA  450 G"/>
        <s v="LECHUGA CRESPA VERDE  UNIDAD"/>
        <s v="SANDIA BABY UNIDAD"/>
        <s v="ESPINACA  150 G"/>
        <s v="PAPA PAREJA  1000 G"/>
        <s v="CEBOLLA LARGA 500G"/>
        <s v="PERA VERDE IMPORTADA UNIDAD"/>
        <s v="PINA UNIDAD"/>
        <s v="CIRUELA IMPORTADA 500 G"/>
        <s v="NARANJA TANGELO 1000 G"/>
        <s v="TOMATE CHERRY 250 G"/>
        <s v="PEPINO COHOMBRO UND"/>
        <s v="CEBOLLA ROJA 500 G"/>
        <s v="MANDARINA IMPORTADA 500 G"/>
        <s v="COGOLLO  3 UNIDADES 300 G"/>
        <s v="FRESA 250 G"/>
        <s v="PIMENTON 300 G"/>
        <s v="LULO 600 G"/>
        <s v="TOMATE  DE ARBOL 500 G"/>
        <s v="UVA ISABELA 400 G"/>
        <s v="CIRUELA NACIONAL 400 G"/>
        <s v="AHUYAMA ZAKATA 600 G"/>
        <s v="RABANO  250 G"/>
        <s v="APIO 300 G"/>
        <s v="BROCOLI 250 G"/>
        <s v="CILANTRO 120 G"/>
        <s v="MAZORCA  600 G"/>
        <s v="MANDARINA 500 G"/>
        <s v="TOMATE CHONTO UND RC"/>
        <s v="LIMON TAHITI UND RC"/>
        <s v="PAPA UND RC"/>
        <s v="NARANJA UND RC"/>
        <s v="PIMENTON UND RC"/>
        <s v="CEBOLLA BLANCA UND RC"/>
        <s v="MANDARINA UND RC"/>
        <s v="CEBOLLA ROJA UND RC"/>
        <s v="ZANAHORIA 600 G"/>
        <s v="ZANAHORIA UND RC"/>
        <s v="LULO UND  RC"/>
        <s v="TOMATE DE ARBOL UND  RC"/>
        <s v="BANANO 5 UND"/>
        <s v="MAZORCA UND  RC"/>
        <s v="CIRUELA IMPORTADA UND RC"/>
        <s v="GRANADILLA UND  RC"/>
        <s v="TOMATE CHONTO 1000 G"/>
        <s v="ZUCCHINI VERDE 300G"/>
        <s v="PAPAYA 800 G"/>
        <s v="LIMON TAHITI 500 G"/>
        <s v="CEBOLLA LARGA 250 G"/>
        <s v="NARANJA VALENCIA MEDIANA  1500 G"/>
        <s v="AGUACATE HASS 600 G"/>
        <s v="LECHUGA ROMANA HIDROPONICA 220 G"/>
        <s v="LIMON TAHITI 300 G"/>
        <s v="MANZANA VERDE 600 G"/>
        <s v="PAPA 1000 GR"/>
        <s v="PIMENTON  500 G"/>
        <s v="MANZANA ROYAL GALA 600 G"/>
        <s v="PERA VERDE 1000 G"/>
        <s v="PERA VERDE 600 G"/>
        <s v="TOMATE DE ARBOL 1000 G"/>
      </sharedItems>
    </cacheField>
    <cacheField name="fecha (Año y mes)" numFmtId="164">
      <sharedItems containsSemiMixedTypes="0" containsNonDate="0" containsDate="1" containsString="0" minDate="2025-06-01T00:00:00" maxDate="2025-06-02T00:00:00"/>
    </cacheField>
    <cacheField name="cedi" numFmtId="0">
      <sharedItems/>
    </cacheField>
    <cacheField name="Venta $" numFmtId="165">
      <sharedItems containsSemiMixedTypes="0" containsString="0" containsNumber="1" containsInteger="1" minValue="0" maxValue="52729580"/>
    </cacheField>
    <cacheField name="M_Conocida" numFmtId="0">
      <sharedItems containsSemiMixedTypes="0" containsString="0" containsNumber="1" minValue="0" maxValue="567998.35"/>
    </cacheField>
    <cacheField name="M_Desconocida" numFmtId="0">
      <sharedItems containsSemiMixedTypes="0" containsString="0" containsNumber="1" minValue="-602141.53" maxValue="914841.54"/>
    </cacheField>
    <cacheField name="M_Desperdicio" numFmtId="0">
      <sharedItems containsSemiMixedTypes="0" containsString="0" containsNumber="1" minValue="-144335.34" maxValue="3561164.26"/>
    </cacheField>
    <cacheField name="Merma Total" numFmtId="0">
      <sharedItems containsSemiMixedTypes="0" containsString="0" containsNumber="1" minValue="-243575.69" maxValue="3637774.89"/>
    </cacheField>
    <cacheField name="Merma Total2" numFmtId="0">
      <sharedItems containsMixedTypes="1" containsNumber="1" minValue="-5.8333333329999997" maxValue="0.8608958383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estamo" refreshedDate="46205.656111805554" refreshedVersion="8" recordCount="59" xr:uid="{00000000-000A-0000-FFFF-FFFF00000000}">
  <cacheSource type="worksheet">
    <worksheetSource ref="A3:G62" sheet="Hoja 8"/>
  </cacheSource>
  <cacheFields count="7">
    <cacheField name="Region" numFmtId="0">
      <sharedItems count="2">
        <s v="Tolima"/>
        <s v="Huila"/>
      </sharedItems>
    </cacheField>
    <cacheField name="Tienda" numFmtId="0">
      <sharedItems/>
    </cacheField>
    <cacheField name="Nombre tienda" numFmtId="0">
      <sharedItems/>
    </cacheField>
    <cacheField name="N S E" numFmtId="3">
      <sharedItems containsSemiMixedTypes="0" containsString="0" containsNumber="1" containsInteger="1" minValue="1" maxValue="5"/>
    </cacheField>
    <cacheField name="NEVERA AUTOCONTENIDA" numFmtId="3">
      <sharedItems/>
    </cacheField>
    <cacheField name="CANTIDAD MUEBLES FRUVER" numFmtId="3">
      <sharedItems containsSemiMixedTypes="0" containsString="0" containsNumber="1" containsInteger="1" minValue="1" maxValue="3" count="3">
        <n v="2"/>
        <n v="1"/>
        <n v="3"/>
      </sharedItems>
    </cacheField>
    <cacheField name="TIPO DE PORTAFOLIO" numFmtId="0">
      <sharedItems count="5">
        <s v="B"/>
        <s v="B + E"/>
        <s v="B + E +N"/>
        <s v="BÁSICO"/>
        <s v="BÁSICO + EXTENDI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x v="0"/>
    <d v="2025-06-01T00:00:00"/>
    <s v="CES"/>
    <n v="52729580"/>
    <n v="25085.09"/>
    <n v="-602141.53"/>
    <n v="1419419.45"/>
    <n v="842363.01"/>
    <n v="1.5975151140000001E-2"/>
  </r>
  <r>
    <x v="1"/>
    <x v="1"/>
    <d v="2025-06-01T00:00:00"/>
    <s v="CES"/>
    <n v="51139800"/>
    <n v="567998.35"/>
    <n v="-491387.72"/>
    <n v="3561164.26"/>
    <n v="3637774.89"/>
    <n v="7.1133928760000006E-2"/>
  </r>
  <r>
    <x v="2"/>
    <x v="2"/>
    <d v="2025-06-01T00:00:00"/>
    <s v="CES"/>
    <n v="37777470"/>
    <n v="19699.419999999998"/>
    <n v="335419.45"/>
    <n v="676634.53"/>
    <n v="1031753.4"/>
    <n v="2.7311341919999999E-2"/>
  </r>
  <r>
    <x v="3"/>
    <x v="3"/>
    <d v="2025-06-01T00:00:00"/>
    <s v="CES"/>
    <n v="35559250"/>
    <n v="1222.6300000000001"/>
    <n v="360176.09"/>
    <n v="1171434.98"/>
    <n v="1532833.7"/>
    <n v="4.3106468779999997E-2"/>
  </r>
  <r>
    <x v="4"/>
    <x v="4"/>
    <d v="2025-06-01T00:00:00"/>
    <s v="CES"/>
    <n v="30393090"/>
    <n v="56630.7"/>
    <n v="891046.09"/>
    <n v="1662561.11"/>
    <n v="2610237.9"/>
    <n v="8.5882610159999997E-2"/>
  </r>
  <r>
    <x v="5"/>
    <x v="5"/>
    <d v="2025-06-01T00:00:00"/>
    <s v="CES"/>
    <n v="26997480"/>
    <n v="26063.93"/>
    <n v="559689.11"/>
    <n v="1245884.6299999999"/>
    <n v="1831637.67"/>
    <n v="6.7844764399999993E-2"/>
  </r>
  <r>
    <x v="6"/>
    <x v="6"/>
    <d v="2025-06-01T00:00:00"/>
    <s v="CES"/>
    <n v="25731840"/>
    <n v="0"/>
    <n v="479329.19"/>
    <n v="2245391.89"/>
    <n v="2724721.08"/>
    <n v="0.1058890884"/>
  </r>
  <r>
    <x v="7"/>
    <x v="7"/>
    <d v="2025-06-01T00:00:00"/>
    <s v="CES"/>
    <n v="23298670"/>
    <n v="68377.490000000005"/>
    <n v="194874.84"/>
    <n v="2279533.91"/>
    <n v="2542786.2400000002"/>
    <n v="0.1091386865"/>
  </r>
  <r>
    <x v="8"/>
    <x v="8"/>
    <d v="2025-06-01T00:00:00"/>
    <s v="CES"/>
    <n v="20542810"/>
    <n v="7752.54"/>
    <n v="914841.54"/>
    <n v="292025.31"/>
    <n v="1214619.3899999999"/>
    <n v="5.9126253419999997E-2"/>
  </r>
  <r>
    <x v="9"/>
    <x v="9"/>
    <d v="2025-06-01T00:00:00"/>
    <s v="CES"/>
    <n v="19301900"/>
    <n v="62658.82"/>
    <n v="451717.21"/>
    <n v="1830671.47"/>
    <n v="2345047.5"/>
    <n v="0.1214930914"/>
  </r>
  <r>
    <x v="10"/>
    <x v="10"/>
    <d v="2025-06-01T00:00:00"/>
    <s v="CES"/>
    <n v="16891000"/>
    <n v="63702.22"/>
    <n v="187471.2"/>
    <n v="2006500.36"/>
    <n v="2257673.7799999998"/>
    <n v="0.1336613451"/>
  </r>
  <r>
    <x v="11"/>
    <x v="11"/>
    <d v="2025-06-01T00:00:00"/>
    <s v="CES"/>
    <n v="16810890"/>
    <n v="43152.84"/>
    <n v="276498.86"/>
    <n v="1259239.98"/>
    <n v="1578891.68"/>
    <n v="9.3920766840000003E-2"/>
  </r>
  <r>
    <x v="12"/>
    <x v="12"/>
    <d v="2025-06-01T00:00:00"/>
    <s v="CES"/>
    <n v="14660620"/>
    <n v="62942.17"/>
    <n v="276300.73"/>
    <n v="2986302.53"/>
    <n v="3325545.43"/>
    <n v="0.22683525190000001"/>
  </r>
  <r>
    <x v="13"/>
    <x v="13"/>
    <d v="2025-06-01T00:00:00"/>
    <s v="CES"/>
    <n v="14569450"/>
    <n v="2979.87"/>
    <n v="215378.38"/>
    <n v="554861.25"/>
    <n v="773219.5"/>
    <n v="5.307128958E-2"/>
  </r>
  <r>
    <x v="14"/>
    <x v="14"/>
    <d v="2025-06-01T00:00:00"/>
    <s v="CES"/>
    <n v="14502120"/>
    <n v="27637.52"/>
    <n v="-53134.77"/>
    <n v="1417249.41"/>
    <n v="1391752.16"/>
    <n v="9.5968876270000003E-2"/>
  </r>
  <r>
    <x v="15"/>
    <x v="15"/>
    <d v="2025-06-01T00:00:00"/>
    <s v="CES"/>
    <n v="14468040"/>
    <n v="41938.6"/>
    <n v="193955.07"/>
    <n v="1991742.55"/>
    <n v="2227636.2200000002"/>
    <n v="0.15396945410000001"/>
  </r>
  <r>
    <x v="16"/>
    <x v="16"/>
    <d v="2025-06-01T00:00:00"/>
    <s v="CES"/>
    <n v="14212380"/>
    <n v="150400"/>
    <n v="89599.29"/>
    <n v="1484836.7"/>
    <n v="1724835.99"/>
    <n v="0.1213615165"/>
  </r>
  <r>
    <x v="17"/>
    <x v="17"/>
    <d v="2025-06-01T00:00:00"/>
    <s v="CES"/>
    <n v="12081290"/>
    <n v="48206.39"/>
    <n v="-388262.2"/>
    <n v="1057388.97"/>
    <n v="717333.16"/>
    <n v="5.9375543510000003E-2"/>
  </r>
  <r>
    <x v="18"/>
    <x v="18"/>
    <d v="2025-06-01T00:00:00"/>
    <s v="CES"/>
    <n v="11859600"/>
    <n v="68331.86"/>
    <n v="54352.959999999999"/>
    <n v="1192615.73"/>
    <n v="1315300.55"/>
    <n v="0.1109059791"/>
  </r>
  <r>
    <x v="19"/>
    <x v="19"/>
    <d v="2025-06-01T00:00:00"/>
    <s v="CES"/>
    <n v="10825290"/>
    <n v="43695.56"/>
    <n v="227389.48"/>
    <n v="584986.02"/>
    <n v="856071.06"/>
    <n v="7.9080658349999999E-2"/>
  </r>
  <r>
    <x v="20"/>
    <x v="20"/>
    <d v="2025-06-01T00:00:00"/>
    <s v="CES"/>
    <n v="10203650"/>
    <n v="47951.7"/>
    <n v="307605.17"/>
    <n v="2301031.35"/>
    <n v="2656588.2200000002"/>
    <n v="0.26035665860000001"/>
  </r>
  <r>
    <x v="21"/>
    <x v="21"/>
    <d v="2025-06-01T00:00:00"/>
    <s v="CES"/>
    <n v="9692010"/>
    <n v="26147.1"/>
    <n v="80192.240000000005"/>
    <n v="239402.53"/>
    <n v="345741.87"/>
    <n v="3.5672875899999998E-2"/>
  </r>
  <r>
    <x v="22"/>
    <x v="22"/>
    <d v="2025-06-01T00:00:00"/>
    <s v="CES"/>
    <n v="8034850"/>
    <n v="53064.72"/>
    <n v="252671.44"/>
    <n v="2633556.83"/>
    <n v="2939292.99"/>
    <n v="0.36581802899999999"/>
  </r>
  <r>
    <x v="23"/>
    <x v="23"/>
    <d v="2025-06-01T00:00:00"/>
    <s v="CES"/>
    <n v="7797270"/>
    <n v="38086.58"/>
    <n v="-11245.18"/>
    <n v="1920848.98"/>
    <n v="1947690.38"/>
    <n v="0.24979132179999999"/>
  </r>
  <r>
    <x v="24"/>
    <x v="24"/>
    <d v="2025-06-01T00:00:00"/>
    <s v="CES"/>
    <n v="6572710"/>
    <n v="103037.27"/>
    <n v="418399.38"/>
    <n v="2347788.0299999998"/>
    <n v="2869224.68"/>
    <n v="0.4365360224"/>
  </r>
  <r>
    <x v="25"/>
    <x v="25"/>
    <d v="2025-06-01T00:00:00"/>
    <s v="CES"/>
    <n v="6080080"/>
    <n v="34974.050000000003"/>
    <n v="195864.35"/>
    <n v="1491427.29"/>
    <n v="1722265.69"/>
    <n v="0.28326365609999998"/>
  </r>
  <r>
    <x v="26"/>
    <x v="26"/>
    <d v="2025-06-01T00:00:00"/>
    <s v="CES"/>
    <n v="5929170"/>
    <n v="53552.95"/>
    <n v="-16960.28"/>
    <n v="640003.83999999997"/>
    <n v="676596.51"/>
    <n v="0.11411319120000001"/>
  </r>
  <r>
    <x v="27"/>
    <x v="27"/>
    <d v="2025-06-01T00:00:00"/>
    <s v="CES"/>
    <n v="5823920"/>
    <n v="18998.36"/>
    <n v="159021.98000000001"/>
    <n v="984153.06"/>
    <n v="1162173.3999999999"/>
    <n v="0.19955174519999999"/>
  </r>
  <r>
    <x v="28"/>
    <x v="28"/>
    <d v="2025-06-01T00:00:00"/>
    <s v="CES"/>
    <n v="5761210"/>
    <n v="76018.67"/>
    <n v="168260.14"/>
    <n v="1612473.24"/>
    <n v="1856752.05"/>
    <n v="0.32228508420000002"/>
  </r>
  <r>
    <x v="29"/>
    <x v="29"/>
    <d v="2025-06-01T00:00:00"/>
    <s v="CES"/>
    <n v="5587750"/>
    <n v="55680.52"/>
    <n v="202021.99"/>
    <n v="770240.46"/>
    <n v="1027942.97"/>
    <n v="0.18396366519999999"/>
  </r>
  <r>
    <x v="30"/>
    <x v="30"/>
    <d v="2025-06-01T00:00:00"/>
    <s v="CES"/>
    <n v="5313830"/>
    <n v="87138.559999999998"/>
    <n v="-2693.24"/>
    <n v="1883279.6"/>
    <n v="1967724.92"/>
    <n v="0.3703025727"/>
  </r>
  <r>
    <x v="31"/>
    <x v="31"/>
    <d v="2025-06-01T00:00:00"/>
    <s v="CES"/>
    <n v="5113600"/>
    <n v="7000"/>
    <n v="24708.2"/>
    <n v="449596.27"/>
    <n v="481304.47"/>
    <n v="9.4122432340000006E-2"/>
  </r>
  <r>
    <x v="32"/>
    <x v="32"/>
    <d v="2025-06-01T00:00:00"/>
    <s v="CES"/>
    <n v="5025020"/>
    <n v="80057.5"/>
    <n v="212183.23"/>
    <n v="1706769.04"/>
    <n v="1999009.77"/>
    <n v="0.39781130619999999"/>
  </r>
  <r>
    <x v="33"/>
    <x v="33"/>
    <d v="2025-06-01T00:00:00"/>
    <s v="CES"/>
    <n v="4772040"/>
    <n v="0"/>
    <n v="-5263.43"/>
    <n v="273937.34999999998"/>
    <n v="268673.91999999998"/>
    <n v="5.6301690680000002E-2"/>
  </r>
  <r>
    <x v="34"/>
    <x v="34"/>
    <d v="2025-06-01T00:00:00"/>
    <s v="CES"/>
    <n v="4437080"/>
    <n v="26313.14"/>
    <n v="52864.97"/>
    <n v="580297.63"/>
    <n v="659475.74"/>
    <n v="0.1486283186"/>
  </r>
  <r>
    <x v="35"/>
    <x v="35"/>
    <d v="2025-06-01T00:00:00"/>
    <s v="CES"/>
    <n v="4422700"/>
    <n v="35548.480000000003"/>
    <n v="-41637.019999999997"/>
    <n v="325034.38"/>
    <n v="318945.84000000003"/>
    <n v="7.2115639770000003E-2"/>
  </r>
  <r>
    <x v="36"/>
    <x v="36"/>
    <d v="2025-06-01T00:00:00"/>
    <s v="CES"/>
    <n v="4419100"/>
    <n v="97002.83"/>
    <n v="335548.73"/>
    <n v="993645.81"/>
    <n v="1426197.37"/>
    <n v="0.3227348035"/>
  </r>
  <r>
    <x v="37"/>
    <x v="37"/>
    <d v="2025-06-01T00:00:00"/>
    <s v="CES"/>
    <n v="3993980"/>
    <n v="0"/>
    <n v="271987.84999999998"/>
    <n v="1919991.94"/>
    <n v="2191979.79"/>
    <n v="0.54882092299999996"/>
  </r>
  <r>
    <x v="38"/>
    <x v="38"/>
    <d v="2025-06-01T00:00:00"/>
    <s v="CES"/>
    <n v="3473040"/>
    <n v="72799.899999999994"/>
    <n v="260245.77"/>
    <n v="2611695.83"/>
    <n v="2944741.5"/>
    <n v="0.84788585790000004"/>
  </r>
  <r>
    <x v="39"/>
    <x v="39"/>
    <d v="2025-06-01T00:00:00"/>
    <s v="CES"/>
    <n v="3417110"/>
    <n v="19215.759999999998"/>
    <n v="42990.39"/>
    <n v="556222.69999999995"/>
    <n v="618428.85"/>
    <n v="0.18098008260000001"/>
  </r>
  <r>
    <x v="40"/>
    <x v="40"/>
    <d v="2025-06-01T00:00:00"/>
    <s v="CES"/>
    <n v="3160240"/>
    <n v="80623.31"/>
    <n v="27699.77"/>
    <n v="690063.7"/>
    <n v="798386.78"/>
    <n v="0.25263485679999997"/>
  </r>
  <r>
    <x v="41"/>
    <x v="41"/>
    <d v="2025-06-01T00:00:00"/>
    <s v="CES"/>
    <n v="2912990"/>
    <n v="50026.84"/>
    <n v="178174.66"/>
    <n v="628149.46"/>
    <n v="856350.96"/>
    <n v="0.29397662200000002"/>
  </r>
  <r>
    <x v="42"/>
    <x v="42"/>
    <d v="2025-06-01T00:00:00"/>
    <s v="CES"/>
    <n v="2673740"/>
    <n v="14008.96"/>
    <n v="14667.82"/>
    <n v="216277.26"/>
    <n v="244954.04"/>
    <n v="9.1614756859999993E-2"/>
  </r>
  <r>
    <x v="43"/>
    <x v="43"/>
    <d v="2025-06-01T00:00:00"/>
    <s v="CES"/>
    <n v="2419120"/>
    <n v="38438.01"/>
    <n v="11775.96"/>
    <n v="299888.96000000002"/>
    <n v="350102.93"/>
    <n v="0.14472325890000001"/>
  </r>
  <r>
    <x v="44"/>
    <x v="44"/>
    <d v="2025-06-01T00:00:00"/>
    <s v="CES"/>
    <n v="2263540"/>
    <n v="7946.93"/>
    <n v="-11587.91"/>
    <n v="402016.06"/>
    <n v="398375.08"/>
    <n v="0.17599648339999999"/>
  </r>
  <r>
    <x v="45"/>
    <x v="45"/>
    <d v="2025-06-01T00:00:00"/>
    <s v="CES"/>
    <n v="1429260"/>
    <n v="38324.58"/>
    <n v="-14502.95"/>
    <n v="514019.61"/>
    <n v="537841.24"/>
    <n v="0.37630748780000001"/>
  </r>
  <r>
    <x v="46"/>
    <x v="46"/>
    <d v="2025-06-01T00:00:00"/>
    <s v="CES"/>
    <n v="1276870"/>
    <n v="69362.19"/>
    <n v="45912.45"/>
    <n v="414143.4"/>
    <n v="529418.04"/>
    <n v="0.41462172339999998"/>
  </r>
  <r>
    <x v="47"/>
    <x v="47"/>
    <d v="2025-06-01T00:00:00"/>
    <s v="CES"/>
    <n v="1066000"/>
    <n v="110246.13"/>
    <n v="21883.94"/>
    <n v="574692.67000000004"/>
    <n v="706822.74"/>
    <n v="0.66306073170000002"/>
  </r>
  <r>
    <x v="48"/>
    <x v="48"/>
    <d v="2025-06-01T00:00:00"/>
    <s v="CES"/>
    <n v="886950"/>
    <n v="2000"/>
    <n v="39355.21"/>
    <n v="426201.09"/>
    <n v="467556.3"/>
    <n v="0.52715068490000005"/>
  </r>
  <r>
    <x v="49"/>
    <x v="49"/>
    <d v="2025-06-01T00:00:00"/>
    <s v="CES"/>
    <n v="788870"/>
    <n v="23096.3"/>
    <n v="8205.85"/>
    <n v="647832.75"/>
    <n v="679134.9"/>
    <n v="0.86089583839999995"/>
  </r>
  <r>
    <x v="50"/>
    <x v="50"/>
    <d v="2025-06-01T00:00:00"/>
    <s v="CES"/>
    <n v="348190"/>
    <n v="30401.71"/>
    <n v="65443.3"/>
    <n v="129820.67"/>
    <n v="225665.68"/>
    <n v="0.64811074410000002"/>
  </r>
  <r>
    <x v="51"/>
    <x v="51"/>
    <d v="2025-06-01T00:00:00"/>
    <s v="CES"/>
    <n v="155560"/>
    <n v="0"/>
    <n v="-53924.19"/>
    <n v="-119736.92"/>
    <n v="-173661.11"/>
    <n v="-1.1163609539999999"/>
  </r>
  <r>
    <x v="52"/>
    <x v="52"/>
    <d v="2025-06-01T00:00:00"/>
    <s v="CES"/>
    <n v="132170"/>
    <n v="0"/>
    <n v="-99240.35"/>
    <n v="-144335.34"/>
    <n v="-243575.69"/>
    <n v="-1.8428969509999999"/>
  </r>
  <r>
    <x v="53"/>
    <x v="53"/>
    <d v="2025-06-01T00:00:00"/>
    <s v="CES"/>
    <n v="124200"/>
    <n v="0"/>
    <n v="-39175.29"/>
    <n v="-97117.4"/>
    <n v="-136292.69"/>
    <n v="-1.0973646539999999"/>
  </r>
  <r>
    <x v="54"/>
    <x v="54"/>
    <d v="2025-06-01T00:00:00"/>
    <s v="CES"/>
    <n v="97860"/>
    <n v="0"/>
    <n v="-39578.86"/>
    <n v="-70322.14"/>
    <n v="-109901"/>
    <n v="-1.123043123"/>
  </r>
  <r>
    <x v="55"/>
    <x v="55"/>
    <d v="2025-06-01T00:00:00"/>
    <s v="CES"/>
    <n v="43180"/>
    <n v="0"/>
    <n v="-10580"/>
    <n v="-47344.14"/>
    <n v="-57924.14"/>
    <n v="-1.341457619"/>
  </r>
  <r>
    <x v="56"/>
    <x v="56"/>
    <d v="2025-06-01T00:00:00"/>
    <s v="CES"/>
    <n v="37240"/>
    <n v="0"/>
    <n v="-7016.44"/>
    <n v="-36438.19"/>
    <n v="-43454.63"/>
    <n v="-1.166880505"/>
  </r>
  <r>
    <x v="57"/>
    <x v="57"/>
    <d v="2025-06-01T00:00:00"/>
    <s v="CES"/>
    <n v="23840"/>
    <n v="0"/>
    <n v="-6042.86"/>
    <n v="-21492.86"/>
    <n v="-27535.72"/>
    <n v="-1.155021812"/>
  </r>
  <r>
    <x v="58"/>
    <x v="58"/>
    <d v="2025-06-01T00:00:00"/>
    <s v="CES"/>
    <n v="23600"/>
    <n v="0"/>
    <n v="-1950"/>
    <n v="-18874.599999999999"/>
    <n v="-20824.599999999999"/>
    <n v="-0.88239830509999995"/>
  </r>
  <r>
    <x v="59"/>
    <x v="59"/>
    <d v="2025-06-01T00:00:00"/>
    <s v="CES"/>
    <n v="21500"/>
    <n v="0"/>
    <n v="-39302.61"/>
    <n v="21630.04"/>
    <n v="-17672.57"/>
    <n v="-0.82198000000000004"/>
  </r>
  <r>
    <x v="60"/>
    <x v="60"/>
    <d v="2025-06-01T00:00:00"/>
    <s v="CES"/>
    <n v="17800"/>
    <n v="0"/>
    <n v="-30450"/>
    <n v="10450"/>
    <n v="-20000"/>
    <n v="-1.123595506"/>
  </r>
  <r>
    <x v="61"/>
    <x v="61"/>
    <d v="2025-06-01T00:00:00"/>
    <s v="CES"/>
    <n v="8900"/>
    <n v="0"/>
    <n v="-890"/>
    <n v="-8130"/>
    <n v="-9020"/>
    <n v="-1.013483146"/>
  </r>
  <r>
    <x v="62"/>
    <x v="62"/>
    <d v="2025-06-01T00:00:00"/>
    <s v="CES"/>
    <n v="5500"/>
    <n v="0"/>
    <n v="0"/>
    <n v="-5500"/>
    <n v="-5500"/>
    <n v="-1"/>
  </r>
  <r>
    <x v="63"/>
    <x v="63"/>
    <d v="2025-06-01T00:00:00"/>
    <s v="CES"/>
    <n v="4500"/>
    <n v="0"/>
    <n v="-12695.9"/>
    <n v="8311.52"/>
    <n v="-4384.38"/>
    <n v="-0.97430666669999999"/>
  </r>
  <r>
    <x v="64"/>
    <x v="64"/>
    <d v="2025-06-01T00:00:00"/>
    <s v="CES"/>
    <n v="3980"/>
    <n v="0"/>
    <n v="0"/>
    <n v="-3980"/>
    <n v="-3980"/>
    <n v="-1"/>
  </r>
  <r>
    <x v="65"/>
    <x v="65"/>
    <d v="2025-06-01T00:00:00"/>
    <s v="CES"/>
    <n v="2700"/>
    <n v="0"/>
    <n v="-5250"/>
    <n v="-10500"/>
    <n v="-15750"/>
    <n v="-5.8333333329999997"/>
  </r>
  <r>
    <x v="66"/>
    <x v="66"/>
    <d v="2025-06-01T00:00:00"/>
    <s v="CES"/>
    <n v="1200"/>
    <n v="0"/>
    <n v="0"/>
    <n v="-1200"/>
    <n v="-1200"/>
    <n v="-1"/>
  </r>
  <r>
    <x v="24"/>
    <x v="24"/>
    <d v="2025-06-01T00:00:00"/>
    <s v="APS"/>
    <n v="0"/>
    <n v="93499.199999999997"/>
    <n v="0"/>
    <n v="120590.39999999999"/>
    <n v="214089.60000000001"/>
    <s v="-"/>
  </r>
  <r>
    <x v="67"/>
    <x v="67"/>
    <d v="2025-06-01T00:00:00"/>
    <s v="CES"/>
    <n v="0"/>
    <n v="65641.48"/>
    <n v="-159977.65"/>
    <n v="192060.75"/>
    <n v="97724.58"/>
    <s v="-"/>
  </r>
  <r>
    <x v="4"/>
    <x v="4"/>
    <d v="2025-06-01T00:00:00"/>
    <s v="APS"/>
    <n v="0"/>
    <n v="55200"/>
    <n v="58542.96"/>
    <n v="0"/>
    <n v="113742.96"/>
    <s v="-"/>
  </r>
  <r>
    <x v="11"/>
    <x v="11"/>
    <d v="2025-06-01T00:00:00"/>
    <s v="APS"/>
    <n v="0"/>
    <n v="31497"/>
    <n v="50026.8"/>
    <n v="38953.26"/>
    <n v="120477.06"/>
    <s v="-"/>
  </r>
  <r>
    <x v="22"/>
    <x v="22"/>
    <d v="2025-06-01T00:00:00"/>
    <s v="APS"/>
    <n v="0"/>
    <n v="31367.09"/>
    <n v="-28442.3"/>
    <n v="90213.08"/>
    <n v="93137.87"/>
    <s v="-"/>
  </r>
  <r>
    <x v="15"/>
    <x v="15"/>
    <d v="2025-06-01T00:00:00"/>
    <s v="APS"/>
    <n v="0"/>
    <n v="31013.7"/>
    <n v="0"/>
    <n v="1942.16"/>
    <n v="32955.86"/>
    <s v="-"/>
  </r>
  <r>
    <x v="6"/>
    <x v="6"/>
    <d v="2025-06-01T00:00:00"/>
    <s v="APS"/>
    <n v="0"/>
    <n v="27734.94"/>
    <n v="-50969.72"/>
    <n v="4798.92"/>
    <n v="-18435.86"/>
    <s v="-"/>
  </r>
  <r>
    <x v="68"/>
    <x v="68"/>
    <d v="2025-06-01T00:00:00"/>
    <s v="CES"/>
    <n v="0"/>
    <n v="26365.38"/>
    <n v="0"/>
    <n v="0"/>
    <n v="26365.38"/>
    <s v="-"/>
  </r>
  <r>
    <x v="2"/>
    <x v="2"/>
    <d v="2025-06-01T00:00:00"/>
    <s v="APS"/>
    <n v="0"/>
    <n v="21446.7"/>
    <n v="0"/>
    <n v="4285.17"/>
    <n v="25731.87"/>
    <s v="-"/>
  </r>
  <r>
    <x v="27"/>
    <x v="27"/>
    <d v="2025-06-01T00:00:00"/>
    <s v="APS"/>
    <n v="0"/>
    <n v="8411.08"/>
    <n v="46035.42"/>
    <n v="23118.89"/>
    <n v="77565.39"/>
    <s v="-"/>
  </r>
  <r>
    <x v="1"/>
    <x v="1"/>
    <d v="2025-06-01T00:00:00"/>
    <s v="APS"/>
    <n v="0"/>
    <n v="6750"/>
    <n v="-450"/>
    <n v="19361.97"/>
    <n v="25661.97"/>
    <s v="-"/>
  </r>
  <r>
    <x v="14"/>
    <x v="14"/>
    <d v="2025-06-01T00:00:00"/>
    <s v="APS"/>
    <n v="0"/>
    <n v="6574.95"/>
    <n v="0"/>
    <n v="10327.64"/>
    <n v="16902.59"/>
    <s v="-"/>
  </r>
  <r>
    <x v="9"/>
    <x v="9"/>
    <d v="2025-06-01T00:00:00"/>
    <s v="APS"/>
    <n v="0"/>
    <n v="5042.7"/>
    <n v="-37600"/>
    <n v="4880.1099999999997"/>
    <n v="-27677.19"/>
    <s v="-"/>
  </r>
  <r>
    <x v="69"/>
    <x v="69"/>
    <d v="2025-06-01T00:00:00"/>
    <s v="APS"/>
    <n v="0"/>
    <n v="3555.21"/>
    <n v="0"/>
    <n v="145814.96"/>
    <n v="149370.17000000001"/>
    <s v="-"/>
  </r>
  <r>
    <x v="70"/>
    <x v="70"/>
    <d v="2025-06-01T00:00:00"/>
    <s v="APS"/>
    <n v="0"/>
    <n v="2470.63"/>
    <n v="-8016.61"/>
    <n v="48032.49"/>
    <n v="42486.51"/>
    <s v="-"/>
  </r>
  <r>
    <x v="10"/>
    <x v="10"/>
    <d v="2025-06-01T00:00:00"/>
    <s v="APS"/>
    <n v="0"/>
    <n v="1399.79"/>
    <n v="0"/>
    <n v="5508.7"/>
    <n v="6908.49"/>
    <s v="-"/>
  </r>
  <r>
    <x v="3"/>
    <x v="3"/>
    <d v="2025-06-01T00:00:00"/>
    <s v="APS"/>
    <n v="0"/>
    <n v="997.18"/>
    <n v="-72000"/>
    <n v="2022.14"/>
    <n v="-68980.679999999993"/>
    <s v="-"/>
  </r>
  <r>
    <x v="6"/>
    <x v="6"/>
    <d v="2025-06-01T00:00:00"/>
    <s v="APS"/>
    <n v="0"/>
    <n v="0"/>
    <n v="0"/>
    <n v="27641.21"/>
    <n v="27641.21"/>
    <s v="-"/>
  </r>
  <r>
    <x v="44"/>
    <x v="44"/>
    <d v="2025-06-01T00:00:00"/>
    <s v="APS"/>
    <n v="0"/>
    <n v="0"/>
    <n v="0"/>
    <n v="10070.56"/>
    <n v="10070.56"/>
    <s v="-"/>
  </r>
  <r>
    <x v="0"/>
    <x v="0"/>
    <d v="2025-06-01T00:00:00"/>
    <s v="APS"/>
    <n v="0"/>
    <n v="0"/>
    <n v="-64406.64"/>
    <n v="11104.26"/>
    <n v="-53302.38"/>
    <s v="-"/>
  </r>
  <r>
    <x v="21"/>
    <x v="21"/>
    <d v="2025-06-01T00:00:00"/>
    <s v="APS"/>
    <n v="0"/>
    <n v="0"/>
    <n v="-50400"/>
    <n v="5987.7"/>
    <n v="-44412.3"/>
    <s v="-"/>
  </r>
  <r>
    <x v="71"/>
    <x v="71"/>
    <d v="2025-06-01T00:00:00"/>
    <s v="APS"/>
    <n v="0"/>
    <n v="0"/>
    <n v="-1590"/>
    <n v="1590"/>
    <n v="0"/>
    <s v="-"/>
  </r>
  <r>
    <x v="28"/>
    <x v="28"/>
    <d v="2025-06-01T00:00:00"/>
    <s v="APS"/>
    <n v="0"/>
    <n v="0"/>
    <n v="0"/>
    <n v="44596.87"/>
    <n v="44596.87"/>
    <s v="-"/>
  </r>
  <r>
    <x v="43"/>
    <x v="43"/>
    <d v="2025-06-01T00:00:00"/>
    <s v="APS"/>
    <n v="0"/>
    <n v="0"/>
    <n v="-19200"/>
    <n v="26430.67"/>
    <n v="7230.67"/>
    <s v="-"/>
  </r>
  <r>
    <x v="38"/>
    <x v="38"/>
    <d v="2025-06-01T00:00:00"/>
    <s v="APS"/>
    <n v="0"/>
    <n v="0"/>
    <n v="0"/>
    <n v="148049.68"/>
    <n v="148049.68"/>
    <s v="-"/>
  </r>
  <r>
    <x v="18"/>
    <x v="18"/>
    <d v="2025-06-01T00:00:00"/>
    <s v="APS"/>
    <n v="0"/>
    <n v="0"/>
    <n v="-73815.600000000006"/>
    <n v="3024.17"/>
    <n v="-70791.429999999993"/>
    <s v="-"/>
  </r>
  <r>
    <x v="52"/>
    <x v="52"/>
    <d v="2025-06-01T00:00:00"/>
    <s v="APS"/>
    <n v="0"/>
    <n v="0"/>
    <n v="-1560"/>
    <n v="1560"/>
    <n v="0"/>
    <s v="-"/>
  </r>
  <r>
    <x v="40"/>
    <x v="40"/>
    <d v="2025-06-01T00:00:00"/>
    <s v="APS"/>
    <n v="0"/>
    <n v="0"/>
    <n v="0"/>
    <n v="101345.63"/>
    <n v="101345.63"/>
    <s v="-"/>
  </r>
  <r>
    <x v="17"/>
    <x v="17"/>
    <d v="2025-06-01T00:00:00"/>
    <s v="APS"/>
    <n v="0"/>
    <n v="0"/>
    <n v="0"/>
    <n v="2931.9"/>
    <n v="2931.9"/>
    <s v="-"/>
  </r>
  <r>
    <x v="49"/>
    <x v="49"/>
    <d v="2025-06-01T00:00:00"/>
    <s v="APS"/>
    <n v="0"/>
    <n v="0"/>
    <n v="0"/>
    <n v="53655.64"/>
    <n v="53655.64"/>
    <s v="-"/>
  </r>
  <r>
    <x v="32"/>
    <x v="32"/>
    <d v="2025-06-01T00:00:00"/>
    <s v="APS"/>
    <n v="0"/>
    <n v="0"/>
    <n v="-14400"/>
    <n v="14400"/>
    <n v="0"/>
    <s v="-"/>
  </r>
  <r>
    <x v="72"/>
    <x v="72"/>
    <d v="2025-06-01T00:00:00"/>
    <s v="APS"/>
    <n v="0"/>
    <n v="0"/>
    <n v="0"/>
    <n v="70550.55"/>
    <n v="70550.55"/>
    <s v="-"/>
  </r>
  <r>
    <x v="29"/>
    <x v="29"/>
    <d v="2025-06-01T00:00:00"/>
    <s v="APS"/>
    <n v="0"/>
    <n v="0"/>
    <n v="0"/>
    <n v="1438.99"/>
    <n v="1438.99"/>
    <s v="-"/>
  </r>
  <r>
    <x v="39"/>
    <x v="39"/>
    <d v="2025-06-01T00:00:00"/>
    <s v="APS"/>
    <n v="0"/>
    <n v="0"/>
    <n v="-21600"/>
    <n v="4338.34"/>
    <n v="-17261.66"/>
    <s v="-"/>
  </r>
  <r>
    <x v="25"/>
    <x v="25"/>
    <d v="2025-06-01T00:00:00"/>
    <s v="APS"/>
    <n v="0"/>
    <n v="0"/>
    <n v="3067.05"/>
    <n v="80852.820000000007"/>
    <n v="83919.87"/>
    <s v="-"/>
  </r>
  <r>
    <x v="41"/>
    <x v="41"/>
    <d v="2025-06-01T00:00:00"/>
    <s v="APS"/>
    <n v="0"/>
    <n v="0"/>
    <n v="0"/>
    <n v="3067.74"/>
    <n v="3067.74"/>
    <s v="-"/>
  </r>
  <r>
    <x v="33"/>
    <x v="33"/>
    <d v="2025-06-01T00:00:00"/>
    <s v="APS"/>
    <n v="0"/>
    <n v="0"/>
    <n v="0"/>
    <n v="35562.410000000003"/>
    <n v="35562.410000000003"/>
    <s v="-"/>
  </r>
  <r>
    <x v="67"/>
    <x v="67"/>
    <d v="2025-06-01T00:00:00"/>
    <s v="APS"/>
    <n v="0"/>
    <n v="0"/>
    <n v="-47762.5"/>
    <n v="47762.5"/>
    <n v="0"/>
    <s v="-"/>
  </r>
  <r>
    <x v="51"/>
    <x v="51"/>
    <d v="2025-06-01T00:00:00"/>
    <s v="APS"/>
    <n v="0"/>
    <n v="0"/>
    <n v="-650"/>
    <n v="650"/>
    <n v="0"/>
    <s v="-"/>
  </r>
  <r>
    <x v="16"/>
    <x v="16"/>
    <d v="2025-06-01T00:00:00"/>
    <s v="APS"/>
    <n v="0"/>
    <n v="0"/>
    <n v="-3089.36"/>
    <n v="127933.73"/>
    <n v="124844.37"/>
    <s v="-"/>
  </r>
  <r>
    <x v="5"/>
    <x v="5"/>
    <d v="2025-06-01T00:00:00"/>
    <s v="APS"/>
    <n v="0"/>
    <n v="0"/>
    <n v="0"/>
    <n v="6497.53"/>
    <n v="6497.53"/>
    <s v="-"/>
  </r>
  <r>
    <x v="7"/>
    <x v="7"/>
    <d v="2025-06-01T00:00:00"/>
    <s v="APS"/>
    <n v="0"/>
    <n v="0"/>
    <n v="0"/>
    <n v="155327.91"/>
    <n v="155327.91"/>
    <s v="-"/>
  </r>
  <r>
    <x v="60"/>
    <x v="60"/>
    <d v="2025-06-01T00:00:00"/>
    <s v="APS"/>
    <n v="0"/>
    <n v="0"/>
    <n v="-5850"/>
    <n v="5850"/>
    <n v="0"/>
    <s v="-"/>
  </r>
  <r>
    <x v="19"/>
    <x v="19"/>
    <d v="2025-06-01T00:00:00"/>
    <s v="APS"/>
    <n v="0"/>
    <n v="0"/>
    <n v="0"/>
    <n v="6001.43"/>
    <n v="6001.43"/>
    <s v="-"/>
  </r>
  <r>
    <x v="73"/>
    <x v="73"/>
    <d v="2025-06-01T00:00:00"/>
    <s v="CES"/>
    <n v="0"/>
    <n v="0"/>
    <n v="-61045.760000000002"/>
    <n v="61045.760000000002"/>
    <n v="0"/>
    <s v="-"/>
  </r>
  <r>
    <x v="6"/>
    <x v="6"/>
    <d v="2025-06-01T00:00:00"/>
    <s v="CES"/>
    <n v="0"/>
    <n v="0"/>
    <n v="147661"/>
    <n v="225238.26"/>
    <n v="372899.26"/>
    <s v="-"/>
  </r>
  <r>
    <x v="71"/>
    <x v="71"/>
    <d v="2025-06-01T00:00:00"/>
    <s v="CES"/>
    <n v="0"/>
    <n v="0"/>
    <n v="-26635.94"/>
    <n v="26635.94"/>
    <n v="0"/>
    <s v="-"/>
  </r>
  <r>
    <x v="74"/>
    <x v="74"/>
    <d v="2025-06-01T00:00:00"/>
    <s v="CES"/>
    <n v="0"/>
    <n v="0"/>
    <n v="-8000"/>
    <n v="8000"/>
    <n v="0"/>
    <s v="-"/>
  </r>
  <r>
    <x v="75"/>
    <x v="75"/>
    <d v="2025-06-01T00:00:00"/>
    <s v="CES"/>
    <n v="0"/>
    <n v="0"/>
    <n v="-1594.29"/>
    <n v="1594.29"/>
    <n v="0"/>
    <s v="-"/>
  </r>
  <r>
    <x v="76"/>
    <x v="76"/>
    <d v="2025-06-01T00:00:00"/>
    <s v="CES"/>
    <n v="0"/>
    <n v="0"/>
    <n v="-219521.95"/>
    <n v="219521.95"/>
    <n v="0"/>
    <s v="-"/>
  </r>
  <r>
    <x v="77"/>
    <x v="77"/>
    <d v="2025-06-01T00:00:00"/>
    <s v="CES"/>
    <n v="0"/>
    <n v="0"/>
    <n v="-145522.32999999999"/>
    <n v="145522.32999999999"/>
    <n v="0"/>
    <s v="-"/>
  </r>
  <r>
    <x v="69"/>
    <x v="69"/>
    <d v="2025-06-01T00:00:00"/>
    <s v="CES"/>
    <n v="0"/>
    <n v="0"/>
    <n v="-40444.9"/>
    <n v="40444.9"/>
    <n v="0"/>
    <s v="-"/>
  </r>
  <r>
    <x v="78"/>
    <x v="78"/>
    <d v="2025-06-01T00:00:00"/>
    <s v="CES"/>
    <n v="0"/>
    <n v="0"/>
    <n v="-27575.32"/>
    <n v="27575.32"/>
    <n v="0"/>
    <s v="-"/>
  </r>
  <r>
    <x v="56"/>
    <x v="56"/>
    <d v="2025-06-01T00:00:00"/>
    <s v="APS"/>
    <n v="0"/>
    <n v="0"/>
    <n v="-1400"/>
    <n v="1400"/>
    <n v="0"/>
    <s v="-"/>
  </r>
  <r>
    <x v="36"/>
    <x v="36"/>
    <d v="2025-06-01T00:00:00"/>
    <s v="APS"/>
    <n v="0"/>
    <n v="0"/>
    <n v="0"/>
    <n v="19839.87"/>
    <n v="19839.87"/>
    <s v="-"/>
  </r>
  <r>
    <x v="54"/>
    <x v="54"/>
    <d v="2025-06-01T00:00:00"/>
    <s v="APS"/>
    <n v="0"/>
    <n v="0"/>
    <n v="-28750"/>
    <n v="28750"/>
    <n v="0"/>
    <s v="-"/>
  </r>
  <r>
    <x v="30"/>
    <x v="30"/>
    <d v="2025-06-01T00:00:00"/>
    <s v="APS"/>
    <n v="0"/>
    <n v="0"/>
    <n v="900"/>
    <n v="143394.32"/>
    <n v="144294.32"/>
    <s v="-"/>
  </r>
  <r>
    <x v="70"/>
    <x v="70"/>
    <d v="2025-06-01T00:00:00"/>
    <s v="CES"/>
    <n v="0"/>
    <n v="0"/>
    <n v="-19110.830000000002"/>
    <n v="19110.830000000002"/>
    <n v="0"/>
    <s v="-"/>
  </r>
  <r>
    <x v="79"/>
    <x v="79"/>
    <d v="2025-06-01T00:00:00"/>
    <s v="CES"/>
    <n v="0"/>
    <n v="0"/>
    <n v="-55703.39"/>
    <n v="55703.39"/>
    <n v="0"/>
    <s v="-"/>
  </r>
  <r>
    <x v="80"/>
    <x v="80"/>
    <d v="2025-06-01T00:00:00"/>
    <s v="CES"/>
    <n v="0"/>
    <n v="0"/>
    <n v="0"/>
    <n v="0"/>
    <n v="0"/>
    <s v="-"/>
  </r>
  <r>
    <x v="81"/>
    <x v="81"/>
    <d v="2025-06-01T00:00:00"/>
    <s v="CES"/>
    <n v="0"/>
    <n v="0"/>
    <n v="-63221.34"/>
    <n v="63221.34"/>
    <n v="0"/>
    <s v="-"/>
  </r>
  <r>
    <x v="82"/>
    <x v="82"/>
    <d v="2025-06-01T00:00:00"/>
    <s v="CES"/>
    <n v="0"/>
    <n v="0"/>
    <n v="-176711.4"/>
    <n v="176711.4"/>
    <n v="0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S01"/>
    <s v="GIRARDOT PANCHES"/>
    <n v="3"/>
    <s v="NO"/>
    <x v="0"/>
    <x v="0"/>
  </r>
  <r>
    <x v="0"/>
    <s v="T05"/>
    <s v="MELGAR"/>
    <n v="2"/>
    <s v="NO"/>
    <x v="0"/>
    <x v="0"/>
  </r>
  <r>
    <x v="0"/>
    <s v="T06"/>
    <s v="HONDA OBRERO"/>
    <n v="2"/>
    <s v="NO"/>
    <x v="0"/>
    <x v="0"/>
  </r>
  <r>
    <x v="0"/>
    <s v="T07"/>
    <s v="SALADO 1"/>
    <n v="2"/>
    <s v="NO"/>
    <x v="0"/>
    <x v="0"/>
  </r>
  <r>
    <x v="0"/>
    <s v="T09"/>
    <s v="CAJAMARCA"/>
    <n v="2"/>
    <s v="NO"/>
    <x v="0"/>
    <x v="0"/>
  </r>
  <r>
    <x v="0"/>
    <s v="T11"/>
    <s v="LIBANO 1"/>
    <n v="3"/>
    <s v="NO"/>
    <x v="0"/>
    <x v="0"/>
  </r>
  <r>
    <x v="0"/>
    <s v="T13"/>
    <s v="FLANDES TOLIMA"/>
    <n v="2"/>
    <s v="NO"/>
    <x v="0"/>
    <x v="0"/>
  </r>
  <r>
    <x v="0"/>
    <s v="T16"/>
    <s v="ORTEGA"/>
    <n v="2"/>
    <s v="NO"/>
    <x v="0"/>
    <x v="0"/>
  </r>
  <r>
    <x v="0"/>
    <s v="T17"/>
    <s v="CHAPARRAL"/>
    <n v="2"/>
    <s v="NO"/>
    <x v="0"/>
    <x v="0"/>
  </r>
  <r>
    <x v="0"/>
    <s v="T19"/>
    <s v="MARIQUITA 1"/>
    <n v="2"/>
    <s v="NO"/>
    <x v="0"/>
    <x v="0"/>
  </r>
  <r>
    <x v="0"/>
    <s v="T21"/>
    <s v="CARMEN DE APICALA"/>
    <n v="2"/>
    <s v="NO"/>
    <x v="0"/>
    <x v="0"/>
  </r>
  <r>
    <x v="0"/>
    <s v="T23"/>
    <s v="CHAPARRAL 2"/>
    <n v="2"/>
    <s v="NO"/>
    <x v="1"/>
    <x v="0"/>
  </r>
  <r>
    <x v="0"/>
    <s v="T27"/>
    <s v="EL CABRERO LA DORADA"/>
    <n v="3"/>
    <s v="NO"/>
    <x v="1"/>
    <x v="0"/>
  </r>
  <r>
    <x v="0"/>
    <s v="T29"/>
    <s v="ALVARADO"/>
    <n v="2"/>
    <s v="NO"/>
    <x v="0"/>
    <x v="0"/>
  </r>
  <r>
    <x v="0"/>
    <s v="T30"/>
    <s v="PLANADAS"/>
    <n v="2"/>
    <s v="NO"/>
    <x v="0"/>
    <x v="0"/>
  </r>
  <r>
    <x v="0"/>
    <s v="T31"/>
    <s v="TUNAL"/>
    <n v="2"/>
    <s v="NO"/>
    <x v="1"/>
    <x v="0"/>
  </r>
  <r>
    <x v="0"/>
    <s v="T33"/>
    <s v="IBAGUE LAS FERIAS"/>
    <n v="3"/>
    <s v="NO"/>
    <x v="0"/>
    <x v="0"/>
  </r>
  <r>
    <x v="0"/>
    <s v="T34"/>
    <s v="SANTA ISABEL"/>
    <n v="2"/>
    <s v="NO"/>
    <x v="0"/>
    <x v="0"/>
  </r>
  <r>
    <x v="0"/>
    <s v="T36"/>
    <s v="EL ESPINAL 4 Y GONGORA"/>
    <n v="3"/>
    <s v="NO"/>
    <x v="0"/>
    <x v="0"/>
  </r>
  <r>
    <x v="0"/>
    <s v="T37"/>
    <s v="INTERLAKEN"/>
    <n v="3"/>
    <s v="NO"/>
    <x v="1"/>
    <x v="0"/>
  </r>
  <r>
    <x v="0"/>
    <s v="T39"/>
    <s v="GUAMO 2"/>
    <n v="2"/>
    <s v="NO"/>
    <x v="0"/>
    <x v="0"/>
  </r>
  <r>
    <x v="0"/>
    <s v="T40"/>
    <s v="VILLAHERMOSA"/>
    <n v="3"/>
    <s v="NO"/>
    <x v="1"/>
    <x v="0"/>
  </r>
  <r>
    <x v="0"/>
    <s v="T41"/>
    <s v="PRADO"/>
    <n v="1"/>
    <s v="NO"/>
    <x v="1"/>
    <x v="0"/>
  </r>
  <r>
    <x v="0"/>
    <s v="T42"/>
    <s v="PALOCABILDO"/>
    <n v="2"/>
    <s v="NO"/>
    <x v="1"/>
    <x v="0"/>
  </r>
  <r>
    <x v="0"/>
    <s v="T43"/>
    <s v="FALAN"/>
    <n v="3"/>
    <s v="NO"/>
    <x v="1"/>
    <x v="0"/>
  </r>
  <r>
    <x v="0"/>
    <s v="T44"/>
    <s v="LA DORADA VILLA ESPERANZA"/>
    <n v="2"/>
    <s v="NO"/>
    <x v="1"/>
    <x v="0"/>
  </r>
  <r>
    <x v="0"/>
    <s v="T45"/>
    <s v="ATACO"/>
    <n v="2"/>
    <s v="NO"/>
    <x v="0"/>
    <x v="0"/>
  </r>
  <r>
    <x v="0"/>
    <s v="T46"/>
    <s v="PAYANDE"/>
    <n v="2"/>
    <s v="NO"/>
    <x v="0"/>
    <x v="0"/>
  </r>
  <r>
    <x v="0"/>
    <s v="T47"/>
    <s v="VILLA MARLEN"/>
    <n v="3"/>
    <s v="NO"/>
    <x v="0"/>
    <x v="0"/>
  </r>
  <r>
    <x v="0"/>
    <s v="T49"/>
    <s v="LA FRANCIA"/>
    <n v="3"/>
    <s v="NO"/>
    <x v="0"/>
    <x v="0"/>
  </r>
  <r>
    <x v="0"/>
    <s v="S02"/>
    <s v="RICAURTE CUNDINAMARCA"/>
    <n v="3"/>
    <s v="NO"/>
    <x v="0"/>
    <x v="1"/>
  </r>
  <r>
    <x v="0"/>
    <s v="T14"/>
    <s v="PURIFICACION"/>
    <n v="3"/>
    <s v="NO"/>
    <x v="0"/>
    <x v="1"/>
  </r>
  <r>
    <x v="0"/>
    <s v="T20"/>
    <s v="MARIQUITA 2"/>
    <n v="3"/>
    <s v="NO"/>
    <x v="0"/>
    <x v="1"/>
  </r>
  <r>
    <x v="0"/>
    <s v="T25"/>
    <s v="GAITAN IBAGUE"/>
    <n v="3"/>
    <s v="NO"/>
    <x v="0"/>
    <x v="1"/>
  </r>
  <r>
    <x v="0"/>
    <s v="T50"/>
    <s v="LEONES"/>
    <n v="3"/>
    <s v="NO"/>
    <x v="0"/>
    <x v="1"/>
  </r>
  <r>
    <x v="0"/>
    <s v="T02"/>
    <s v="IBAGUE LA POLA"/>
    <n v="3"/>
    <s v="NO"/>
    <x v="0"/>
    <x v="2"/>
  </r>
  <r>
    <x v="0"/>
    <s v="T15"/>
    <s v="IBAGUE LIMONAR"/>
    <n v="3"/>
    <s v="NO"/>
    <x v="0"/>
    <x v="2"/>
  </r>
  <r>
    <x v="0"/>
    <s v="T48"/>
    <s v="BELEN"/>
    <n v="4"/>
    <s v="NO"/>
    <x v="0"/>
    <x v="2"/>
  </r>
  <r>
    <x v="1"/>
    <s v="N06"/>
    <s v="CAMPO ALEGRE"/>
    <n v="2"/>
    <s v="NO"/>
    <x v="1"/>
    <x v="3"/>
  </r>
  <r>
    <x v="1"/>
    <s v="N11"/>
    <s v="BELLA VISTA"/>
    <n v="2"/>
    <s v="NO"/>
    <x v="2"/>
    <x v="3"/>
  </r>
  <r>
    <x v="1"/>
    <s v="N15"/>
    <s v="PITALITO 4"/>
    <n v="2"/>
    <s v="NO"/>
    <x v="1"/>
    <x v="3"/>
  </r>
  <r>
    <x v="1"/>
    <s v="N16"/>
    <s v="RIVERA"/>
    <n v="2"/>
    <s v="NO"/>
    <x v="0"/>
    <x v="3"/>
  </r>
  <r>
    <x v="1"/>
    <s v="N17"/>
    <s v="TERUEL"/>
    <n v="3"/>
    <s v="NO"/>
    <x v="1"/>
    <x v="3"/>
  </r>
  <r>
    <x v="1"/>
    <s v="N21"/>
    <s v="PAEZ LA PLATA"/>
    <n v="2"/>
    <s v="NO"/>
    <x v="1"/>
    <x v="3"/>
  </r>
  <r>
    <x v="1"/>
    <s v="N22"/>
    <s v="ISNOS"/>
    <n v="2"/>
    <s v="NO"/>
    <x v="0"/>
    <x v="3"/>
  </r>
  <r>
    <x v="1"/>
    <s v="N24"/>
    <s v="GARZON4"/>
    <n v="2"/>
    <s v="NO"/>
    <x v="0"/>
    <x v="3"/>
  </r>
  <r>
    <x v="1"/>
    <s v="N27"/>
    <s v="TARQUI"/>
    <n v="2"/>
    <s v="NO"/>
    <x v="0"/>
    <x v="3"/>
  </r>
  <r>
    <x v="1"/>
    <s v="N29"/>
    <s v="SALADOBLANCO"/>
    <n v="2"/>
    <s v="NO"/>
    <x v="1"/>
    <x v="3"/>
  </r>
  <r>
    <x v="1"/>
    <s v="N31"/>
    <s v="PAICOL"/>
    <n v="2"/>
    <s v="NO"/>
    <x v="1"/>
    <x v="3"/>
  </r>
  <r>
    <x v="1"/>
    <s v="N34"/>
    <s v="ALTAMIRA HUILA"/>
    <n v="2"/>
    <s v="NO"/>
    <x v="0"/>
    <x v="3"/>
  </r>
  <r>
    <x v="1"/>
    <s v="N35"/>
    <s v="BELEN DE LOS ANDAQUIES"/>
    <n v="2"/>
    <s v="NO"/>
    <x v="1"/>
    <x v="3"/>
  </r>
  <r>
    <x v="1"/>
    <s v="N37"/>
    <s v="QUIRINAL"/>
    <n v="5"/>
    <s v="NO"/>
    <x v="1"/>
    <x v="3"/>
  </r>
  <r>
    <x v="1"/>
    <s v="N39"/>
    <s v="PALERMO"/>
    <n v="3"/>
    <s v="NO"/>
    <x v="1"/>
    <x v="3"/>
  </r>
  <r>
    <x v="1"/>
    <s v="N41"/>
    <s v="TORRES DEL CAFE"/>
    <n v="3"/>
    <s v="NO"/>
    <x v="0"/>
    <x v="3"/>
  </r>
  <r>
    <x v="1"/>
    <s v="N01"/>
    <s v="PITALITO"/>
    <n v="2"/>
    <s v="NO"/>
    <x v="0"/>
    <x v="4"/>
  </r>
  <r>
    <x v="1"/>
    <s v="N10"/>
    <s v="BERDEZ"/>
    <n v="2"/>
    <s v="NO"/>
    <x v="1"/>
    <x v="4"/>
  </r>
  <r>
    <x v="1"/>
    <s v="N18"/>
    <s v="TELLO"/>
    <n v="3"/>
    <s v="NO"/>
    <x v="1"/>
    <x v="4"/>
  </r>
  <r>
    <x v="1"/>
    <s v="N20"/>
    <s v="YAGUARA"/>
    <n v="2"/>
    <s v="NO"/>
    <x v="1"/>
    <x v="4"/>
  </r>
  <r>
    <x v="1"/>
    <s v="N33"/>
    <s v="TESORO"/>
    <n v="2"/>
    <s v="NO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a dinámica 3" cacheId="12" applyNumberFormats="0" applyBorderFormats="0" applyFontFormats="0" applyPatternFormats="0" applyAlignmentFormats="0" applyWidthHeightFormats="0" dataCaption="" updatedVersion="8" compact="0" compactData="0">
  <location ref="A1:F10" firstHeaderRow="1" firstDataRow="2" firstDataCol="2"/>
  <pivotFields count="7">
    <pivotField name="Region" axis="axisRow" compact="0" outline="0" multipleItemSelectionAllowed="1" showAll="0" sortType="ascending">
      <items count="3">
        <item x="1"/>
        <item x="0"/>
        <item t="default"/>
      </items>
    </pivotField>
    <pivotField name="Tienda" compact="0" outline="0" multipleItemSelectionAllowed="1" showAll="0"/>
    <pivotField name="Nombre tienda" compact="0" outline="0" multipleItemSelectionAllowed="1" showAll="0"/>
    <pivotField name="N S E" compact="0" numFmtId="3" outline="0" multipleItemSelectionAllowed="1" showAll="0"/>
    <pivotField name="NEVERA AUTOCONTENIDA" compact="0" numFmtId="3" outline="0" multipleItemSelectionAllowed="1" showAll="0"/>
    <pivotField name="CANTIDAD MUEBLES FRUVER" axis="axisCol" dataField="1" compact="0" numFmtId="3" outline="0" multipleItemSelectionAllowed="1" showAll="0" sortType="ascending">
      <items count="4">
        <item x="1"/>
        <item x="0"/>
        <item x="2"/>
        <item t="default"/>
      </items>
    </pivotField>
    <pivotField name="TIPO DE PORTAFOLIO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</pivotFields>
  <rowFields count="2">
    <field x="0"/>
    <field x="6"/>
  </rowFields>
  <rowItems count="8">
    <i>
      <x/>
      <x v="3"/>
    </i>
    <i r="1">
      <x v="4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A of CANTIDAD MUEBLES FRUVER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la datos" cacheId="6" applyNumberFormats="0" applyBorderFormats="0" applyFontFormats="0" applyPatternFormats="0" applyAlignmentFormats="0" applyWidthHeightFormats="0" dataCaption="" updatedVersion="8" compact="0" compactData="0">
  <location ref="A1:D86" firstHeaderRow="1" firstDataRow="2" firstDataCol="2"/>
  <pivotFields count="10">
    <pivotField name="item" axis="axisRow" compact="0" outline="0" multipleItemSelectionAllowed="1" showAll="0" sortType="ascending" defaultSubtotal="0">
      <items count="83">
        <item x="73"/>
        <item x="8"/>
        <item x="0"/>
        <item x="21"/>
        <item x="75"/>
        <item x="76"/>
        <item x="9"/>
        <item x="80"/>
        <item x="13"/>
        <item x="11"/>
        <item x="82"/>
        <item x="59"/>
        <item x="35"/>
        <item x="30"/>
        <item x="79"/>
        <item x="81"/>
        <item x="70"/>
        <item x="63"/>
        <item x="72"/>
        <item x="71"/>
        <item x="37"/>
        <item x="26"/>
        <item x="6"/>
        <item x="69"/>
        <item x="78"/>
        <item x="24"/>
        <item x="74"/>
        <item x="45"/>
        <item x="33"/>
        <item x="38"/>
        <item x="16"/>
        <item x="41"/>
        <item x="1"/>
        <item x="5"/>
        <item x="51"/>
        <item x="52"/>
        <item x="3"/>
        <item x="7"/>
        <item x="10"/>
        <item x="34"/>
        <item x="60"/>
        <item x="55"/>
        <item x="14"/>
        <item x="17"/>
        <item x="77"/>
        <item x="46"/>
        <item x="47"/>
        <item x="48"/>
        <item x="43"/>
        <item x="23"/>
        <item x="18"/>
        <item x="40"/>
        <item x="50"/>
        <item x="32"/>
        <item x="22"/>
        <item x="25"/>
        <item x="42"/>
        <item x="49"/>
        <item x="68"/>
        <item x="44"/>
        <item x="29"/>
        <item x="27"/>
        <item x="39"/>
        <item x="20"/>
        <item x="28"/>
        <item x="67"/>
        <item x="2"/>
        <item x="4"/>
        <item x="15"/>
        <item x="19"/>
        <item x="56"/>
        <item x="58"/>
        <item x="57"/>
        <item x="54"/>
        <item x="53"/>
        <item x="12"/>
        <item x="36"/>
        <item x="31"/>
        <item x="66"/>
        <item x="61"/>
        <item x="62"/>
        <item x="64"/>
        <item x="65"/>
      </items>
    </pivotField>
    <pivotField name="descripicion_item" axis="axisRow" compact="0" outline="0" multipleItemSelectionAllowed="1" showAll="0" sortType="ascending">
      <items count="84">
        <item x="73"/>
        <item x="3"/>
        <item x="6"/>
        <item x="44"/>
        <item x="8"/>
        <item x="46"/>
        <item x="0"/>
        <item x="63"/>
        <item x="1"/>
        <item x="47"/>
        <item x="21"/>
        <item x="56"/>
        <item x="71"/>
        <item x="28"/>
        <item x="35"/>
        <item x="58"/>
        <item x="48"/>
        <item x="31"/>
        <item x="65"/>
        <item x="43"/>
        <item x="37"/>
        <item x="26"/>
        <item x="38"/>
        <item x="23"/>
        <item x="66"/>
        <item x="18"/>
        <item x="24"/>
        <item x="74"/>
        <item x="75"/>
        <item x="70"/>
        <item x="52"/>
        <item x="15"/>
        <item x="40"/>
        <item x="61"/>
        <item x="50"/>
        <item x="36"/>
        <item x="57"/>
        <item x="22"/>
        <item x="14"/>
        <item x="2"/>
        <item x="79"/>
        <item x="76"/>
        <item x="4"/>
        <item x="17"/>
        <item x="49"/>
        <item x="64"/>
        <item x="20"/>
        <item x="32"/>
        <item x="54"/>
        <item x="72"/>
        <item x="77"/>
        <item x="9"/>
        <item x="27"/>
        <item x="53"/>
        <item x="69"/>
        <item x="12"/>
        <item x="34"/>
        <item x="80"/>
        <item x="81"/>
        <item x="29"/>
        <item x="78"/>
        <item x="39"/>
        <item x="55"/>
        <item x="30"/>
        <item x="13"/>
        <item x="10"/>
        <item x="45"/>
        <item x="25"/>
        <item x="41"/>
        <item x="33"/>
        <item x="67"/>
        <item x="11"/>
        <item x="51"/>
        <item x="82"/>
        <item x="62"/>
        <item x="16"/>
        <item x="42"/>
        <item x="5"/>
        <item x="7"/>
        <item x="59"/>
        <item x="60"/>
        <item x="19"/>
        <item x="68"/>
        <item t="default"/>
      </items>
    </pivotField>
    <pivotField name="fecha (Año y mes)" compact="0" numFmtId="164" outline="0" multipleItemSelectionAllowed="1" showAll="0"/>
    <pivotField name="cedi" compact="0" outline="0" multipleItemSelectionAllowed="1" showAll="0"/>
    <pivotField name="Venta $" dataField="1" compact="0" numFmtId="165" outline="0" multipleItemSelectionAllowed="1" showAll="0"/>
    <pivotField name="M_Conocida" compact="0" outline="0" multipleItemSelectionAllowed="1" showAll="0"/>
    <pivotField name="M_Desconocida" compact="0" outline="0" multipleItemSelectionAllowed="1" showAll="0"/>
    <pivotField name="M_Desperdicio" compact="0" outline="0" multipleItemSelectionAllowed="1" showAll="0"/>
    <pivotField name="Merma Total" dataField="1" compact="0" outline="0" multipleItemSelectionAllowed="1" showAll="0"/>
    <pivotField name="merma total2" compact="0" outline="0" multipleItemSelectionAllowed="1" showAll="0"/>
  </pivotFields>
  <rowFields count="2">
    <field x="0"/>
    <field x="1"/>
  </rowFields>
  <rowItems count="84">
    <i>
      <x/>
      <x/>
    </i>
    <i>
      <x v="1"/>
      <x v="4"/>
    </i>
    <i>
      <x v="2"/>
      <x v="6"/>
    </i>
    <i>
      <x v="3"/>
      <x v="10"/>
    </i>
    <i>
      <x v="4"/>
      <x v="28"/>
    </i>
    <i>
      <x v="5"/>
      <x v="41"/>
    </i>
    <i>
      <x v="6"/>
      <x v="51"/>
    </i>
    <i>
      <x v="7"/>
      <x v="57"/>
    </i>
    <i>
      <x v="8"/>
      <x v="64"/>
    </i>
    <i>
      <x v="9"/>
      <x v="71"/>
    </i>
    <i>
      <x v="10"/>
      <x v="73"/>
    </i>
    <i>
      <x v="11"/>
      <x v="79"/>
    </i>
    <i>
      <x v="12"/>
      <x v="14"/>
    </i>
    <i>
      <x v="13"/>
      <x v="63"/>
    </i>
    <i>
      <x v="14"/>
      <x v="40"/>
    </i>
    <i>
      <x v="15"/>
      <x v="58"/>
    </i>
    <i>
      <x v="16"/>
      <x v="29"/>
    </i>
    <i>
      <x v="17"/>
      <x v="7"/>
    </i>
    <i>
      <x v="18"/>
      <x v="49"/>
    </i>
    <i>
      <x v="19"/>
      <x v="12"/>
    </i>
    <i>
      <x v="20"/>
      <x v="20"/>
    </i>
    <i>
      <x v="21"/>
      <x v="21"/>
    </i>
    <i>
      <x v="22"/>
      <x v="2"/>
    </i>
    <i>
      <x v="23"/>
      <x v="54"/>
    </i>
    <i>
      <x v="24"/>
      <x v="60"/>
    </i>
    <i>
      <x v="25"/>
      <x v="26"/>
    </i>
    <i>
      <x v="26"/>
      <x v="27"/>
    </i>
    <i>
      <x v="27"/>
      <x v="66"/>
    </i>
    <i>
      <x v="28"/>
      <x v="69"/>
    </i>
    <i>
      <x v="29"/>
      <x v="22"/>
    </i>
    <i>
      <x v="30"/>
      <x v="75"/>
    </i>
    <i>
      <x v="31"/>
      <x v="68"/>
    </i>
    <i>
      <x v="32"/>
      <x v="8"/>
    </i>
    <i>
      <x v="33"/>
      <x v="77"/>
    </i>
    <i>
      <x v="34"/>
      <x v="72"/>
    </i>
    <i>
      <x v="35"/>
      <x v="30"/>
    </i>
    <i>
      <x v="36"/>
      <x v="1"/>
    </i>
    <i>
      <x v="37"/>
      <x v="78"/>
    </i>
    <i>
      <x v="38"/>
      <x v="65"/>
    </i>
    <i>
      <x v="39"/>
      <x v="56"/>
    </i>
    <i>
      <x v="40"/>
      <x v="80"/>
    </i>
    <i>
      <x v="41"/>
      <x v="62"/>
    </i>
    <i>
      <x v="42"/>
      <x v="38"/>
    </i>
    <i>
      <x v="43"/>
      <x v="43"/>
    </i>
    <i>
      <x v="44"/>
      <x v="50"/>
    </i>
    <i>
      <x v="45"/>
      <x v="5"/>
    </i>
    <i>
      <x v="46"/>
      <x v="9"/>
    </i>
    <i>
      <x v="47"/>
      <x v="16"/>
    </i>
    <i>
      <x v="48"/>
      <x v="19"/>
    </i>
    <i>
      <x v="49"/>
      <x v="23"/>
    </i>
    <i>
      <x v="50"/>
      <x v="25"/>
    </i>
    <i>
      <x v="51"/>
      <x v="32"/>
    </i>
    <i>
      <x v="52"/>
      <x v="34"/>
    </i>
    <i>
      <x v="53"/>
      <x v="47"/>
    </i>
    <i>
      <x v="54"/>
      <x v="37"/>
    </i>
    <i>
      <x v="55"/>
      <x v="67"/>
    </i>
    <i>
      <x v="56"/>
      <x v="76"/>
    </i>
    <i>
      <x v="57"/>
      <x v="44"/>
    </i>
    <i>
      <x v="58"/>
      <x v="82"/>
    </i>
    <i>
      <x v="59"/>
      <x v="3"/>
    </i>
    <i>
      <x v="60"/>
      <x v="59"/>
    </i>
    <i>
      <x v="61"/>
      <x v="52"/>
    </i>
    <i>
      <x v="62"/>
      <x v="61"/>
    </i>
    <i>
      <x v="63"/>
      <x v="46"/>
    </i>
    <i>
      <x v="64"/>
      <x v="13"/>
    </i>
    <i>
      <x v="65"/>
      <x v="70"/>
    </i>
    <i>
      <x v="66"/>
      <x v="39"/>
    </i>
    <i>
      <x v="67"/>
      <x v="42"/>
    </i>
    <i>
      <x v="68"/>
      <x v="31"/>
    </i>
    <i>
      <x v="69"/>
      <x v="81"/>
    </i>
    <i>
      <x v="70"/>
      <x v="11"/>
    </i>
    <i>
      <x v="71"/>
      <x v="15"/>
    </i>
    <i>
      <x v="72"/>
      <x v="36"/>
    </i>
    <i>
      <x v="73"/>
      <x v="48"/>
    </i>
    <i>
      <x v="74"/>
      <x v="53"/>
    </i>
    <i>
      <x v="75"/>
      <x v="55"/>
    </i>
    <i>
      <x v="76"/>
      <x v="35"/>
    </i>
    <i>
      <x v="77"/>
      <x v="17"/>
    </i>
    <i>
      <x v="78"/>
      <x v="24"/>
    </i>
    <i>
      <x v="79"/>
      <x v="33"/>
    </i>
    <i>
      <x v="80"/>
      <x v="74"/>
    </i>
    <i>
      <x v="81"/>
      <x v="45"/>
    </i>
    <i>
      <x v="82"/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enta $" fld="4" baseField="0"/>
    <dataField name="SUM of Merma Total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E1007"/>
  <sheetViews>
    <sheetView tabSelected="1" workbookViewId="0">
      <pane xSplit="13" topLeftCell="N1" activePane="topRight" state="frozen"/>
      <selection pane="topRight" activeCell="A10" sqref="A10"/>
    </sheetView>
  </sheetViews>
  <sheetFormatPr baseColWidth="10" defaultColWidth="12.5703125" defaultRowHeight="15.75" customHeight="1" x14ac:dyDescent="0.2"/>
  <cols>
    <col min="1" max="1" width="5" customWidth="1"/>
    <col min="2" max="2" width="24.140625" customWidth="1"/>
    <col min="3" max="3" width="11.140625" customWidth="1"/>
    <col min="4" max="5" width="9.85546875" customWidth="1"/>
    <col min="6" max="8" width="9.85546875" hidden="1" customWidth="1"/>
    <col min="9" max="9" width="8.5703125" customWidth="1"/>
    <col min="10" max="10" width="9" customWidth="1"/>
    <col min="11" max="11" width="6.5703125" customWidth="1"/>
    <col min="12" max="12" width="6.42578125" customWidth="1"/>
    <col min="13" max="13" width="8.5703125" customWidth="1"/>
    <col min="14" max="109" width="8.42578125" customWidth="1"/>
  </cols>
  <sheetData>
    <row r="1" spans="1:109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0</v>
      </c>
      <c r="N1" s="4" t="e">
        <f>VLOOKUP(N2,#REF!,4,0)</f>
        <v>#REF!</v>
      </c>
      <c r="O1" s="4" t="e">
        <f>VLOOKUP(O2,#REF!,4,0)</f>
        <v>#REF!</v>
      </c>
      <c r="P1" s="4" t="e">
        <f>VLOOKUP(P2,#REF!,4,0)</f>
        <v>#REF!</v>
      </c>
      <c r="Q1" s="4" t="e">
        <f>VLOOKUP(Q2,#REF!,4,0)</f>
        <v>#REF!</v>
      </c>
      <c r="R1" s="4" t="e">
        <f>VLOOKUP(R2,#REF!,4,0)</f>
        <v>#REF!</v>
      </c>
      <c r="S1" s="4" t="e">
        <f>VLOOKUP(S2,#REF!,4,0)</f>
        <v>#REF!</v>
      </c>
      <c r="T1" s="4" t="e">
        <f>VLOOKUP(T2,#REF!,4,0)</f>
        <v>#REF!</v>
      </c>
      <c r="U1" s="4" t="e">
        <f>VLOOKUP(U2,#REF!,4,0)</f>
        <v>#REF!</v>
      </c>
      <c r="V1" s="4" t="e">
        <f>VLOOKUP(V2,#REF!,4,0)</f>
        <v>#REF!</v>
      </c>
      <c r="W1" s="4" t="e">
        <f>VLOOKUP(W2,#REF!,4,0)</f>
        <v>#REF!</v>
      </c>
      <c r="X1" s="4" t="e">
        <f>VLOOKUP(X2,#REF!,4,0)</f>
        <v>#REF!</v>
      </c>
      <c r="Y1" s="4" t="e">
        <f>VLOOKUP(Y2,#REF!,4,0)</f>
        <v>#REF!</v>
      </c>
      <c r="Z1" s="4" t="e">
        <f>VLOOKUP(Z2,#REF!,4,0)</f>
        <v>#REF!</v>
      </c>
      <c r="AA1" s="4" t="e">
        <f>VLOOKUP(AA2,#REF!,4,0)</f>
        <v>#REF!</v>
      </c>
      <c r="AB1" s="4" t="e">
        <f>VLOOKUP(AB2,#REF!,4,0)</f>
        <v>#REF!</v>
      </c>
      <c r="AC1" s="4" t="e">
        <f>VLOOKUP(AC2,#REF!,4,0)</f>
        <v>#REF!</v>
      </c>
      <c r="AD1" s="4" t="e">
        <f>VLOOKUP(AD2,#REF!,4,0)</f>
        <v>#REF!</v>
      </c>
      <c r="AE1" s="4" t="e">
        <f>VLOOKUP(AE2,#REF!,4,0)</f>
        <v>#REF!</v>
      </c>
      <c r="AF1" s="4" t="e">
        <f>VLOOKUP(AF2,#REF!,4,0)</f>
        <v>#REF!</v>
      </c>
      <c r="AG1" s="4" t="e">
        <f>VLOOKUP(AG2,#REF!,4,0)</f>
        <v>#REF!</v>
      </c>
      <c r="AH1" s="4" t="e">
        <f>VLOOKUP(AH2,#REF!,4,0)</f>
        <v>#REF!</v>
      </c>
      <c r="AI1" s="4" t="e">
        <f>VLOOKUP(AI2,#REF!,4,0)</f>
        <v>#REF!</v>
      </c>
      <c r="AJ1" s="4" t="e">
        <f>VLOOKUP(AJ2,#REF!,4,0)</f>
        <v>#REF!</v>
      </c>
      <c r="AK1" s="4" t="e">
        <f>VLOOKUP(AK2,#REF!,4,0)</f>
        <v>#REF!</v>
      </c>
      <c r="AL1" s="4" t="e">
        <f>VLOOKUP(AL2,#REF!,4,0)</f>
        <v>#REF!</v>
      </c>
      <c r="AM1" s="4" t="e">
        <f>VLOOKUP(AM2,#REF!,4,0)</f>
        <v>#REF!</v>
      </c>
      <c r="AN1" s="4" t="e">
        <f>VLOOKUP(AN2,#REF!,4,0)</f>
        <v>#REF!</v>
      </c>
      <c r="AO1" s="4" t="e">
        <f>VLOOKUP(AO2,#REF!,4,0)</f>
        <v>#REF!</v>
      </c>
      <c r="AP1" s="4" t="e">
        <f>VLOOKUP(AP2,#REF!,4,0)</f>
        <v>#REF!</v>
      </c>
      <c r="AQ1" s="4" t="e">
        <f>VLOOKUP(AQ2,#REF!,4,0)</f>
        <v>#REF!</v>
      </c>
      <c r="AR1" s="5" t="e">
        <f>VLOOKUP(AR2,#REF!,4,0)</f>
        <v>#REF!</v>
      </c>
      <c r="AS1" s="5" t="e">
        <f>VLOOKUP(AS2,#REF!,4,0)</f>
        <v>#REF!</v>
      </c>
      <c r="AT1" s="5" t="e">
        <f>VLOOKUP(AT2,#REF!,4,0)</f>
        <v>#REF!</v>
      </c>
      <c r="AU1" s="5" t="e">
        <f>VLOOKUP(AU2,#REF!,4,0)</f>
        <v>#REF!</v>
      </c>
      <c r="AV1" s="5" t="e">
        <f>VLOOKUP(AV2,#REF!,4,0)</f>
        <v>#REF!</v>
      </c>
      <c r="AW1" s="5" t="e">
        <f>VLOOKUP(AW2,#REF!,4,0)</f>
        <v>#REF!</v>
      </c>
      <c r="AX1" s="5" t="e">
        <f>VLOOKUP(AX2,#REF!,4,0)</f>
        <v>#REF!</v>
      </c>
      <c r="AY1" s="5" t="e">
        <f>VLOOKUP(AY2,#REF!,4,0)</f>
        <v>#REF!</v>
      </c>
      <c r="AZ1" s="5" t="e">
        <f>VLOOKUP(AZ2,#REF!,4,0)</f>
        <v>#REF!</v>
      </c>
      <c r="BA1" s="5" t="e">
        <f>VLOOKUP(BA2,#REF!,4,0)</f>
        <v>#REF!</v>
      </c>
      <c r="BB1" s="5" t="e">
        <f>VLOOKUP(BB2,#REF!,4,0)</f>
        <v>#REF!</v>
      </c>
      <c r="BC1" s="5" t="e">
        <f>VLOOKUP(BC2,#REF!,4,0)</f>
        <v>#REF!</v>
      </c>
      <c r="BD1" s="5" t="e">
        <f>VLOOKUP(BD2,#REF!,4,0)</f>
        <v>#REF!</v>
      </c>
      <c r="BE1" s="5" t="e">
        <f>VLOOKUP(BE2,#REF!,4,0)</f>
        <v>#REF!</v>
      </c>
      <c r="BF1" s="5" t="e">
        <f>VLOOKUP(BF2,#REF!,4,0)</f>
        <v>#REF!</v>
      </c>
      <c r="BG1" s="5" t="e">
        <f>VLOOKUP(BG2,#REF!,4,0)</f>
        <v>#REF!</v>
      </c>
      <c r="BH1" s="5" t="e">
        <f>VLOOKUP(BH2,#REF!,4,0)</f>
        <v>#REF!</v>
      </c>
      <c r="BI1" s="5" t="e">
        <f>VLOOKUP(BI2,#REF!,4,0)</f>
        <v>#REF!</v>
      </c>
      <c r="BJ1" s="5" t="e">
        <f>VLOOKUP(BJ2,#REF!,4,0)</f>
        <v>#REF!</v>
      </c>
      <c r="BK1" s="5" t="e">
        <f>VLOOKUP(BK2,#REF!,4,0)</f>
        <v>#REF!</v>
      </c>
      <c r="BL1" s="5" t="e">
        <f>VLOOKUP(BL2,#REF!,4,0)</f>
        <v>#REF!</v>
      </c>
      <c r="BM1" s="5" t="e">
        <f>VLOOKUP(BM2,#REF!,4,0)</f>
        <v>#REF!</v>
      </c>
      <c r="BN1" s="5" t="e">
        <f>VLOOKUP(BN2,#REF!,4,0)</f>
        <v>#REF!</v>
      </c>
      <c r="BO1" s="5" t="e">
        <f>VLOOKUP(BO2,#REF!,4,0)</f>
        <v>#REF!</v>
      </c>
      <c r="BP1" s="5" t="e">
        <f>VLOOKUP(BP2,#REF!,4,0)</f>
        <v>#REF!</v>
      </c>
      <c r="BQ1" s="5" t="e">
        <f>VLOOKUP(BQ2,#REF!,4,0)</f>
        <v>#REF!</v>
      </c>
      <c r="BR1" s="5" t="e">
        <f>VLOOKUP(BR2,#REF!,4,0)</f>
        <v>#REF!</v>
      </c>
      <c r="BS1" s="5" t="e">
        <f>VLOOKUP(BS2,#REF!,4,0)</f>
        <v>#REF!</v>
      </c>
      <c r="BT1" s="5" t="e">
        <f>VLOOKUP(BT2,#REF!,4,0)</f>
        <v>#REF!</v>
      </c>
      <c r="BU1" s="5" t="e">
        <f>VLOOKUP(BU2,#REF!,4,0)</f>
        <v>#REF!</v>
      </c>
      <c r="BV1" s="5" t="e">
        <f>VLOOKUP(BV2,#REF!,4,0)</f>
        <v>#REF!</v>
      </c>
      <c r="BW1" s="6" t="e">
        <f>VLOOKUP(BW2,#REF!,4,0)</f>
        <v>#REF!</v>
      </c>
      <c r="BX1" s="6" t="e">
        <f>VLOOKUP(BX2,#REF!,4,0)</f>
        <v>#REF!</v>
      </c>
      <c r="BY1" s="6" t="e">
        <f>VLOOKUP(BY2,#REF!,4,0)</f>
        <v>#REF!</v>
      </c>
      <c r="BZ1" s="6" t="e">
        <f>VLOOKUP(BZ2,#REF!,4,0)</f>
        <v>#REF!</v>
      </c>
      <c r="CA1" s="6" t="e">
        <f>VLOOKUP(CA2,#REF!,4,0)</f>
        <v>#REF!</v>
      </c>
      <c r="CB1" s="6" t="e">
        <f>VLOOKUP(CB2,#REF!,4,0)</f>
        <v>#REF!</v>
      </c>
      <c r="CC1" s="6" t="e">
        <f>VLOOKUP(CC2,#REF!,4,0)</f>
        <v>#REF!</v>
      </c>
      <c r="CD1" s="6" t="e">
        <f>VLOOKUP(CD2,#REF!,4,0)</f>
        <v>#REF!</v>
      </c>
      <c r="CE1" s="6" t="e">
        <f>VLOOKUP(CE2,#REF!,4,0)</f>
        <v>#REF!</v>
      </c>
      <c r="CF1" s="6" t="e">
        <f>VLOOKUP(CF2,#REF!,4,0)</f>
        <v>#REF!</v>
      </c>
      <c r="CG1" s="6" t="e">
        <f>VLOOKUP(CG2,#REF!,4,0)</f>
        <v>#REF!</v>
      </c>
      <c r="CH1" s="6" t="e">
        <f>VLOOKUP(CH2,#REF!,4,0)</f>
        <v>#REF!</v>
      </c>
      <c r="CI1" s="6" t="e">
        <f>VLOOKUP(CI2,#REF!,4,0)</f>
        <v>#REF!</v>
      </c>
      <c r="CJ1" s="6" t="e">
        <f>VLOOKUP(CJ2,#REF!,4,0)</f>
        <v>#REF!</v>
      </c>
      <c r="CK1" s="6" t="e">
        <f>VLOOKUP(CK2,#REF!,4,0)</f>
        <v>#REF!</v>
      </c>
      <c r="CL1" s="6" t="e">
        <f>VLOOKUP(CL2,#REF!,4,0)</f>
        <v>#REF!</v>
      </c>
      <c r="CM1" s="6" t="e">
        <f>VLOOKUP(CM2,#REF!,4,0)</f>
        <v>#REF!</v>
      </c>
      <c r="CN1" s="6" t="e">
        <f>VLOOKUP(CN2,#REF!,4,0)</f>
        <v>#REF!</v>
      </c>
      <c r="CO1" s="6" t="e">
        <f>VLOOKUP(CO2,#REF!,4,0)</f>
        <v>#REF!</v>
      </c>
      <c r="CP1" s="6" t="e">
        <f>VLOOKUP(CP2,#REF!,4,0)</f>
        <v>#REF!</v>
      </c>
      <c r="CQ1" s="6" t="e">
        <f>VLOOKUP(CQ2,#REF!,4,0)</f>
        <v>#REF!</v>
      </c>
      <c r="CR1" s="6" t="e">
        <f>VLOOKUP(CR2,#REF!,4,0)</f>
        <v>#REF!</v>
      </c>
      <c r="CS1" s="6" t="e">
        <f>VLOOKUP(CS2,#REF!,4,0)</f>
        <v>#REF!</v>
      </c>
      <c r="CT1" s="6" t="e">
        <f>VLOOKUP(CT2,#REF!,4,0)</f>
        <v>#REF!</v>
      </c>
      <c r="CU1" s="6" t="e">
        <f>VLOOKUP(CU2,#REF!,4,0)</f>
        <v>#REF!</v>
      </c>
      <c r="CV1" s="6" t="e">
        <f>VLOOKUP(CV2,#REF!,4,0)</f>
        <v>#REF!</v>
      </c>
      <c r="CW1" s="6" t="e">
        <f>VLOOKUP(CW2,#REF!,4,0)</f>
        <v>#REF!</v>
      </c>
      <c r="CX1" s="6" t="e">
        <f>VLOOKUP(CX2,#REF!,4,0)</f>
        <v>#REF!</v>
      </c>
      <c r="CY1" s="6" t="e">
        <f>VLOOKUP(CY2,#REF!,4,0)</f>
        <v>#REF!</v>
      </c>
      <c r="CZ1" s="6" t="e">
        <f>VLOOKUP(CZ2,#REF!,4,0)</f>
        <v>#REF!</v>
      </c>
      <c r="DA1" s="6" t="e">
        <f>VLOOKUP(DA2,#REF!,4,0)</f>
        <v>#REF!</v>
      </c>
      <c r="DB1" s="6" t="e">
        <f>VLOOKUP(DB2,#REF!,4,0)</f>
        <v>#REF!</v>
      </c>
      <c r="DC1" s="6" t="e">
        <f>VLOOKUP(DC2,#REF!,4,0)</f>
        <v>#REF!</v>
      </c>
      <c r="DD1" s="7" t="e">
        <f>VLOOKUP(DD2,#REF!,4,0)</f>
        <v>#REF!</v>
      </c>
      <c r="DE1" s="8"/>
    </row>
    <row r="2" spans="1:109" x14ac:dyDescent="0.2">
      <c r="A2" s="1"/>
      <c r="B2" s="9" t="s">
        <v>1</v>
      </c>
      <c r="C2" s="9" t="s">
        <v>2</v>
      </c>
      <c r="D2" s="9" t="s">
        <v>3</v>
      </c>
      <c r="E2" s="2"/>
      <c r="F2" s="2"/>
      <c r="G2" s="2"/>
      <c r="H2" s="2"/>
      <c r="I2" s="2"/>
      <c r="J2" s="2"/>
      <c r="K2" s="2"/>
      <c r="L2" s="2"/>
      <c r="M2" s="10" t="s">
        <v>4</v>
      </c>
      <c r="N2" s="11" t="s">
        <v>5</v>
      </c>
      <c r="O2" s="11" t="s">
        <v>6</v>
      </c>
      <c r="P2" s="11" t="s">
        <v>7</v>
      </c>
      <c r="Q2" s="11" t="s">
        <v>8</v>
      </c>
      <c r="R2" s="11" t="s">
        <v>9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2" t="s">
        <v>18</v>
      </c>
      <c r="AB2" s="12" t="s">
        <v>19</v>
      </c>
      <c r="AC2" s="11" t="s">
        <v>20</v>
      </c>
      <c r="AD2" s="11" t="s">
        <v>21</v>
      </c>
      <c r="AE2" s="11" t="s">
        <v>22</v>
      </c>
      <c r="AF2" s="11" t="s">
        <v>23</v>
      </c>
      <c r="AG2" s="13" t="s">
        <v>24</v>
      </c>
      <c r="AH2" s="13" t="s">
        <v>25</v>
      </c>
      <c r="AI2" s="13" t="s">
        <v>26</v>
      </c>
      <c r="AJ2" s="13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5" t="s">
        <v>34</v>
      </c>
      <c r="AR2" s="16" t="s">
        <v>35</v>
      </c>
      <c r="AS2" s="16" t="s">
        <v>36</v>
      </c>
      <c r="AT2" s="16" t="s">
        <v>37</v>
      </c>
      <c r="AU2" s="16" t="s">
        <v>38</v>
      </c>
      <c r="AV2" s="16" t="s">
        <v>39</v>
      </c>
      <c r="AW2" s="16" t="s">
        <v>40</v>
      </c>
      <c r="AX2" s="16" t="s">
        <v>41</v>
      </c>
      <c r="AY2" s="16" t="s">
        <v>42</v>
      </c>
      <c r="AZ2" s="16" t="s">
        <v>43</v>
      </c>
      <c r="BA2" s="16" t="s">
        <v>44</v>
      </c>
      <c r="BB2" s="16" t="s">
        <v>45</v>
      </c>
      <c r="BC2" s="16" t="s">
        <v>46</v>
      </c>
      <c r="BD2" s="16" t="s">
        <v>47</v>
      </c>
      <c r="BE2" s="16" t="s">
        <v>48</v>
      </c>
      <c r="BF2" s="16" t="s">
        <v>49</v>
      </c>
      <c r="BG2" s="16" t="s">
        <v>50</v>
      </c>
      <c r="BH2" s="16" t="s">
        <v>51</v>
      </c>
      <c r="BI2" s="16" t="s">
        <v>52</v>
      </c>
      <c r="BJ2" s="16" t="s">
        <v>53</v>
      </c>
      <c r="BK2" s="16" t="s">
        <v>54</v>
      </c>
      <c r="BL2" s="17" t="s">
        <v>55</v>
      </c>
      <c r="BM2" s="17" t="s">
        <v>56</v>
      </c>
      <c r="BN2" s="18" t="s">
        <v>57</v>
      </c>
      <c r="BO2" s="19" t="s">
        <v>58</v>
      </c>
      <c r="BP2" s="18" t="s">
        <v>59</v>
      </c>
      <c r="BQ2" s="19" t="s">
        <v>60</v>
      </c>
      <c r="BR2" s="18" t="s">
        <v>61</v>
      </c>
      <c r="BS2" s="18" t="s">
        <v>62</v>
      </c>
      <c r="BT2" s="20" t="s">
        <v>63</v>
      </c>
      <c r="BU2" s="20" t="s">
        <v>64</v>
      </c>
      <c r="BV2" s="20" t="s">
        <v>65</v>
      </c>
      <c r="BW2" s="21" t="s">
        <v>66</v>
      </c>
      <c r="BX2" s="21" t="s">
        <v>67</v>
      </c>
      <c r="BY2" s="21" t="s">
        <v>68</v>
      </c>
      <c r="BZ2" s="21" t="s">
        <v>69</v>
      </c>
      <c r="CA2" s="21" t="s">
        <v>70</v>
      </c>
      <c r="CB2" s="21" t="s">
        <v>71</v>
      </c>
      <c r="CC2" s="21" t="s">
        <v>72</v>
      </c>
      <c r="CD2" s="21" t="s">
        <v>73</v>
      </c>
      <c r="CE2" s="21" t="s">
        <v>74</v>
      </c>
      <c r="CF2" s="21" t="s">
        <v>75</v>
      </c>
      <c r="CG2" s="21" t="s">
        <v>76</v>
      </c>
      <c r="CH2" s="21" t="s">
        <v>77</v>
      </c>
      <c r="CI2" s="21" t="s">
        <v>78</v>
      </c>
      <c r="CJ2" s="21" t="s">
        <v>79</v>
      </c>
      <c r="CK2" s="21" t="s">
        <v>80</v>
      </c>
      <c r="CL2" s="21" t="s">
        <v>81</v>
      </c>
      <c r="CM2" s="22" t="s">
        <v>82</v>
      </c>
      <c r="CN2" s="23" t="s">
        <v>83</v>
      </c>
      <c r="CO2" s="21" t="s">
        <v>84</v>
      </c>
      <c r="CP2" s="23" t="s">
        <v>85</v>
      </c>
      <c r="CQ2" s="23" t="s">
        <v>86</v>
      </c>
      <c r="CR2" s="24" t="s">
        <v>87</v>
      </c>
      <c r="CS2" s="24" t="s">
        <v>88</v>
      </c>
      <c r="CT2" s="21" t="s">
        <v>89</v>
      </c>
      <c r="CU2" s="24" t="s">
        <v>90</v>
      </c>
      <c r="CV2" s="24" t="s">
        <v>91</v>
      </c>
      <c r="CW2" s="24" t="s">
        <v>92</v>
      </c>
      <c r="CX2" s="24" t="s">
        <v>93</v>
      </c>
      <c r="CY2" s="24" t="s">
        <v>94</v>
      </c>
      <c r="CZ2" s="25" t="s">
        <v>95</v>
      </c>
      <c r="DA2" s="25" t="s">
        <v>96</v>
      </c>
      <c r="DB2" s="25" t="s">
        <v>97</v>
      </c>
      <c r="DC2" s="25" t="s">
        <v>98</v>
      </c>
      <c r="DD2" s="26" t="s">
        <v>99</v>
      </c>
      <c r="DE2" s="8"/>
    </row>
    <row r="3" spans="1:109" x14ac:dyDescent="0.2">
      <c r="A3" s="1"/>
      <c r="B3" s="27" t="s">
        <v>100</v>
      </c>
      <c r="C3" s="27">
        <v>30</v>
      </c>
      <c r="D3" s="27">
        <v>22</v>
      </c>
      <c r="E3" s="2"/>
      <c r="F3" s="2"/>
      <c r="G3" s="2"/>
      <c r="H3" s="2"/>
      <c r="I3" s="2"/>
      <c r="J3" s="2"/>
      <c r="K3" s="2"/>
      <c r="L3" s="2"/>
      <c r="M3" s="28" t="s">
        <v>101</v>
      </c>
      <c r="N3" s="29" t="s">
        <v>102</v>
      </c>
      <c r="O3" s="29" t="s">
        <v>103</v>
      </c>
      <c r="P3" s="29" t="s">
        <v>104</v>
      </c>
      <c r="Q3" s="29" t="s">
        <v>105</v>
      </c>
      <c r="R3" s="29" t="s">
        <v>106</v>
      </c>
      <c r="S3" s="29" t="s">
        <v>107</v>
      </c>
      <c r="T3" s="29" t="s">
        <v>108</v>
      </c>
      <c r="U3" s="29" t="s">
        <v>109</v>
      </c>
      <c r="V3" s="29" t="s">
        <v>110</v>
      </c>
      <c r="W3" s="29" t="s">
        <v>111</v>
      </c>
      <c r="X3" s="29" t="s">
        <v>112</v>
      </c>
      <c r="Y3" s="29" t="s">
        <v>113</v>
      </c>
      <c r="Z3" s="29" t="s">
        <v>114</v>
      </c>
      <c r="AA3" s="29" t="s">
        <v>115</v>
      </c>
      <c r="AB3" s="29" t="s">
        <v>116</v>
      </c>
      <c r="AC3" s="29" t="s">
        <v>117</v>
      </c>
      <c r="AD3" s="29" t="s">
        <v>118</v>
      </c>
      <c r="AE3" s="29" t="s">
        <v>119</v>
      </c>
      <c r="AF3" s="29" t="s">
        <v>120</v>
      </c>
      <c r="AG3" s="30" t="s">
        <v>121</v>
      </c>
      <c r="AH3" s="30" t="s">
        <v>122</v>
      </c>
      <c r="AI3" s="30" t="s">
        <v>123</v>
      </c>
      <c r="AJ3" s="30" t="s">
        <v>124</v>
      </c>
      <c r="AK3" s="30" t="s">
        <v>125</v>
      </c>
      <c r="AL3" s="30" t="s">
        <v>126</v>
      </c>
      <c r="AM3" s="30" t="s">
        <v>127</v>
      </c>
      <c r="AN3" s="30" t="s">
        <v>128</v>
      </c>
      <c r="AO3" s="30" t="s">
        <v>129</v>
      </c>
      <c r="AP3" s="30" t="s">
        <v>130</v>
      </c>
      <c r="AQ3" s="31" t="s">
        <v>131</v>
      </c>
      <c r="AR3" s="32" t="s">
        <v>132</v>
      </c>
      <c r="AS3" s="32" t="s">
        <v>133</v>
      </c>
      <c r="AT3" s="32" t="s">
        <v>134</v>
      </c>
      <c r="AU3" s="32" t="s">
        <v>135</v>
      </c>
      <c r="AV3" s="32" t="s">
        <v>136</v>
      </c>
      <c r="AW3" s="32" t="s">
        <v>137</v>
      </c>
      <c r="AX3" s="32" t="s">
        <v>138</v>
      </c>
      <c r="AY3" s="32" t="s">
        <v>139</v>
      </c>
      <c r="AZ3" s="32" t="s">
        <v>140</v>
      </c>
      <c r="BA3" s="32" t="s">
        <v>141</v>
      </c>
      <c r="BB3" s="32" t="s">
        <v>142</v>
      </c>
      <c r="BC3" s="32" t="s">
        <v>143</v>
      </c>
      <c r="BD3" s="32" t="s">
        <v>144</v>
      </c>
      <c r="BE3" s="32" t="s">
        <v>145</v>
      </c>
      <c r="BF3" s="32" t="s">
        <v>146</v>
      </c>
      <c r="BG3" s="32" t="s">
        <v>147</v>
      </c>
      <c r="BH3" s="32" t="s">
        <v>148</v>
      </c>
      <c r="BI3" s="33" t="s">
        <v>149</v>
      </c>
      <c r="BJ3" s="32" t="s">
        <v>150</v>
      </c>
      <c r="BK3" s="32" t="s">
        <v>151</v>
      </c>
      <c r="BL3" s="32" t="s">
        <v>152</v>
      </c>
      <c r="BM3" s="32" t="s">
        <v>153</v>
      </c>
      <c r="BN3" s="33" t="s">
        <v>154</v>
      </c>
      <c r="BO3" s="33" t="s">
        <v>155</v>
      </c>
      <c r="BP3" s="33" t="s">
        <v>156</v>
      </c>
      <c r="BQ3" s="33" t="s">
        <v>157</v>
      </c>
      <c r="BR3" s="33" t="s">
        <v>158</v>
      </c>
      <c r="BS3" s="33" t="s">
        <v>159</v>
      </c>
      <c r="BT3" s="34" t="s">
        <v>160</v>
      </c>
      <c r="BU3" s="34" t="s">
        <v>161</v>
      </c>
      <c r="BV3" s="34" t="s">
        <v>162</v>
      </c>
      <c r="BW3" s="35" t="s">
        <v>163</v>
      </c>
      <c r="BX3" s="35" t="s">
        <v>164</v>
      </c>
      <c r="BY3" s="35" t="s">
        <v>165</v>
      </c>
      <c r="BZ3" s="35" t="s">
        <v>166</v>
      </c>
      <c r="CA3" s="36" t="s">
        <v>167</v>
      </c>
      <c r="CB3" s="35" t="s">
        <v>168</v>
      </c>
      <c r="CC3" s="35" t="s">
        <v>169</v>
      </c>
      <c r="CD3" s="35" t="s">
        <v>170</v>
      </c>
      <c r="CE3" s="35" t="s">
        <v>171</v>
      </c>
      <c r="CF3" s="35" t="s">
        <v>172</v>
      </c>
      <c r="CG3" s="35" t="s">
        <v>173</v>
      </c>
      <c r="CH3" s="35" t="s">
        <v>174</v>
      </c>
      <c r="CI3" s="35" t="s">
        <v>175</v>
      </c>
      <c r="CJ3" s="35" t="s">
        <v>176</v>
      </c>
      <c r="CK3" s="35" t="s">
        <v>177</v>
      </c>
      <c r="CL3" s="35" t="s">
        <v>178</v>
      </c>
      <c r="CM3" s="36" t="s">
        <v>179</v>
      </c>
      <c r="CN3" s="35" t="s">
        <v>180</v>
      </c>
      <c r="CO3" s="35" t="s">
        <v>181</v>
      </c>
      <c r="CP3" s="35" t="s">
        <v>182</v>
      </c>
      <c r="CQ3" s="35" t="s">
        <v>183</v>
      </c>
      <c r="CR3" s="36" t="s">
        <v>184</v>
      </c>
      <c r="CS3" s="36" t="s">
        <v>185</v>
      </c>
      <c r="CT3" s="35" t="s">
        <v>186</v>
      </c>
      <c r="CU3" s="36" t="s">
        <v>187</v>
      </c>
      <c r="CV3" s="36" t="s">
        <v>188</v>
      </c>
      <c r="CW3" s="36" t="s">
        <v>189</v>
      </c>
      <c r="CX3" s="36" t="s">
        <v>190</v>
      </c>
      <c r="CY3" s="36" t="s">
        <v>191</v>
      </c>
      <c r="CZ3" s="37" t="s">
        <v>192</v>
      </c>
      <c r="DA3" s="37" t="s">
        <v>193</v>
      </c>
      <c r="DB3" s="37" t="s">
        <v>194</v>
      </c>
      <c r="DC3" s="37" t="s">
        <v>195</v>
      </c>
      <c r="DD3" s="38" t="s">
        <v>196</v>
      </c>
      <c r="DE3" s="39"/>
    </row>
    <row r="4" spans="1:109" x14ac:dyDescent="0.2">
      <c r="A4" s="2"/>
      <c r="B4" s="27"/>
      <c r="C4" s="27"/>
      <c r="D4" s="27"/>
      <c r="E4" s="2"/>
      <c r="F4" s="2"/>
      <c r="G4" s="2"/>
      <c r="H4" s="2"/>
      <c r="I4" s="2"/>
      <c r="J4" s="2"/>
      <c r="K4" s="2"/>
      <c r="L4" s="2"/>
      <c r="M4" s="40" t="s">
        <v>197</v>
      </c>
      <c r="N4" s="41" t="s">
        <v>198</v>
      </c>
      <c r="O4" s="41" t="s">
        <v>198</v>
      </c>
      <c r="P4" s="41" t="s">
        <v>199</v>
      </c>
      <c r="Q4" s="41" t="s">
        <v>199</v>
      </c>
      <c r="R4" s="41" t="s">
        <v>199</v>
      </c>
      <c r="S4" s="41" t="s">
        <v>199</v>
      </c>
      <c r="T4" s="41" t="s">
        <v>198</v>
      </c>
      <c r="U4" s="41" t="s">
        <v>199</v>
      </c>
      <c r="V4" s="41" t="s">
        <v>199</v>
      </c>
      <c r="W4" s="41" t="s">
        <v>199</v>
      </c>
      <c r="X4" s="41" t="s">
        <v>199</v>
      </c>
      <c r="Y4" s="41" t="s">
        <v>199</v>
      </c>
      <c r="Z4" s="41" t="s">
        <v>198</v>
      </c>
      <c r="AA4" s="41" t="s">
        <v>199</v>
      </c>
      <c r="AB4" s="41" t="s">
        <v>198</v>
      </c>
      <c r="AC4" s="41" t="s">
        <v>198</v>
      </c>
      <c r="AD4" s="41" t="s">
        <v>199</v>
      </c>
      <c r="AE4" s="41" t="s">
        <v>198</v>
      </c>
      <c r="AF4" s="41" t="s">
        <v>198</v>
      </c>
      <c r="AG4" s="41" t="s">
        <v>199</v>
      </c>
      <c r="AH4" s="41" t="s">
        <v>198</v>
      </c>
      <c r="AI4" s="41" t="s">
        <v>199</v>
      </c>
      <c r="AJ4" s="41" t="s">
        <v>199</v>
      </c>
      <c r="AK4" s="41" t="s">
        <v>199</v>
      </c>
      <c r="AL4" s="41" t="s">
        <v>199</v>
      </c>
      <c r="AM4" s="41" t="s">
        <v>199</v>
      </c>
      <c r="AN4" s="41" t="s">
        <v>198</v>
      </c>
      <c r="AO4" s="41" t="s">
        <v>199</v>
      </c>
      <c r="AP4" s="41" t="s">
        <v>198</v>
      </c>
      <c r="AQ4" s="41" t="s">
        <v>199</v>
      </c>
      <c r="AR4" s="42" t="s">
        <v>199</v>
      </c>
      <c r="AS4" s="42" t="s">
        <v>198</v>
      </c>
      <c r="AT4" s="42" t="s">
        <v>198</v>
      </c>
      <c r="AU4" s="42" t="s">
        <v>199</v>
      </c>
      <c r="AV4" s="42" t="s">
        <v>198</v>
      </c>
      <c r="AW4" s="42" t="s">
        <v>199</v>
      </c>
      <c r="AX4" s="42" t="s">
        <v>198</v>
      </c>
      <c r="AY4" s="42" t="s">
        <v>198</v>
      </c>
      <c r="AZ4" s="42" t="s">
        <v>198</v>
      </c>
      <c r="BA4" s="42" t="s">
        <v>199</v>
      </c>
      <c r="BB4" s="42" t="s">
        <v>198</v>
      </c>
      <c r="BC4" s="42" t="s">
        <v>199</v>
      </c>
      <c r="BD4" s="42" t="s">
        <v>198</v>
      </c>
      <c r="BE4" s="42" t="s">
        <v>198</v>
      </c>
      <c r="BF4" s="42" t="s">
        <v>199</v>
      </c>
      <c r="BG4" s="42" t="s">
        <v>198</v>
      </c>
      <c r="BH4" s="42" t="s">
        <v>198</v>
      </c>
      <c r="BI4" s="42" t="s">
        <v>198</v>
      </c>
      <c r="BJ4" s="42" t="s">
        <v>199</v>
      </c>
      <c r="BK4" s="42" t="s">
        <v>198</v>
      </c>
      <c r="BL4" s="42" t="s">
        <v>198</v>
      </c>
      <c r="BM4" s="42" t="s">
        <v>199</v>
      </c>
      <c r="BN4" s="42" t="s">
        <v>198</v>
      </c>
      <c r="BO4" s="42" t="s">
        <v>198</v>
      </c>
      <c r="BP4" s="42" t="s">
        <v>198</v>
      </c>
      <c r="BQ4" s="42" t="s">
        <v>199</v>
      </c>
      <c r="BR4" s="42" t="s">
        <v>199</v>
      </c>
      <c r="BS4" s="42" t="s">
        <v>199</v>
      </c>
      <c r="BT4" s="42" t="s">
        <v>199</v>
      </c>
      <c r="BU4" s="42" t="s">
        <v>199</v>
      </c>
      <c r="BV4" s="42" t="s">
        <v>198</v>
      </c>
      <c r="BW4" s="43" t="s">
        <v>198</v>
      </c>
      <c r="BX4" s="43" t="s">
        <v>198</v>
      </c>
      <c r="BY4" s="43" t="s">
        <v>198</v>
      </c>
      <c r="BZ4" s="43" t="s">
        <v>198</v>
      </c>
      <c r="CA4" s="43" t="s">
        <v>198</v>
      </c>
      <c r="CB4" s="43" t="s">
        <v>198</v>
      </c>
      <c r="CC4" s="43" t="s">
        <v>199</v>
      </c>
      <c r="CD4" s="43" t="s">
        <v>198</v>
      </c>
      <c r="CE4" s="43" t="s">
        <v>198</v>
      </c>
      <c r="CF4" s="43" t="s">
        <v>198</v>
      </c>
      <c r="CG4" s="43" t="s">
        <v>198</v>
      </c>
      <c r="CH4" s="43" t="s">
        <v>198</v>
      </c>
      <c r="CI4" s="43" t="s">
        <v>198</v>
      </c>
      <c r="CJ4" s="43" t="s">
        <v>198</v>
      </c>
      <c r="CK4" s="43" t="s">
        <v>199</v>
      </c>
      <c r="CL4" s="43" t="s">
        <v>199</v>
      </c>
      <c r="CM4" s="43" t="s">
        <v>198</v>
      </c>
      <c r="CN4" s="43" t="s">
        <v>198</v>
      </c>
      <c r="CO4" s="43" t="s">
        <v>198</v>
      </c>
      <c r="CP4" s="43" t="s">
        <v>198</v>
      </c>
      <c r="CQ4" s="43" t="s">
        <v>198</v>
      </c>
      <c r="CR4" s="43" t="s">
        <v>198</v>
      </c>
      <c r="CS4" s="43" t="s">
        <v>198</v>
      </c>
      <c r="CT4" s="43" t="s">
        <v>198</v>
      </c>
      <c r="CU4" s="43" t="s">
        <v>198</v>
      </c>
      <c r="CV4" s="43" t="s">
        <v>198</v>
      </c>
      <c r="CW4" s="43" t="s">
        <v>198</v>
      </c>
      <c r="CX4" s="43" t="s">
        <v>198</v>
      </c>
      <c r="CY4" s="43" t="s">
        <v>198</v>
      </c>
      <c r="CZ4" s="43" t="s">
        <v>199</v>
      </c>
      <c r="DA4" s="43" t="s">
        <v>198</v>
      </c>
      <c r="DB4" s="43" t="s">
        <v>199</v>
      </c>
      <c r="DC4" s="43" t="s">
        <v>199</v>
      </c>
      <c r="DD4" s="44" t="s">
        <v>199</v>
      </c>
      <c r="DE4" s="45"/>
    </row>
    <row r="5" spans="1:109" x14ac:dyDescent="0.2">
      <c r="A5" s="2"/>
      <c r="B5" s="27" t="s">
        <v>200</v>
      </c>
      <c r="C5" s="27">
        <v>31</v>
      </c>
      <c r="D5" s="27">
        <v>19</v>
      </c>
      <c r="E5" s="2"/>
      <c r="F5" s="2"/>
      <c r="G5" s="2"/>
      <c r="H5" s="2"/>
      <c r="I5" s="2"/>
      <c r="J5" s="2"/>
      <c r="K5" s="2"/>
      <c r="L5" s="2"/>
      <c r="M5" s="40" t="s">
        <v>201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3"/>
      <c r="BX5" s="43"/>
      <c r="BY5" s="43"/>
      <c r="BZ5" s="43"/>
      <c r="CA5" s="43" t="s">
        <v>202</v>
      </c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4"/>
      <c r="DE5" s="45"/>
    </row>
    <row r="6" spans="1:109" x14ac:dyDescent="0.2">
      <c r="A6" s="2"/>
      <c r="B6" s="27" t="s">
        <v>203</v>
      </c>
      <c r="C6" s="27">
        <v>33</v>
      </c>
      <c r="D6" s="27">
        <v>20</v>
      </c>
      <c r="E6" s="2"/>
      <c r="F6" s="2"/>
      <c r="G6" s="2"/>
      <c r="H6" s="2"/>
      <c r="I6" s="2"/>
      <c r="J6" s="2"/>
      <c r="K6" s="2"/>
      <c r="L6" s="2"/>
      <c r="M6" s="40" t="s">
        <v>204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4"/>
      <c r="DE6" s="45"/>
    </row>
    <row r="7" spans="1:109" x14ac:dyDescent="0.2">
      <c r="A7" s="2"/>
      <c r="B7" s="27" t="s">
        <v>205</v>
      </c>
      <c r="C7" s="27">
        <v>1</v>
      </c>
      <c r="D7" s="27"/>
      <c r="E7" s="2"/>
      <c r="F7" s="2"/>
      <c r="G7" s="2"/>
      <c r="H7" s="2"/>
      <c r="I7" s="2"/>
      <c r="J7" s="2"/>
      <c r="K7" s="2"/>
      <c r="L7" s="2"/>
      <c r="M7" s="40" t="s">
        <v>206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4"/>
      <c r="DE7" s="45"/>
    </row>
    <row r="8" spans="1:109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8" t="s">
        <v>207</v>
      </c>
      <c r="N8" s="46" t="s">
        <v>208</v>
      </c>
      <c r="O8" s="46" t="s">
        <v>208</v>
      </c>
      <c r="P8" s="46" t="s">
        <v>208</v>
      </c>
      <c r="Q8" s="46" t="s">
        <v>208</v>
      </c>
      <c r="R8" s="46" t="s">
        <v>208</v>
      </c>
      <c r="S8" s="46" t="s">
        <v>208</v>
      </c>
      <c r="T8" s="46" t="s">
        <v>208</v>
      </c>
      <c r="U8" s="46" t="s">
        <v>208</v>
      </c>
      <c r="V8" s="46" t="s">
        <v>208</v>
      </c>
      <c r="W8" s="46" t="s">
        <v>208</v>
      </c>
      <c r="X8" s="46" t="s">
        <v>208</v>
      </c>
      <c r="Y8" s="46" t="s">
        <v>208</v>
      </c>
      <c r="Z8" s="46" t="s">
        <v>208</v>
      </c>
      <c r="AA8" s="46" t="s">
        <v>208</v>
      </c>
      <c r="AB8" s="46" t="s">
        <v>208</v>
      </c>
      <c r="AC8" s="46" t="s">
        <v>208</v>
      </c>
      <c r="AD8" s="46" t="s">
        <v>208</v>
      </c>
      <c r="AE8" s="46" t="s">
        <v>208</v>
      </c>
      <c r="AF8" s="46" t="s">
        <v>208</v>
      </c>
      <c r="AG8" s="46" t="s">
        <v>208</v>
      </c>
      <c r="AH8" s="46" t="s">
        <v>208</v>
      </c>
      <c r="AI8" s="46" t="s">
        <v>208</v>
      </c>
      <c r="AJ8" s="46" t="s">
        <v>208</v>
      </c>
      <c r="AK8" s="46" t="s">
        <v>208</v>
      </c>
      <c r="AL8" s="46" t="s">
        <v>208</v>
      </c>
      <c r="AM8" s="46" t="s">
        <v>208</v>
      </c>
      <c r="AN8" s="46" t="s">
        <v>208</v>
      </c>
      <c r="AO8" s="46" t="s">
        <v>208</v>
      </c>
      <c r="AP8" s="46" t="s">
        <v>208</v>
      </c>
      <c r="AQ8" s="46" t="s">
        <v>208</v>
      </c>
      <c r="AR8" s="47" t="s">
        <v>209</v>
      </c>
      <c r="AS8" s="47" t="s">
        <v>209</v>
      </c>
      <c r="AT8" s="47" t="s">
        <v>209</v>
      </c>
      <c r="AU8" s="47" t="s">
        <v>209</v>
      </c>
      <c r="AV8" s="47" t="s">
        <v>209</v>
      </c>
      <c r="AW8" s="47" t="s">
        <v>209</v>
      </c>
      <c r="AX8" s="47" t="s">
        <v>209</v>
      </c>
      <c r="AY8" s="47" t="s">
        <v>209</v>
      </c>
      <c r="AZ8" s="47" t="s">
        <v>209</v>
      </c>
      <c r="BA8" s="47" t="s">
        <v>209</v>
      </c>
      <c r="BB8" s="47" t="s">
        <v>209</v>
      </c>
      <c r="BC8" s="47" t="s">
        <v>209</v>
      </c>
      <c r="BD8" s="47" t="s">
        <v>209</v>
      </c>
      <c r="BE8" s="47" t="s">
        <v>209</v>
      </c>
      <c r="BF8" s="47" t="s">
        <v>209</v>
      </c>
      <c r="BG8" s="47" t="s">
        <v>209</v>
      </c>
      <c r="BH8" s="47" t="s">
        <v>209</v>
      </c>
      <c r="BI8" s="47" t="s">
        <v>209</v>
      </c>
      <c r="BJ8" s="47" t="s">
        <v>209</v>
      </c>
      <c r="BK8" s="47" t="s">
        <v>209</v>
      </c>
      <c r="BL8" s="47" t="s">
        <v>209</v>
      </c>
      <c r="BM8" s="47" t="s">
        <v>209</v>
      </c>
      <c r="BN8" s="47" t="s">
        <v>209</v>
      </c>
      <c r="BO8" s="47" t="s">
        <v>209</v>
      </c>
      <c r="BP8" s="47" t="s">
        <v>209</v>
      </c>
      <c r="BQ8" s="47" t="s">
        <v>209</v>
      </c>
      <c r="BR8" s="47" t="s">
        <v>209</v>
      </c>
      <c r="BS8" s="47" t="s">
        <v>209</v>
      </c>
      <c r="BT8" s="47" t="s">
        <v>209</v>
      </c>
      <c r="BU8" s="47" t="s">
        <v>209</v>
      </c>
      <c r="BV8" s="47" t="s">
        <v>209</v>
      </c>
      <c r="BW8" s="48" t="s">
        <v>210</v>
      </c>
      <c r="BX8" s="48" t="s">
        <v>210</v>
      </c>
      <c r="BY8" s="48" t="s">
        <v>210</v>
      </c>
      <c r="BZ8" s="48" t="s">
        <v>210</v>
      </c>
      <c r="CA8" s="48" t="s">
        <v>210</v>
      </c>
      <c r="CB8" s="48" t="s">
        <v>210</v>
      </c>
      <c r="CC8" s="48" t="s">
        <v>210</v>
      </c>
      <c r="CD8" s="48" t="s">
        <v>210</v>
      </c>
      <c r="CE8" s="48" t="s">
        <v>210</v>
      </c>
      <c r="CF8" s="48" t="s">
        <v>210</v>
      </c>
      <c r="CG8" s="48" t="s">
        <v>210</v>
      </c>
      <c r="CH8" s="48" t="s">
        <v>210</v>
      </c>
      <c r="CI8" s="48" t="s">
        <v>210</v>
      </c>
      <c r="CJ8" s="48" t="s">
        <v>210</v>
      </c>
      <c r="CK8" s="48" t="s">
        <v>210</v>
      </c>
      <c r="CL8" s="48" t="s">
        <v>210</v>
      </c>
      <c r="CM8" s="48" t="s">
        <v>210</v>
      </c>
      <c r="CN8" s="48" t="s">
        <v>210</v>
      </c>
      <c r="CO8" s="48" t="s">
        <v>210</v>
      </c>
      <c r="CP8" s="48" t="s">
        <v>210</v>
      </c>
      <c r="CQ8" s="48" t="s">
        <v>210</v>
      </c>
      <c r="CR8" s="48" t="s">
        <v>210</v>
      </c>
      <c r="CS8" s="48" t="s">
        <v>210</v>
      </c>
      <c r="CT8" s="48" t="s">
        <v>210</v>
      </c>
      <c r="CU8" s="48" t="s">
        <v>210</v>
      </c>
      <c r="CV8" s="48" t="s">
        <v>210</v>
      </c>
      <c r="CW8" s="48" t="s">
        <v>210</v>
      </c>
      <c r="CX8" s="48" t="s">
        <v>210</v>
      </c>
      <c r="CY8" s="48" t="s">
        <v>210</v>
      </c>
      <c r="CZ8" s="48" t="s">
        <v>210</v>
      </c>
      <c r="DA8" s="48" t="s">
        <v>210</v>
      </c>
      <c r="DB8" s="48" t="s">
        <v>210</v>
      </c>
      <c r="DC8" s="49" t="s">
        <v>210</v>
      </c>
      <c r="DD8" s="50" t="s">
        <v>211</v>
      </c>
      <c r="DE8" s="51"/>
    </row>
    <row r="9" spans="1:109" x14ac:dyDescent="0.2">
      <c r="A9" s="52" t="s">
        <v>212</v>
      </c>
      <c r="B9" s="52" t="s">
        <v>213</v>
      </c>
      <c r="C9" s="52" t="s">
        <v>214</v>
      </c>
      <c r="D9" s="52" t="s">
        <v>214</v>
      </c>
      <c r="E9" s="52" t="s">
        <v>215</v>
      </c>
      <c r="F9" s="52" t="s">
        <v>216</v>
      </c>
      <c r="G9" s="52" t="s">
        <v>217</v>
      </c>
      <c r="H9" s="52" t="s">
        <v>218</v>
      </c>
      <c r="I9" s="52" t="s">
        <v>219</v>
      </c>
      <c r="J9" s="52" t="s">
        <v>220</v>
      </c>
      <c r="K9" s="52" t="s">
        <v>221</v>
      </c>
      <c r="L9" s="52" t="s">
        <v>222</v>
      </c>
      <c r="M9" s="52" t="s">
        <v>223</v>
      </c>
      <c r="N9" s="53">
        <v>22</v>
      </c>
      <c r="O9" s="53">
        <v>22</v>
      </c>
      <c r="P9" s="54">
        <v>22</v>
      </c>
      <c r="Q9" s="53">
        <v>22</v>
      </c>
      <c r="R9" s="53">
        <v>22</v>
      </c>
      <c r="S9" s="53">
        <v>22</v>
      </c>
      <c r="T9" s="53">
        <v>22</v>
      </c>
      <c r="U9" s="53">
        <v>22</v>
      </c>
      <c r="V9" s="53">
        <v>22</v>
      </c>
      <c r="W9" s="53">
        <v>22</v>
      </c>
      <c r="X9" s="53">
        <v>22</v>
      </c>
      <c r="Y9" s="53">
        <v>22</v>
      </c>
      <c r="Z9" s="53">
        <v>22</v>
      </c>
      <c r="AA9" s="53">
        <v>22</v>
      </c>
      <c r="AB9" s="53">
        <v>22</v>
      </c>
      <c r="AC9" s="53">
        <v>22</v>
      </c>
      <c r="AD9" s="53">
        <v>22</v>
      </c>
      <c r="AE9" s="53">
        <v>22</v>
      </c>
      <c r="AF9" s="53">
        <v>22</v>
      </c>
      <c r="AG9" s="53">
        <v>22</v>
      </c>
      <c r="AH9" s="53">
        <v>22</v>
      </c>
      <c r="AI9" s="53">
        <v>22</v>
      </c>
      <c r="AJ9" s="53">
        <v>22</v>
      </c>
      <c r="AK9" s="53">
        <v>22</v>
      </c>
      <c r="AL9" s="53">
        <v>22</v>
      </c>
      <c r="AM9" s="53">
        <v>22</v>
      </c>
      <c r="AN9" s="53">
        <v>22</v>
      </c>
      <c r="AO9" s="53">
        <v>22</v>
      </c>
      <c r="AP9" s="53">
        <v>22</v>
      </c>
      <c r="AQ9" s="53">
        <v>22</v>
      </c>
      <c r="AR9" s="55">
        <v>41</v>
      </c>
      <c r="AS9" s="55">
        <v>41</v>
      </c>
      <c r="AT9" s="55">
        <v>41</v>
      </c>
      <c r="AU9" s="55">
        <v>41</v>
      </c>
      <c r="AV9" s="55">
        <v>41</v>
      </c>
      <c r="AW9" s="55">
        <v>41</v>
      </c>
      <c r="AX9" s="55">
        <v>41</v>
      </c>
      <c r="AY9" s="55">
        <v>41</v>
      </c>
      <c r="AZ9" s="55">
        <v>41</v>
      </c>
      <c r="BA9" s="55">
        <v>41</v>
      </c>
      <c r="BB9" s="55">
        <v>41</v>
      </c>
      <c r="BC9" s="55">
        <v>41</v>
      </c>
      <c r="BD9" s="55">
        <v>41</v>
      </c>
      <c r="BE9" s="55">
        <v>41</v>
      </c>
      <c r="BF9" s="55">
        <v>41</v>
      </c>
      <c r="BG9" s="55">
        <v>41</v>
      </c>
      <c r="BH9" s="55">
        <v>41</v>
      </c>
      <c r="BI9" s="55">
        <v>41</v>
      </c>
      <c r="BJ9" s="55">
        <v>41</v>
      </c>
      <c r="BK9" s="55">
        <v>41</v>
      </c>
      <c r="BL9" s="55">
        <v>41</v>
      </c>
      <c r="BM9" s="55">
        <v>41</v>
      </c>
      <c r="BN9" s="55">
        <v>41</v>
      </c>
      <c r="BO9" s="55">
        <v>41</v>
      </c>
      <c r="BP9" s="55">
        <v>41</v>
      </c>
      <c r="BQ9" s="55">
        <v>41</v>
      </c>
      <c r="BR9" s="55">
        <v>41</v>
      </c>
      <c r="BS9" s="55">
        <v>41</v>
      </c>
      <c r="BT9" s="55">
        <v>41</v>
      </c>
      <c r="BU9" s="55">
        <v>41</v>
      </c>
      <c r="BV9" s="55">
        <v>41</v>
      </c>
      <c r="BW9" s="56">
        <v>61</v>
      </c>
      <c r="BX9" s="56">
        <v>61</v>
      </c>
      <c r="BY9" s="56">
        <v>61</v>
      </c>
      <c r="BZ9" s="56">
        <v>61</v>
      </c>
      <c r="CA9" s="56">
        <v>61</v>
      </c>
      <c r="CB9" s="56">
        <v>61</v>
      </c>
      <c r="CC9" s="56">
        <v>61</v>
      </c>
      <c r="CD9" s="56">
        <v>61</v>
      </c>
      <c r="CE9" s="56">
        <v>61</v>
      </c>
      <c r="CF9" s="56">
        <v>61</v>
      </c>
      <c r="CG9" s="56">
        <v>61</v>
      </c>
      <c r="CH9" s="56">
        <v>61</v>
      </c>
      <c r="CI9" s="56">
        <v>61</v>
      </c>
      <c r="CJ9" s="56">
        <v>61</v>
      </c>
      <c r="CK9" s="56">
        <v>61</v>
      </c>
      <c r="CL9" s="56">
        <v>61</v>
      </c>
      <c r="CM9" s="56">
        <v>41</v>
      </c>
      <c r="CN9" s="56">
        <v>61</v>
      </c>
      <c r="CO9" s="56">
        <v>61</v>
      </c>
      <c r="CP9" s="56">
        <v>61</v>
      </c>
      <c r="CQ9" s="56">
        <v>61</v>
      </c>
      <c r="CR9" s="56">
        <v>61</v>
      </c>
      <c r="CS9" s="56">
        <v>61</v>
      </c>
      <c r="CT9" s="56">
        <v>61</v>
      </c>
      <c r="CU9" s="56">
        <v>61</v>
      </c>
      <c r="CV9" s="56">
        <v>61</v>
      </c>
      <c r="CW9" s="56">
        <v>61</v>
      </c>
      <c r="CX9" s="56">
        <v>61</v>
      </c>
      <c r="CY9" s="56">
        <v>61</v>
      </c>
      <c r="CZ9" s="56">
        <v>61</v>
      </c>
      <c r="DA9" s="56">
        <v>61</v>
      </c>
      <c r="DB9" s="56">
        <v>61</v>
      </c>
      <c r="DC9" s="56">
        <v>61</v>
      </c>
      <c r="DD9" s="57">
        <v>13</v>
      </c>
      <c r="DE9" s="58"/>
    </row>
    <row r="10" spans="1:109" x14ac:dyDescent="0.2">
      <c r="A10" s="59">
        <v>1561</v>
      </c>
      <c r="B10" s="60" t="s">
        <v>224</v>
      </c>
      <c r="C10" s="61" t="s">
        <v>100</v>
      </c>
      <c r="D10" s="61" t="s">
        <v>225</v>
      </c>
      <c r="E10" s="61" t="s">
        <v>226</v>
      </c>
      <c r="F10" s="61"/>
      <c r="G10" s="62"/>
      <c r="H10" s="61"/>
      <c r="I10" s="63" t="s">
        <v>227</v>
      </c>
      <c r="J10" s="63">
        <v>1</v>
      </c>
      <c r="K10" s="63">
        <v>1</v>
      </c>
      <c r="L10" s="63">
        <v>1</v>
      </c>
      <c r="M10" s="63" t="s">
        <v>228</v>
      </c>
      <c r="N10" s="64" t="s">
        <v>229</v>
      </c>
      <c r="O10" s="64" t="s">
        <v>229</v>
      </c>
      <c r="P10" s="64" t="s">
        <v>229</v>
      </c>
      <c r="Q10" s="64" t="s">
        <v>229</v>
      </c>
      <c r="R10" s="64" t="s">
        <v>229</v>
      </c>
      <c r="S10" s="64" t="s">
        <v>229</v>
      </c>
      <c r="T10" s="64" t="s">
        <v>229</v>
      </c>
      <c r="U10" s="64" t="s">
        <v>229</v>
      </c>
      <c r="V10" s="64" t="s">
        <v>229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229</v>
      </c>
      <c r="AC10" s="64" t="s">
        <v>229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229</v>
      </c>
      <c r="AJ10" s="64" t="s">
        <v>229</v>
      </c>
      <c r="AK10" s="64" t="s">
        <v>229</v>
      </c>
      <c r="AL10" s="64" t="s">
        <v>229</v>
      </c>
      <c r="AM10" s="64" t="s">
        <v>229</v>
      </c>
      <c r="AN10" s="64" t="s">
        <v>229</v>
      </c>
      <c r="AO10" s="64" t="s">
        <v>229</v>
      </c>
      <c r="AP10" s="64" t="s">
        <v>229</v>
      </c>
      <c r="AQ10" s="64" t="s">
        <v>229</v>
      </c>
      <c r="AR10" s="64" t="s">
        <v>229</v>
      </c>
      <c r="AS10" s="64" t="s">
        <v>229</v>
      </c>
      <c r="AT10" s="64" t="s">
        <v>229</v>
      </c>
      <c r="AU10" s="64" t="s">
        <v>229</v>
      </c>
      <c r="AV10" s="64" t="s">
        <v>229</v>
      </c>
      <c r="AW10" s="64" t="s">
        <v>229</v>
      </c>
      <c r="AX10" s="64" t="s">
        <v>229</v>
      </c>
      <c r="AY10" s="64" t="s">
        <v>229</v>
      </c>
      <c r="AZ10" s="64" t="s">
        <v>229</v>
      </c>
      <c r="BA10" s="64" t="s">
        <v>229</v>
      </c>
      <c r="BB10" s="64" t="s">
        <v>229</v>
      </c>
      <c r="BC10" s="64" t="s">
        <v>229</v>
      </c>
      <c r="BD10" s="64" t="s">
        <v>229</v>
      </c>
      <c r="BE10" s="64" t="s">
        <v>229</v>
      </c>
      <c r="BF10" s="64" t="s">
        <v>229</v>
      </c>
      <c r="BG10" s="64" t="s">
        <v>229</v>
      </c>
      <c r="BH10" s="64" t="s">
        <v>229</v>
      </c>
      <c r="BI10" s="64" t="s">
        <v>229</v>
      </c>
      <c r="BJ10" s="64" t="s">
        <v>229</v>
      </c>
      <c r="BK10" s="64" t="s">
        <v>229</v>
      </c>
      <c r="BL10" s="64" t="s">
        <v>229</v>
      </c>
      <c r="BM10" s="64" t="s">
        <v>229</v>
      </c>
      <c r="BN10" s="64" t="s">
        <v>229</v>
      </c>
      <c r="BO10" s="64" t="s">
        <v>229</v>
      </c>
      <c r="BP10" s="64" t="s">
        <v>229</v>
      </c>
      <c r="BQ10" s="64" t="s">
        <v>229</v>
      </c>
      <c r="BR10" s="64" t="s">
        <v>229</v>
      </c>
      <c r="BS10" s="64" t="s">
        <v>229</v>
      </c>
      <c r="BT10" s="64" t="s">
        <v>229</v>
      </c>
      <c r="BU10" s="64" t="s">
        <v>229</v>
      </c>
      <c r="BV10" s="64" t="s">
        <v>229</v>
      </c>
      <c r="BW10" s="64" t="s">
        <v>229</v>
      </c>
      <c r="BX10" s="64" t="s">
        <v>229</v>
      </c>
      <c r="BY10" s="64" t="s">
        <v>229</v>
      </c>
      <c r="BZ10" s="64" t="s">
        <v>229</v>
      </c>
      <c r="CA10" s="64" t="s">
        <v>229</v>
      </c>
      <c r="CB10" s="64" t="s">
        <v>229</v>
      </c>
      <c r="CC10" s="64" t="s">
        <v>229</v>
      </c>
      <c r="CD10" s="64" t="s">
        <v>229</v>
      </c>
      <c r="CE10" s="64" t="s">
        <v>229</v>
      </c>
      <c r="CF10" s="64" t="s">
        <v>229</v>
      </c>
      <c r="CG10" s="64" t="s">
        <v>229</v>
      </c>
      <c r="CH10" s="64" t="s">
        <v>229</v>
      </c>
      <c r="CI10" s="64" t="s">
        <v>229</v>
      </c>
      <c r="CJ10" s="64" t="s">
        <v>229</v>
      </c>
      <c r="CK10" s="64" t="s">
        <v>229</v>
      </c>
      <c r="CL10" s="64" t="s">
        <v>229</v>
      </c>
      <c r="CM10" s="64" t="s">
        <v>229</v>
      </c>
      <c r="CN10" s="64" t="s">
        <v>229</v>
      </c>
      <c r="CO10" s="64" t="s">
        <v>229</v>
      </c>
      <c r="CP10" s="64" t="s">
        <v>229</v>
      </c>
      <c r="CQ10" s="64" t="s">
        <v>229</v>
      </c>
      <c r="CR10" s="64" t="s">
        <v>229</v>
      </c>
      <c r="CS10" s="64" t="s">
        <v>229</v>
      </c>
      <c r="CT10" s="64" t="s">
        <v>229</v>
      </c>
      <c r="CU10" s="64" t="s">
        <v>229</v>
      </c>
      <c r="CV10" s="64" t="s">
        <v>229</v>
      </c>
      <c r="CW10" s="64" t="s">
        <v>229</v>
      </c>
      <c r="CX10" s="64" t="s">
        <v>229</v>
      </c>
      <c r="CY10" s="64" t="s">
        <v>229</v>
      </c>
      <c r="CZ10" s="64" t="s">
        <v>229</v>
      </c>
      <c r="DA10" s="64" t="s">
        <v>229</v>
      </c>
      <c r="DB10" s="64" t="s">
        <v>229</v>
      </c>
      <c r="DC10" s="64" t="s">
        <v>229</v>
      </c>
      <c r="DD10" s="64"/>
      <c r="DE10" s="65"/>
    </row>
    <row r="11" spans="1:109" x14ac:dyDescent="0.2">
      <c r="A11" s="66">
        <v>1074</v>
      </c>
      <c r="B11" s="67" t="s">
        <v>230</v>
      </c>
      <c r="C11" s="68" t="s">
        <v>100</v>
      </c>
      <c r="D11" s="68" t="s">
        <v>231</v>
      </c>
      <c r="E11" s="68" t="s">
        <v>226</v>
      </c>
      <c r="F11" s="68"/>
      <c r="G11" s="69"/>
      <c r="H11" s="68"/>
      <c r="I11" s="66" t="s">
        <v>227</v>
      </c>
      <c r="J11" s="66"/>
      <c r="K11" s="66">
        <v>1</v>
      </c>
      <c r="L11" s="66">
        <v>1</v>
      </c>
      <c r="M11" s="66" t="s">
        <v>232</v>
      </c>
      <c r="N11" s="70" t="s">
        <v>229</v>
      </c>
      <c r="O11" s="70" t="s">
        <v>229</v>
      </c>
      <c r="P11" s="70"/>
      <c r="Q11" s="70"/>
      <c r="R11" s="70"/>
      <c r="S11" s="70"/>
      <c r="T11" s="70" t="s">
        <v>229</v>
      </c>
      <c r="U11" s="70"/>
      <c r="V11" s="70"/>
      <c r="W11" s="70"/>
      <c r="X11" s="70"/>
      <c r="Y11" s="70"/>
      <c r="Z11" s="70" t="s">
        <v>229</v>
      </c>
      <c r="AA11" s="70"/>
      <c r="AB11" s="70" t="s">
        <v>229</v>
      </c>
      <c r="AC11" s="70" t="s">
        <v>229</v>
      </c>
      <c r="AD11" s="70"/>
      <c r="AE11" s="70" t="s">
        <v>229</v>
      </c>
      <c r="AF11" s="70" t="s">
        <v>229</v>
      </c>
      <c r="AG11" s="70"/>
      <c r="AH11" s="70" t="s">
        <v>229</v>
      </c>
      <c r="AI11" s="70"/>
      <c r="AJ11" s="70"/>
      <c r="AK11" s="70"/>
      <c r="AL11" s="70"/>
      <c r="AM11" s="70"/>
      <c r="AN11" s="70" t="s">
        <v>229</v>
      </c>
      <c r="AO11" s="70"/>
      <c r="AP11" s="70" t="s">
        <v>229</v>
      </c>
      <c r="AQ11" s="70"/>
      <c r="AR11" s="70"/>
      <c r="AS11" s="70" t="s">
        <v>229</v>
      </c>
      <c r="AT11" s="70" t="s">
        <v>229</v>
      </c>
      <c r="AU11" s="70"/>
      <c r="AV11" s="70" t="s">
        <v>229</v>
      </c>
      <c r="AW11" s="70"/>
      <c r="AX11" s="70" t="s">
        <v>229</v>
      </c>
      <c r="AY11" s="70" t="s">
        <v>229</v>
      </c>
      <c r="AZ11" s="70" t="s">
        <v>229</v>
      </c>
      <c r="BA11" s="70"/>
      <c r="BB11" s="70" t="s">
        <v>229</v>
      </c>
      <c r="BC11" s="70"/>
      <c r="BD11" s="70" t="s">
        <v>229</v>
      </c>
      <c r="BE11" s="70" t="s">
        <v>229</v>
      </c>
      <c r="BF11" s="70"/>
      <c r="BG11" s="70" t="s">
        <v>229</v>
      </c>
      <c r="BH11" s="70" t="s">
        <v>229</v>
      </c>
      <c r="BI11" s="70" t="s">
        <v>229</v>
      </c>
      <c r="BJ11" s="70"/>
      <c r="BK11" s="70" t="s">
        <v>229</v>
      </c>
      <c r="BL11" s="70" t="s">
        <v>229</v>
      </c>
      <c r="BM11" s="70"/>
      <c r="BN11" s="70" t="s">
        <v>229</v>
      </c>
      <c r="BO11" s="70" t="s">
        <v>229</v>
      </c>
      <c r="BP11" s="70" t="s">
        <v>229</v>
      </c>
      <c r="BQ11" s="70"/>
      <c r="BR11" s="70"/>
      <c r="BS11" s="70"/>
      <c r="BT11" s="70"/>
      <c r="BU11" s="70"/>
      <c r="BV11" s="70" t="s">
        <v>229</v>
      </c>
      <c r="BW11" s="70" t="s">
        <v>229</v>
      </c>
      <c r="BX11" s="70" t="s">
        <v>229</v>
      </c>
      <c r="BY11" s="70" t="s">
        <v>229</v>
      </c>
      <c r="BZ11" s="70" t="s">
        <v>229</v>
      </c>
      <c r="CA11" s="70" t="s">
        <v>229</v>
      </c>
      <c r="CB11" s="70" t="s">
        <v>229</v>
      </c>
      <c r="CC11" s="70"/>
      <c r="CD11" s="70" t="s">
        <v>229</v>
      </c>
      <c r="CE11" s="70" t="s">
        <v>229</v>
      </c>
      <c r="CF11" s="70" t="s">
        <v>229</v>
      </c>
      <c r="CG11" s="70" t="s">
        <v>229</v>
      </c>
      <c r="CH11" s="70" t="s">
        <v>229</v>
      </c>
      <c r="CI11" s="70" t="s">
        <v>229</v>
      </c>
      <c r="CJ11" s="70" t="s">
        <v>229</v>
      </c>
      <c r="CK11" s="70"/>
      <c r="CL11" s="70"/>
      <c r="CM11" s="70" t="s">
        <v>229</v>
      </c>
      <c r="CN11" s="70" t="s">
        <v>229</v>
      </c>
      <c r="CO11" s="70" t="s">
        <v>229</v>
      </c>
      <c r="CP11" s="70" t="s">
        <v>229</v>
      </c>
      <c r="CQ11" s="70" t="s">
        <v>229</v>
      </c>
      <c r="CR11" s="70" t="s">
        <v>229</v>
      </c>
      <c r="CS11" s="70" t="s">
        <v>229</v>
      </c>
      <c r="CT11" s="70" t="s">
        <v>229</v>
      </c>
      <c r="CU11" s="70" t="s">
        <v>229</v>
      </c>
      <c r="CV11" s="70" t="s">
        <v>229</v>
      </c>
      <c r="CW11" s="70" t="s">
        <v>229</v>
      </c>
      <c r="CX11" s="70" t="s">
        <v>229</v>
      </c>
      <c r="CY11" s="70" t="s">
        <v>229</v>
      </c>
      <c r="CZ11" s="70"/>
      <c r="DA11" s="70" t="s">
        <v>229</v>
      </c>
      <c r="DB11" s="70"/>
      <c r="DC11" s="70"/>
      <c r="DD11" s="70"/>
      <c r="DE11" s="1"/>
    </row>
    <row r="12" spans="1:109" x14ac:dyDescent="0.2">
      <c r="A12" s="59">
        <v>1819</v>
      </c>
      <c r="B12" s="60" t="s">
        <v>233</v>
      </c>
      <c r="C12" s="61" t="s">
        <v>200</v>
      </c>
      <c r="D12" s="61" t="s">
        <v>225</v>
      </c>
      <c r="E12" s="61" t="s">
        <v>226</v>
      </c>
      <c r="F12" s="61"/>
      <c r="G12" s="62"/>
      <c r="H12" s="61"/>
      <c r="I12" s="63" t="s">
        <v>227</v>
      </c>
      <c r="J12" s="63"/>
      <c r="K12" s="63"/>
      <c r="L12" s="63">
        <v>1</v>
      </c>
      <c r="M12" s="63" t="s">
        <v>232</v>
      </c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 t="s">
        <v>229</v>
      </c>
      <c r="AS12" s="64" t="s">
        <v>229</v>
      </c>
      <c r="AT12" s="64" t="s">
        <v>229</v>
      </c>
      <c r="AU12" s="64" t="s">
        <v>229</v>
      </c>
      <c r="AV12" s="64" t="s">
        <v>229</v>
      </c>
      <c r="AW12" s="64" t="s">
        <v>229</v>
      </c>
      <c r="AX12" s="64" t="s">
        <v>229</v>
      </c>
      <c r="AY12" s="64" t="s">
        <v>229</v>
      </c>
      <c r="AZ12" s="64" t="s">
        <v>229</v>
      </c>
      <c r="BA12" s="64" t="s">
        <v>229</v>
      </c>
      <c r="BB12" s="64" t="s">
        <v>229</v>
      </c>
      <c r="BC12" s="64" t="s">
        <v>229</v>
      </c>
      <c r="BD12" s="64" t="s">
        <v>229</v>
      </c>
      <c r="BE12" s="64" t="s">
        <v>229</v>
      </c>
      <c r="BF12" s="64" t="s">
        <v>229</v>
      </c>
      <c r="BG12" s="64" t="s">
        <v>229</v>
      </c>
      <c r="BH12" s="64" t="s">
        <v>229</v>
      </c>
      <c r="BI12" s="64" t="s">
        <v>229</v>
      </c>
      <c r="BJ12" s="64" t="s">
        <v>229</v>
      </c>
      <c r="BK12" s="64" t="s">
        <v>229</v>
      </c>
      <c r="BL12" s="64" t="s">
        <v>229</v>
      </c>
      <c r="BM12" s="64" t="s">
        <v>229</v>
      </c>
      <c r="BN12" s="64" t="s">
        <v>229</v>
      </c>
      <c r="BO12" s="64" t="s">
        <v>229</v>
      </c>
      <c r="BP12" s="64" t="s">
        <v>229</v>
      </c>
      <c r="BQ12" s="64" t="s">
        <v>229</v>
      </c>
      <c r="BR12" s="64" t="s">
        <v>229</v>
      </c>
      <c r="BS12" s="64" t="s">
        <v>229</v>
      </c>
      <c r="BT12" s="64" t="s">
        <v>229</v>
      </c>
      <c r="BU12" s="64" t="s">
        <v>229</v>
      </c>
      <c r="BV12" s="64" t="s">
        <v>229</v>
      </c>
      <c r="BW12" s="64" t="s">
        <v>229</v>
      </c>
      <c r="BX12" s="64" t="s">
        <v>229</v>
      </c>
      <c r="BY12" s="64" t="s">
        <v>229</v>
      </c>
      <c r="BZ12" s="64" t="s">
        <v>229</v>
      </c>
      <c r="CA12" s="64" t="s">
        <v>229</v>
      </c>
      <c r="CB12" s="64" t="s">
        <v>229</v>
      </c>
      <c r="CC12" s="64" t="s">
        <v>229</v>
      </c>
      <c r="CD12" s="64" t="s">
        <v>229</v>
      </c>
      <c r="CE12" s="64" t="s">
        <v>229</v>
      </c>
      <c r="CF12" s="64" t="s">
        <v>229</v>
      </c>
      <c r="CG12" s="64" t="s">
        <v>229</v>
      </c>
      <c r="CH12" s="64" t="s">
        <v>229</v>
      </c>
      <c r="CI12" s="64" t="s">
        <v>229</v>
      </c>
      <c r="CJ12" s="64" t="s">
        <v>229</v>
      </c>
      <c r="CK12" s="64" t="s">
        <v>229</v>
      </c>
      <c r="CL12" s="64" t="s">
        <v>229</v>
      </c>
      <c r="CM12" s="64" t="s">
        <v>229</v>
      </c>
      <c r="CN12" s="64" t="s">
        <v>229</v>
      </c>
      <c r="CO12" s="64" t="s">
        <v>229</v>
      </c>
      <c r="CP12" s="64" t="s">
        <v>229</v>
      </c>
      <c r="CQ12" s="64" t="s">
        <v>229</v>
      </c>
      <c r="CR12" s="64" t="s">
        <v>229</v>
      </c>
      <c r="CS12" s="64" t="s">
        <v>229</v>
      </c>
      <c r="CT12" s="64" t="s">
        <v>229</v>
      </c>
      <c r="CU12" s="64" t="s">
        <v>229</v>
      </c>
      <c r="CV12" s="64" t="s">
        <v>229</v>
      </c>
      <c r="CW12" s="64" t="s">
        <v>229</v>
      </c>
      <c r="CX12" s="64" t="s">
        <v>229</v>
      </c>
      <c r="CY12" s="64" t="s">
        <v>229</v>
      </c>
      <c r="CZ12" s="64" t="s">
        <v>229</v>
      </c>
      <c r="DA12" s="64" t="s">
        <v>229</v>
      </c>
      <c r="DB12" s="64" t="s">
        <v>229</v>
      </c>
      <c r="DC12" s="64" t="s">
        <v>229</v>
      </c>
      <c r="DD12" s="64"/>
      <c r="DE12" s="65"/>
    </row>
    <row r="13" spans="1:109" x14ac:dyDescent="0.2">
      <c r="A13" s="59">
        <v>155</v>
      </c>
      <c r="B13" s="60" t="s">
        <v>234</v>
      </c>
      <c r="C13" s="61" t="s">
        <v>100</v>
      </c>
      <c r="D13" s="61" t="s">
        <v>225</v>
      </c>
      <c r="E13" s="61" t="s">
        <v>226</v>
      </c>
      <c r="F13" s="61"/>
      <c r="G13" s="62"/>
      <c r="H13" s="61"/>
      <c r="I13" s="63" t="s">
        <v>227</v>
      </c>
      <c r="J13" s="63">
        <v>1</v>
      </c>
      <c r="K13" s="63">
        <v>1</v>
      </c>
      <c r="L13" s="63">
        <v>1</v>
      </c>
      <c r="M13" s="63" t="s">
        <v>235</v>
      </c>
      <c r="N13" s="64" t="s">
        <v>229</v>
      </c>
      <c r="O13" s="64" t="s">
        <v>229</v>
      </c>
      <c r="P13" s="64" t="s">
        <v>229</v>
      </c>
      <c r="Q13" s="64" t="s">
        <v>229</v>
      </c>
      <c r="R13" s="64" t="s">
        <v>229</v>
      </c>
      <c r="S13" s="64" t="s">
        <v>229</v>
      </c>
      <c r="T13" s="64" t="s">
        <v>229</v>
      </c>
      <c r="U13" s="64" t="s">
        <v>229</v>
      </c>
      <c r="V13" s="64" t="s">
        <v>229</v>
      </c>
      <c r="W13" s="64" t="s">
        <v>229</v>
      </c>
      <c r="X13" s="64" t="s">
        <v>229</v>
      </c>
      <c r="Y13" s="64" t="s">
        <v>229</v>
      </c>
      <c r="Z13" s="64" t="s">
        <v>229</v>
      </c>
      <c r="AA13" s="64" t="s">
        <v>229</v>
      </c>
      <c r="AB13" s="64" t="s">
        <v>229</v>
      </c>
      <c r="AC13" s="64" t="s">
        <v>229</v>
      </c>
      <c r="AD13" s="64" t="s">
        <v>229</v>
      </c>
      <c r="AE13" s="64" t="s">
        <v>229</v>
      </c>
      <c r="AF13" s="64" t="s">
        <v>229</v>
      </c>
      <c r="AG13" s="64" t="s">
        <v>229</v>
      </c>
      <c r="AH13" s="64" t="s">
        <v>229</v>
      </c>
      <c r="AI13" s="64" t="s">
        <v>229</v>
      </c>
      <c r="AJ13" s="64" t="s">
        <v>229</v>
      </c>
      <c r="AK13" s="64" t="s">
        <v>229</v>
      </c>
      <c r="AL13" s="64" t="s">
        <v>229</v>
      </c>
      <c r="AM13" s="64" t="s">
        <v>229</v>
      </c>
      <c r="AN13" s="64" t="s">
        <v>229</v>
      </c>
      <c r="AO13" s="64" t="s">
        <v>229</v>
      </c>
      <c r="AP13" s="64" t="s">
        <v>229</v>
      </c>
      <c r="AQ13" s="64" t="s">
        <v>229</v>
      </c>
      <c r="AR13" s="64" t="s">
        <v>229</v>
      </c>
      <c r="AS13" s="64" t="s">
        <v>229</v>
      </c>
      <c r="AT13" s="64" t="s">
        <v>229</v>
      </c>
      <c r="AU13" s="64" t="s">
        <v>229</v>
      </c>
      <c r="AV13" s="64" t="s">
        <v>229</v>
      </c>
      <c r="AW13" s="64" t="s">
        <v>229</v>
      </c>
      <c r="AX13" s="64" t="s">
        <v>229</v>
      </c>
      <c r="AY13" s="64" t="s">
        <v>229</v>
      </c>
      <c r="AZ13" s="64" t="s">
        <v>229</v>
      </c>
      <c r="BA13" s="64" t="s">
        <v>229</v>
      </c>
      <c r="BB13" s="64" t="s">
        <v>229</v>
      </c>
      <c r="BC13" s="64" t="s">
        <v>229</v>
      </c>
      <c r="BD13" s="64" t="s">
        <v>229</v>
      </c>
      <c r="BE13" s="64" t="s">
        <v>229</v>
      </c>
      <c r="BF13" s="64" t="s">
        <v>229</v>
      </c>
      <c r="BG13" s="64" t="s">
        <v>229</v>
      </c>
      <c r="BH13" s="64" t="s">
        <v>229</v>
      </c>
      <c r="BI13" s="64" t="s">
        <v>229</v>
      </c>
      <c r="BJ13" s="64" t="s">
        <v>229</v>
      </c>
      <c r="BK13" s="64" t="s">
        <v>229</v>
      </c>
      <c r="BL13" s="64" t="s">
        <v>229</v>
      </c>
      <c r="BM13" s="64" t="s">
        <v>229</v>
      </c>
      <c r="BN13" s="64" t="s">
        <v>229</v>
      </c>
      <c r="BO13" s="64" t="s">
        <v>229</v>
      </c>
      <c r="BP13" s="64" t="s">
        <v>229</v>
      </c>
      <c r="BQ13" s="64" t="s">
        <v>229</v>
      </c>
      <c r="BR13" s="64" t="s">
        <v>229</v>
      </c>
      <c r="BS13" s="64" t="s">
        <v>229</v>
      </c>
      <c r="BT13" s="64" t="s">
        <v>229</v>
      </c>
      <c r="BU13" s="64" t="s">
        <v>229</v>
      </c>
      <c r="BV13" s="64" t="s">
        <v>229</v>
      </c>
      <c r="BW13" s="64" t="s">
        <v>229</v>
      </c>
      <c r="BX13" s="64" t="s">
        <v>229</v>
      </c>
      <c r="BY13" s="64" t="s">
        <v>229</v>
      </c>
      <c r="BZ13" s="64" t="s">
        <v>229</v>
      </c>
      <c r="CA13" s="64" t="s">
        <v>229</v>
      </c>
      <c r="CB13" s="64" t="s">
        <v>229</v>
      </c>
      <c r="CC13" s="64" t="s">
        <v>229</v>
      </c>
      <c r="CD13" s="64" t="s">
        <v>229</v>
      </c>
      <c r="CE13" s="64" t="s">
        <v>229</v>
      </c>
      <c r="CF13" s="64" t="s">
        <v>229</v>
      </c>
      <c r="CG13" s="64" t="s">
        <v>229</v>
      </c>
      <c r="CH13" s="64" t="s">
        <v>229</v>
      </c>
      <c r="CI13" s="64" t="s">
        <v>229</v>
      </c>
      <c r="CJ13" s="64" t="s">
        <v>229</v>
      </c>
      <c r="CK13" s="64" t="s">
        <v>229</v>
      </c>
      <c r="CL13" s="64" t="s">
        <v>229</v>
      </c>
      <c r="CM13" s="64" t="s">
        <v>229</v>
      </c>
      <c r="CN13" s="64" t="s">
        <v>229</v>
      </c>
      <c r="CO13" s="64" t="s">
        <v>229</v>
      </c>
      <c r="CP13" s="64" t="s">
        <v>229</v>
      </c>
      <c r="CQ13" s="64" t="s">
        <v>229</v>
      </c>
      <c r="CR13" s="64" t="s">
        <v>229</v>
      </c>
      <c r="CS13" s="64" t="s">
        <v>229</v>
      </c>
      <c r="CT13" s="64" t="s">
        <v>229</v>
      </c>
      <c r="CU13" s="64" t="s">
        <v>229</v>
      </c>
      <c r="CV13" s="64" t="s">
        <v>229</v>
      </c>
      <c r="CW13" s="64" t="s">
        <v>229</v>
      </c>
      <c r="CX13" s="64" t="s">
        <v>229</v>
      </c>
      <c r="CY13" s="64" t="s">
        <v>229</v>
      </c>
      <c r="CZ13" s="64" t="s">
        <v>229</v>
      </c>
      <c r="DA13" s="64" t="s">
        <v>229</v>
      </c>
      <c r="DB13" s="64" t="s">
        <v>229</v>
      </c>
      <c r="DC13" s="64" t="s">
        <v>229</v>
      </c>
      <c r="DD13" s="64" t="s">
        <v>229</v>
      </c>
      <c r="DE13" s="65"/>
    </row>
    <row r="14" spans="1:109" x14ac:dyDescent="0.2">
      <c r="A14" s="59">
        <v>1793</v>
      </c>
      <c r="B14" s="60" t="s">
        <v>236</v>
      </c>
      <c r="C14" s="61" t="s">
        <v>203</v>
      </c>
      <c r="D14" s="61" t="s">
        <v>225</v>
      </c>
      <c r="E14" s="61" t="s">
        <v>237</v>
      </c>
      <c r="F14" s="61"/>
      <c r="G14" s="62"/>
      <c r="H14" s="61"/>
      <c r="I14" s="63" t="s">
        <v>238</v>
      </c>
      <c r="J14" s="63"/>
      <c r="K14" s="63"/>
      <c r="L14" s="63">
        <v>1</v>
      </c>
      <c r="M14" s="63" t="s">
        <v>239</v>
      </c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 t="s">
        <v>229</v>
      </c>
      <c r="BX14" s="64" t="s">
        <v>229</v>
      </c>
      <c r="BY14" s="64" t="s">
        <v>229</v>
      </c>
      <c r="BZ14" s="64" t="s">
        <v>229</v>
      </c>
      <c r="CA14" s="64" t="s">
        <v>229</v>
      </c>
      <c r="CB14" s="64" t="s">
        <v>229</v>
      </c>
      <c r="CC14" s="64" t="s">
        <v>229</v>
      </c>
      <c r="CD14" s="64" t="s">
        <v>229</v>
      </c>
      <c r="CE14" s="64" t="s">
        <v>229</v>
      </c>
      <c r="CF14" s="64" t="s">
        <v>229</v>
      </c>
      <c r="CG14" s="64" t="s">
        <v>229</v>
      </c>
      <c r="CH14" s="64" t="s">
        <v>229</v>
      </c>
      <c r="CI14" s="64" t="s">
        <v>229</v>
      </c>
      <c r="CJ14" s="64"/>
      <c r="CK14" s="64" t="s">
        <v>229</v>
      </c>
      <c r="CL14" s="64" t="s">
        <v>229</v>
      </c>
      <c r="CM14" s="64"/>
      <c r="CN14" s="64" t="s">
        <v>229</v>
      </c>
      <c r="CO14" s="64"/>
      <c r="CP14" s="64" t="s">
        <v>229</v>
      </c>
      <c r="CQ14" s="64" t="s">
        <v>229</v>
      </c>
      <c r="CR14" s="64" t="s">
        <v>229</v>
      </c>
      <c r="CS14" s="64" t="s">
        <v>229</v>
      </c>
      <c r="CT14" s="64"/>
      <c r="CU14" s="64" t="s">
        <v>229</v>
      </c>
      <c r="CV14" s="64" t="s">
        <v>229</v>
      </c>
      <c r="CW14" s="64" t="s">
        <v>229</v>
      </c>
      <c r="CX14" s="64" t="s">
        <v>229</v>
      </c>
      <c r="CY14" s="64" t="s">
        <v>229</v>
      </c>
      <c r="CZ14" s="64" t="s">
        <v>229</v>
      </c>
      <c r="DA14" s="64" t="s">
        <v>229</v>
      </c>
      <c r="DB14" s="64" t="s">
        <v>229</v>
      </c>
      <c r="DC14" s="64" t="s">
        <v>229</v>
      </c>
      <c r="DD14" s="64"/>
      <c r="DE14" s="65"/>
    </row>
    <row r="15" spans="1:109" x14ac:dyDescent="0.2">
      <c r="A15" s="59">
        <v>157</v>
      </c>
      <c r="B15" s="60" t="s">
        <v>240</v>
      </c>
      <c r="C15" s="61" t="s">
        <v>100</v>
      </c>
      <c r="D15" s="61" t="s">
        <v>225</v>
      </c>
      <c r="E15" s="61" t="s">
        <v>226</v>
      </c>
      <c r="F15" s="61"/>
      <c r="G15" s="62"/>
      <c r="H15" s="61"/>
      <c r="I15" s="63" t="s">
        <v>238</v>
      </c>
      <c r="J15" s="63">
        <v>1</v>
      </c>
      <c r="K15" s="63">
        <v>1</v>
      </c>
      <c r="L15" s="63">
        <v>1</v>
      </c>
      <c r="M15" s="63" t="s">
        <v>241</v>
      </c>
      <c r="N15" s="64" t="s">
        <v>229</v>
      </c>
      <c r="O15" s="64" t="s">
        <v>229</v>
      </c>
      <c r="P15" s="64" t="s">
        <v>229</v>
      </c>
      <c r="Q15" s="64" t="s">
        <v>229</v>
      </c>
      <c r="R15" s="64" t="s">
        <v>229</v>
      </c>
      <c r="S15" s="64" t="s">
        <v>229</v>
      </c>
      <c r="T15" s="64" t="s">
        <v>229</v>
      </c>
      <c r="U15" s="64" t="s">
        <v>229</v>
      </c>
      <c r="V15" s="64" t="s">
        <v>229</v>
      </c>
      <c r="W15" s="64" t="s">
        <v>229</v>
      </c>
      <c r="X15" s="64" t="s">
        <v>229</v>
      </c>
      <c r="Y15" s="64" t="s">
        <v>229</v>
      </c>
      <c r="Z15" s="64" t="s">
        <v>229</v>
      </c>
      <c r="AA15" s="64" t="s">
        <v>229</v>
      </c>
      <c r="AB15" s="64" t="s">
        <v>229</v>
      </c>
      <c r="AC15" s="64" t="s">
        <v>229</v>
      </c>
      <c r="AD15" s="64" t="s">
        <v>229</v>
      </c>
      <c r="AE15" s="64" t="s">
        <v>229</v>
      </c>
      <c r="AF15" s="64" t="s">
        <v>229</v>
      </c>
      <c r="AG15" s="64" t="s">
        <v>229</v>
      </c>
      <c r="AH15" s="64" t="s">
        <v>229</v>
      </c>
      <c r="AI15" s="64" t="s">
        <v>229</v>
      </c>
      <c r="AJ15" s="64" t="s">
        <v>229</v>
      </c>
      <c r="AK15" s="64" t="s">
        <v>229</v>
      </c>
      <c r="AL15" s="64" t="s">
        <v>229</v>
      </c>
      <c r="AM15" s="64" t="s">
        <v>229</v>
      </c>
      <c r="AN15" s="64" t="s">
        <v>229</v>
      </c>
      <c r="AO15" s="64" t="s">
        <v>229</v>
      </c>
      <c r="AP15" s="64" t="s">
        <v>229</v>
      </c>
      <c r="AQ15" s="64" t="s">
        <v>229</v>
      </c>
      <c r="AR15" s="64" t="s">
        <v>229</v>
      </c>
      <c r="AS15" s="64" t="s">
        <v>229</v>
      </c>
      <c r="AT15" s="64" t="s">
        <v>229</v>
      </c>
      <c r="AU15" s="64" t="s">
        <v>229</v>
      </c>
      <c r="AV15" s="64" t="s">
        <v>229</v>
      </c>
      <c r="AW15" s="64" t="s">
        <v>229</v>
      </c>
      <c r="AX15" s="64" t="s">
        <v>229</v>
      </c>
      <c r="AY15" s="64" t="s">
        <v>229</v>
      </c>
      <c r="AZ15" s="64" t="s">
        <v>229</v>
      </c>
      <c r="BA15" s="64" t="s">
        <v>229</v>
      </c>
      <c r="BB15" s="64" t="s">
        <v>229</v>
      </c>
      <c r="BC15" s="64" t="s">
        <v>229</v>
      </c>
      <c r="BD15" s="64" t="s">
        <v>229</v>
      </c>
      <c r="BE15" s="64" t="s">
        <v>229</v>
      </c>
      <c r="BF15" s="64" t="s">
        <v>229</v>
      </c>
      <c r="BG15" s="64" t="s">
        <v>229</v>
      </c>
      <c r="BH15" s="64" t="s">
        <v>229</v>
      </c>
      <c r="BI15" s="64" t="s">
        <v>229</v>
      </c>
      <c r="BJ15" s="64" t="s">
        <v>229</v>
      </c>
      <c r="BK15" s="64" t="s">
        <v>229</v>
      </c>
      <c r="BL15" s="64" t="s">
        <v>229</v>
      </c>
      <c r="BM15" s="64" t="s">
        <v>229</v>
      </c>
      <c r="BN15" s="64" t="s">
        <v>229</v>
      </c>
      <c r="BO15" s="64" t="s">
        <v>229</v>
      </c>
      <c r="BP15" s="64" t="s">
        <v>229</v>
      </c>
      <c r="BQ15" s="64" t="s">
        <v>229</v>
      </c>
      <c r="BR15" s="64" t="s">
        <v>229</v>
      </c>
      <c r="BS15" s="64" t="s">
        <v>229</v>
      </c>
      <c r="BT15" s="64" t="s">
        <v>229</v>
      </c>
      <c r="BU15" s="64" t="s">
        <v>229</v>
      </c>
      <c r="BV15" s="64" t="s">
        <v>229</v>
      </c>
      <c r="BW15" s="64" t="s">
        <v>229</v>
      </c>
      <c r="BX15" s="64" t="s">
        <v>229</v>
      </c>
      <c r="BY15" s="64" t="s">
        <v>229</v>
      </c>
      <c r="BZ15" s="64" t="s">
        <v>229</v>
      </c>
      <c r="CA15" s="64" t="s">
        <v>229</v>
      </c>
      <c r="CB15" s="64" t="s">
        <v>229</v>
      </c>
      <c r="CC15" s="64" t="s">
        <v>229</v>
      </c>
      <c r="CD15" s="64" t="s">
        <v>229</v>
      </c>
      <c r="CE15" s="64" t="s">
        <v>229</v>
      </c>
      <c r="CF15" s="64" t="s">
        <v>229</v>
      </c>
      <c r="CG15" s="64" t="s">
        <v>229</v>
      </c>
      <c r="CH15" s="64" t="s">
        <v>229</v>
      </c>
      <c r="CI15" s="64" t="s">
        <v>229</v>
      </c>
      <c r="CJ15" s="64" t="s">
        <v>229</v>
      </c>
      <c r="CK15" s="64" t="s">
        <v>229</v>
      </c>
      <c r="CL15" s="64" t="s">
        <v>229</v>
      </c>
      <c r="CM15" s="64" t="s">
        <v>229</v>
      </c>
      <c r="CN15" s="64" t="s">
        <v>229</v>
      </c>
      <c r="CO15" s="64" t="s">
        <v>229</v>
      </c>
      <c r="CP15" s="64" t="s">
        <v>229</v>
      </c>
      <c r="CQ15" s="64" t="s">
        <v>229</v>
      </c>
      <c r="CR15" s="64" t="s">
        <v>229</v>
      </c>
      <c r="CS15" s="64" t="s">
        <v>229</v>
      </c>
      <c r="CT15" s="64" t="s">
        <v>229</v>
      </c>
      <c r="CU15" s="64" t="s">
        <v>229</v>
      </c>
      <c r="CV15" s="64" t="s">
        <v>229</v>
      </c>
      <c r="CW15" s="64" t="s">
        <v>229</v>
      </c>
      <c r="CX15" s="64" t="s">
        <v>229</v>
      </c>
      <c r="CY15" s="64" t="s">
        <v>229</v>
      </c>
      <c r="CZ15" s="64" t="s">
        <v>229</v>
      </c>
      <c r="DA15" s="64" t="s">
        <v>229</v>
      </c>
      <c r="DB15" s="64" t="s">
        <v>229</v>
      </c>
      <c r="DC15" s="64" t="s">
        <v>229</v>
      </c>
      <c r="DD15" s="64" t="s">
        <v>229</v>
      </c>
      <c r="DE15" s="65"/>
    </row>
    <row r="16" spans="1:109" x14ac:dyDescent="0.2">
      <c r="A16" s="59">
        <v>2602</v>
      </c>
      <c r="B16" s="60" t="s">
        <v>242</v>
      </c>
      <c r="C16" s="61" t="s">
        <v>100</v>
      </c>
      <c r="D16" s="61" t="s">
        <v>225</v>
      </c>
      <c r="E16" s="61" t="s">
        <v>226</v>
      </c>
      <c r="F16" s="61"/>
      <c r="G16" s="62"/>
      <c r="H16" s="61"/>
      <c r="I16" s="63" t="s">
        <v>238</v>
      </c>
      <c r="J16" s="63"/>
      <c r="K16" s="63"/>
      <c r="L16" s="63"/>
      <c r="M16" s="63"/>
      <c r="N16" s="64" t="s">
        <v>229</v>
      </c>
      <c r="O16" s="64" t="s">
        <v>229</v>
      </c>
      <c r="P16" s="64" t="s">
        <v>229</v>
      </c>
      <c r="Q16" s="64" t="s">
        <v>229</v>
      </c>
      <c r="R16" s="64" t="s">
        <v>229</v>
      </c>
      <c r="S16" s="64" t="s">
        <v>229</v>
      </c>
      <c r="T16" s="64" t="s">
        <v>229</v>
      </c>
      <c r="U16" s="64" t="s">
        <v>229</v>
      </c>
      <c r="V16" s="64" t="s">
        <v>229</v>
      </c>
      <c r="W16" s="64" t="s">
        <v>229</v>
      </c>
      <c r="X16" s="64" t="s">
        <v>229</v>
      </c>
      <c r="Y16" s="64" t="s">
        <v>229</v>
      </c>
      <c r="Z16" s="64" t="s">
        <v>229</v>
      </c>
      <c r="AA16" s="64" t="s">
        <v>229</v>
      </c>
      <c r="AB16" s="64" t="s">
        <v>229</v>
      </c>
      <c r="AC16" s="64" t="s">
        <v>229</v>
      </c>
      <c r="AD16" s="64" t="s">
        <v>229</v>
      </c>
      <c r="AE16" s="64" t="s">
        <v>229</v>
      </c>
      <c r="AF16" s="64" t="s">
        <v>229</v>
      </c>
      <c r="AG16" s="64" t="s">
        <v>229</v>
      </c>
      <c r="AH16" s="64" t="s">
        <v>229</v>
      </c>
      <c r="AI16" s="64" t="s">
        <v>229</v>
      </c>
      <c r="AJ16" s="64" t="s">
        <v>229</v>
      </c>
      <c r="AK16" s="64" t="s">
        <v>229</v>
      </c>
      <c r="AL16" s="64" t="s">
        <v>229</v>
      </c>
      <c r="AM16" s="64" t="s">
        <v>229</v>
      </c>
      <c r="AN16" s="64" t="s">
        <v>229</v>
      </c>
      <c r="AO16" s="64" t="s">
        <v>229</v>
      </c>
      <c r="AP16" s="64" t="s">
        <v>229</v>
      </c>
      <c r="AQ16" s="64" t="s">
        <v>229</v>
      </c>
      <c r="AR16" s="64" t="s">
        <v>229</v>
      </c>
      <c r="AS16" s="64" t="s">
        <v>229</v>
      </c>
      <c r="AT16" s="64" t="s">
        <v>229</v>
      </c>
      <c r="AU16" s="64" t="s">
        <v>229</v>
      </c>
      <c r="AV16" s="64" t="s">
        <v>229</v>
      </c>
      <c r="AW16" s="64" t="s">
        <v>229</v>
      </c>
      <c r="AX16" s="64" t="s">
        <v>229</v>
      </c>
      <c r="AY16" s="64" t="s">
        <v>229</v>
      </c>
      <c r="AZ16" s="64" t="s">
        <v>229</v>
      </c>
      <c r="BA16" s="64" t="s">
        <v>229</v>
      </c>
      <c r="BB16" s="64" t="s">
        <v>229</v>
      </c>
      <c r="BC16" s="64" t="s">
        <v>229</v>
      </c>
      <c r="BD16" s="64" t="s">
        <v>229</v>
      </c>
      <c r="BE16" s="64" t="s">
        <v>229</v>
      </c>
      <c r="BF16" s="64" t="s">
        <v>229</v>
      </c>
      <c r="BG16" s="64" t="s">
        <v>229</v>
      </c>
      <c r="BH16" s="64" t="s">
        <v>229</v>
      </c>
      <c r="BI16" s="64" t="s">
        <v>229</v>
      </c>
      <c r="BJ16" s="64" t="s">
        <v>229</v>
      </c>
      <c r="BK16" s="64" t="s">
        <v>229</v>
      </c>
      <c r="BL16" s="64" t="s">
        <v>229</v>
      </c>
      <c r="BM16" s="64" t="s">
        <v>229</v>
      </c>
      <c r="BN16" s="64" t="s">
        <v>229</v>
      </c>
      <c r="BO16" s="64" t="s">
        <v>229</v>
      </c>
      <c r="BP16" s="64" t="s">
        <v>229</v>
      </c>
      <c r="BQ16" s="64" t="s">
        <v>229</v>
      </c>
      <c r="BR16" s="64" t="s">
        <v>229</v>
      </c>
      <c r="BS16" s="64" t="s">
        <v>229</v>
      </c>
      <c r="BT16" s="64" t="s">
        <v>229</v>
      </c>
      <c r="BU16" s="64" t="s">
        <v>229</v>
      </c>
      <c r="BV16" s="64" t="s">
        <v>229</v>
      </c>
      <c r="BW16" s="64" t="s">
        <v>229</v>
      </c>
      <c r="BX16" s="64" t="s">
        <v>229</v>
      </c>
      <c r="BY16" s="64" t="s">
        <v>229</v>
      </c>
      <c r="BZ16" s="64" t="s">
        <v>229</v>
      </c>
      <c r="CA16" s="64" t="s">
        <v>229</v>
      </c>
      <c r="CB16" s="64" t="s">
        <v>229</v>
      </c>
      <c r="CC16" s="64" t="s">
        <v>229</v>
      </c>
      <c r="CD16" s="64" t="s">
        <v>229</v>
      </c>
      <c r="CE16" s="64" t="s">
        <v>229</v>
      </c>
      <c r="CF16" s="64" t="s">
        <v>229</v>
      </c>
      <c r="CG16" s="64" t="s">
        <v>229</v>
      </c>
      <c r="CH16" s="64" t="s">
        <v>229</v>
      </c>
      <c r="CI16" s="64" t="s">
        <v>229</v>
      </c>
      <c r="CJ16" s="64" t="s">
        <v>229</v>
      </c>
      <c r="CK16" s="64" t="s">
        <v>229</v>
      </c>
      <c r="CL16" s="64" t="s">
        <v>229</v>
      </c>
      <c r="CM16" s="64" t="s">
        <v>229</v>
      </c>
      <c r="CN16" s="64" t="s">
        <v>229</v>
      </c>
      <c r="CO16" s="64" t="s">
        <v>229</v>
      </c>
      <c r="CP16" s="64" t="s">
        <v>229</v>
      </c>
      <c r="CQ16" s="64" t="s">
        <v>229</v>
      </c>
      <c r="CR16" s="64" t="s">
        <v>229</v>
      </c>
      <c r="CS16" s="64" t="s">
        <v>229</v>
      </c>
      <c r="CT16" s="64" t="s">
        <v>229</v>
      </c>
      <c r="CU16" s="64" t="s">
        <v>229</v>
      </c>
      <c r="CV16" s="64" t="s">
        <v>229</v>
      </c>
      <c r="CW16" s="64" t="s">
        <v>229</v>
      </c>
      <c r="CX16" s="64" t="s">
        <v>229</v>
      </c>
      <c r="CY16" s="64" t="s">
        <v>229</v>
      </c>
      <c r="CZ16" s="64" t="s">
        <v>229</v>
      </c>
      <c r="DA16" s="64" t="s">
        <v>229</v>
      </c>
      <c r="DB16" s="64" t="s">
        <v>229</v>
      </c>
      <c r="DC16" s="64" t="s">
        <v>229</v>
      </c>
      <c r="DD16" s="64"/>
      <c r="DE16" s="65"/>
    </row>
    <row r="17" spans="1:109" x14ac:dyDescent="0.2">
      <c r="A17" s="59">
        <v>3103</v>
      </c>
      <c r="B17" s="60" t="s">
        <v>243</v>
      </c>
      <c r="C17" s="61" t="s">
        <v>200</v>
      </c>
      <c r="D17" s="61" t="s">
        <v>225</v>
      </c>
      <c r="E17" s="61" t="s">
        <v>226</v>
      </c>
      <c r="F17" s="61"/>
      <c r="G17" s="62"/>
      <c r="H17" s="61"/>
      <c r="I17" s="63" t="s">
        <v>238</v>
      </c>
      <c r="J17" s="63"/>
      <c r="K17" s="63"/>
      <c r="L17" s="63"/>
      <c r="M17" s="6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 t="s">
        <v>229</v>
      </c>
      <c r="AS17" s="64" t="s">
        <v>229</v>
      </c>
      <c r="AT17" s="64" t="s">
        <v>229</v>
      </c>
      <c r="AU17" s="64" t="s">
        <v>229</v>
      </c>
      <c r="AV17" s="64" t="s">
        <v>229</v>
      </c>
      <c r="AW17" s="64" t="s">
        <v>229</v>
      </c>
      <c r="AX17" s="64" t="s">
        <v>229</v>
      </c>
      <c r="AY17" s="64" t="s">
        <v>229</v>
      </c>
      <c r="AZ17" s="64" t="s">
        <v>229</v>
      </c>
      <c r="BA17" s="64" t="s">
        <v>229</v>
      </c>
      <c r="BB17" s="64" t="s">
        <v>229</v>
      </c>
      <c r="BC17" s="64" t="s">
        <v>229</v>
      </c>
      <c r="BD17" s="64" t="s">
        <v>229</v>
      </c>
      <c r="BE17" s="64" t="s">
        <v>229</v>
      </c>
      <c r="BF17" s="64" t="s">
        <v>229</v>
      </c>
      <c r="BG17" s="64" t="s">
        <v>229</v>
      </c>
      <c r="BH17" s="64" t="s">
        <v>229</v>
      </c>
      <c r="BI17" s="64" t="s">
        <v>229</v>
      </c>
      <c r="BJ17" s="64" t="s">
        <v>229</v>
      </c>
      <c r="BK17" s="64" t="s">
        <v>229</v>
      </c>
      <c r="BL17" s="64" t="s">
        <v>229</v>
      </c>
      <c r="BM17" s="64" t="s">
        <v>229</v>
      </c>
      <c r="BN17" s="64" t="s">
        <v>229</v>
      </c>
      <c r="BO17" s="64" t="s">
        <v>229</v>
      </c>
      <c r="BP17" s="64" t="s">
        <v>229</v>
      </c>
      <c r="BQ17" s="64" t="s">
        <v>229</v>
      </c>
      <c r="BR17" s="64" t="s">
        <v>229</v>
      </c>
      <c r="BS17" s="64" t="s">
        <v>229</v>
      </c>
      <c r="BT17" s="64" t="s">
        <v>229</v>
      </c>
      <c r="BU17" s="64" t="s">
        <v>229</v>
      </c>
      <c r="BV17" s="64" t="s">
        <v>229</v>
      </c>
      <c r="BW17" s="64" t="s">
        <v>229</v>
      </c>
      <c r="BX17" s="64" t="s">
        <v>229</v>
      </c>
      <c r="BY17" s="64" t="s">
        <v>229</v>
      </c>
      <c r="BZ17" s="64" t="s">
        <v>229</v>
      </c>
      <c r="CA17" s="64" t="s">
        <v>229</v>
      </c>
      <c r="CB17" s="64" t="s">
        <v>229</v>
      </c>
      <c r="CC17" s="64" t="s">
        <v>229</v>
      </c>
      <c r="CD17" s="64" t="s">
        <v>229</v>
      </c>
      <c r="CE17" s="64" t="s">
        <v>229</v>
      </c>
      <c r="CF17" s="64" t="s">
        <v>229</v>
      </c>
      <c r="CG17" s="64" t="s">
        <v>229</v>
      </c>
      <c r="CH17" s="64" t="s">
        <v>229</v>
      </c>
      <c r="CI17" s="64" t="s">
        <v>229</v>
      </c>
      <c r="CJ17" s="64" t="s">
        <v>229</v>
      </c>
      <c r="CK17" s="64" t="s">
        <v>229</v>
      </c>
      <c r="CL17" s="64" t="s">
        <v>229</v>
      </c>
      <c r="CM17" s="64" t="s">
        <v>229</v>
      </c>
      <c r="CN17" s="64" t="s">
        <v>229</v>
      </c>
      <c r="CO17" s="64" t="s">
        <v>229</v>
      </c>
      <c r="CP17" s="64" t="s">
        <v>229</v>
      </c>
      <c r="CQ17" s="64" t="s">
        <v>229</v>
      </c>
      <c r="CR17" s="64" t="s">
        <v>229</v>
      </c>
      <c r="CS17" s="64" t="s">
        <v>229</v>
      </c>
      <c r="CT17" s="64" t="s">
        <v>229</v>
      </c>
      <c r="CU17" s="64" t="s">
        <v>229</v>
      </c>
      <c r="CV17" s="64" t="s">
        <v>229</v>
      </c>
      <c r="CW17" s="64" t="s">
        <v>229</v>
      </c>
      <c r="CX17" s="64" t="s">
        <v>229</v>
      </c>
      <c r="CY17" s="64" t="s">
        <v>229</v>
      </c>
      <c r="CZ17" s="64" t="s">
        <v>229</v>
      </c>
      <c r="DA17" s="64" t="s">
        <v>229</v>
      </c>
      <c r="DB17" s="64" t="s">
        <v>229</v>
      </c>
      <c r="DC17" s="64" t="s">
        <v>229</v>
      </c>
      <c r="DD17" s="64"/>
      <c r="DE17" s="65"/>
    </row>
    <row r="18" spans="1:109" x14ac:dyDescent="0.2">
      <c r="A18" s="66">
        <v>1794</v>
      </c>
      <c r="B18" s="67" t="s">
        <v>244</v>
      </c>
      <c r="C18" s="68" t="s">
        <v>203</v>
      </c>
      <c r="D18" s="68" t="s">
        <v>231</v>
      </c>
      <c r="E18" s="68" t="s">
        <v>226</v>
      </c>
      <c r="F18" s="68"/>
      <c r="G18" s="69"/>
      <c r="H18" s="68"/>
      <c r="I18" s="66" t="s">
        <v>238</v>
      </c>
      <c r="J18" s="66"/>
      <c r="K18" s="66"/>
      <c r="L18" s="66"/>
      <c r="M18" s="66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 t="s">
        <v>229</v>
      </c>
      <c r="BX18" s="70" t="s">
        <v>229</v>
      </c>
      <c r="BY18" s="70" t="s">
        <v>229</v>
      </c>
      <c r="BZ18" s="70" t="s">
        <v>229</v>
      </c>
      <c r="CA18" s="70" t="s">
        <v>229</v>
      </c>
      <c r="CB18" s="70" t="s">
        <v>229</v>
      </c>
      <c r="CC18" s="70"/>
      <c r="CD18" s="70" t="s">
        <v>229</v>
      </c>
      <c r="CE18" s="70" t="s">
        <v>229</v>
      </c>
      <c r="CF18" s="70" t="s">
        <v>229</v>
      </c>
      <c r="CG18" s="70" t="s">
        <v>229</v>
      </c>
      <c r="CH18" s="70" t="s">
        <v>229</v>
      </c>
      <c r="CI18" s="70" t="s">
        <v>229</v>
      </c>
      <c r="CJ18" s="70" t="s">
        <v>229</v>
      </c>
      <c r="CK18" s="70"/>
      <c r="CL18" s="70"/>
      <c r="CM18" s="70"/>
      <c r="CN18" s="70" t="s">
        <v>229</v>
      </c>
      <c r="CO18" s="70" t="s">
        <v>229</v>
      </c>
      <c r="CP18" s="70" t="s">
        <v>229</v>
      </c>
      <c r="CQ18" s="70" t="s">
        <v>229</v>
      </c>
      <c r="CR18" s="70" t="s">
        <v>229</v>
      </c>
      <c r="CS18" s="70" t="s">
        <v>229</v>
      </c>
      <c r="CT18" s="70" t="s">
        <v>229</v>
      </c>
      <c r="CU18" s="70" t="s">
        <v>229</v>
      </c>
      <c r="CV18" s="70" t="s">
        <v>229</v>
      </c>
      <c r="CW18" s="70" t="s">
        <v>229</v>
      </c>
      <c r="CX18" s="70" t="s">
        <v>229</v>
      </c>
      <c r="CY18" s="70" t="s">
        <v>229</v>
      </c>
      <c r="CZ18" s="70"/>
      <c r="DA18" s="70" t="s">
        <v>229</v>
      </c>
      <c r="DB18" s="70"/>
      <c r="DC18" s="70"/>
      <c r="DD18" s="70"/>
      <c r="DE18" s="1"/>
    </row>
    <row r="19" spans="1:109" x14ac:dyDescent="0.2">
      <c r="A19" s="59">
        <v>1210</v>
      </c>
      <c r="B19" s="60" t="s">
        <v>245</v>
      </c>
      <c r="C19" s="61" t="s">
        <v>100</v>
      </c>
      <c r="D19" s="61" t="s">
        <v>225</v>
      </c>
      <c r="E19" s="61" t="s">
        <v>226</v>
      </c>
      <c r="F19" s="61"/>
      <c r="G19" s="62"/>
      <c r="H19" s="61"/>
      <c r="I19" s="63" t="s">
        <v>227</v>
      </c>
      <c r="J19" s="63">
        <v>1</v>
      </c>
      <c r="K19" s="63">
        <v>1</v>
      </c>
      <c r="L19" s="63">
        <v>1</v>
      </c>
      <c r="M19" s="63" t="s">
        <v>246</v>
      </c>
      <c r="N19" s="64" t="s">
        <v>229</v>
      </c>
      <c r="O19" s="64" t="s">
        <v>229</v>
      </c>
      <c r="P19" s="64" t="s">
        <v>229</v>
      </c>
      <c r="Q19" s="64" t="s">
        <v>229</v>
      </c>
      <c r="R19" s="64" t="s">
        <v>229</v>
      </c>
      <c r="S19" s="64" t="s">
        <v>229</v>
      </c>
      <c r="T19" s="64" t="s">
        <v>229</v>
      </c>
      <c r="U19" s="64" t="s">
        <v>229</v>
      </c>
      <c r="V19" s="64" t="s">
        <v>229</v>
      </c>
      <c r="W19" s="64" t="s">
        <v>229</v>
      </c>
      <c r="X19" s="64" t="s">
        <v>229</v>
      </c>
      <c r="Y19" s="64" t="s">
        <v>229</v>
      </c>
      <c r="Z19" s="64" t="s">
        <v>229</v>
      </c>
      <c r="AA19" s="64" t="s">
        <v>229</v>
      </c>
      <c r="AB19" s="64" t="s">
        <v>229</v>
      </c>
      <c r="AC19" s="64" t="s">
        <v>229</v>
      </c>
      <c r="AD19" s="64" t="s">
        <v>229</v>
      </c>
      <c r="AE19" s="64" t="s">
        <v>229</v>
      </c>
      <c r="AF19" s="64" t="s">
        <v>229</v>
      </c>
      <c r="AG19" s="64" t="s">
        <v>229</v>
      </c>
      <c r="AH19" s="64" t="s">
        <v>229</v>
      </c>
      <c r="AI19" s="64" t="s">
        <v>229</v>
      </c>
      <c r="AJ19" s="64" t="s">
        <v>229</v>
      </c>
      <c r="AK19" s="64" t="s">
        <v>229</v>
      </c>
      <c r="AL19" s="64" t="s">
        <v>229</v>
      </c>
      <c r="AM19" s="64" t="s">
        <v>229</v>
      </c>
      <c r="AN19" s="64" t="s">
        <v>229</v>
      </c>
      <c r="AO19" s="64" t="s">
        <v>229</v>
      </c>
      <c r="AP19" s="64" t="s">
        <v>229</v>
      </c>
      <c r="AQ19" s="64" t="s">
        <v>229</v>
      </c>
      <c r="AR19" s="64" t="s">
        <v>229</v>
      </c>
      <c r="AS19" s="64" t="s">
        <v>229</v>
      </c>
      <c r="AT19" s="64" t="s">
        <v>229</v>
      </c>
      <c r="AU19" s="64" t="s">
        <v>229</v>
      </c>
      <c r="AV19" s="64" t="s">
        <v>229</v>
      </c>
      <c r="AW19" s="64" t="s">
        <v>229</v>
      </c>
      <c r="AX19" s="64" t="s">
        <v>229</v>
      </c>
      <c r="AY19" s="64" t="s">
        <v>229</v>
      </c>
      <c r="AZ19" s="64" t="s">
        <v>229</v>
      </c>
      <c r="BA19" s="64" t="s">
        <v>229</v>
      </c>
      <c r="BB19" s="64" t="s">
        <v>229</v>
      </c>
      <c r="BC19" s="64" t="s">
        <v>229</v>
      </c>
      <c r="BD19" s="64" t="s">
        <v>229</v>
      </c>
      <c r="BE19" s="64" t="s">
        <v>229</v>
      </c>
      <c r="BF19" s="64" t="s">
        <v>229</v>
      </c>
      <c r="BG19" s="64" t="s">
        <v>229</v>
      </c>
      <c r="BH19" s="64" t="s">
        <v>229</v>
      </c>
      <c r="BI19" s="64" t="s">
        <v>229</v>
      </c>
      <c r="BJ19" s="64" t="s">
        <v>229</v>
      </c>
      <c r="BK19" s="64" t="s">
        <v>229</v>
      </c>
      <c r="BL19" s="64" t="s">
        <v>229</v>
      </c>
      <c r="BM19" s="64" t="s">
        <v>229</v>
      </c>
      <c r="BN19" s="64" t="s">
        <v>229</v>
      </c>
      <c r="BO19" s="64" t="s">
        <v>229</v>
      </c>
      <c r="BP19" s="64" t="s">
        <v>229</v>
      </c>
      <c r="BQ19" s="64" t="s">
        <v>229</v>
      </c>
      <c r="BR19" s="64" t="s">
        <v>229</v>
      </c>
      <c r="BS19" s="64" t="s">
        <v>229</v>
      </c>
      <c r="BT19" s="64" t="s">
        <v>229</v>
      </c>
      <c r="BU19" s="64" t="s">
        <v>229</v>
      </c>
      <c r="BV19" s="64" t="s">
        <v>229</v>
      </c>
      <c r="BW19" s="64" t="s">
        <v>229</v>
      </c>
      <c r="BX19" s="64" t="s">
        <v>229</v>
      </c>
      <c r="BY19" s="64" t="s">
        <v>229</v>
      </c>
      <c r="BZ19" s="64" t="s">
        <v>229</v>
      </c>
      <c r="CA19" s="64" t="s">
        <v>229</v>
      </c>
      <c r="CB19" s="64" t="s">
        <v>229</v>
      </c>
      <c r="CC19" s="64" t="s">
        <v>229</v>
      </c>
      <c r="CD19" s="64" t="s">
        <v>229</v>
      </c>
      <c r="CE19" s="64" t="s">
        <v>229</v>
      </c>
      <c r="CF19" s="64" t="s">
        <v>229</v>
      </c>
      <c r="CG19" s="64" t="s">
        <v>229</v>
      </c>
      <c r="CH19" s="64" t="s">
        <v>229</v>
      </c>
      <c r="CI19" s="64" t="s">
        <v>229</v>
      </c>
      <c r="CJ19" s="64" t="s">
        <v>229</v>
      </c>
      <c r="CK19" s="64" t="s">
        <v>229</v>
      </c>
      <c r="CL19" s="64" t="s">
        <v>229</v>
      </c>
      <c r="CM19" s="64" t="s">
        <v>229</v>
      </c>
      <c r="CN19" s="64" t="s">
        <v>229</v>
      </c>
      <c r="CO19" s="64" t="s">
        <v>229</v>
      </c>
      <c r="CP19" s="64" t="s">
        <v>229</v>
      </c>
      <c r="CQ19" s="64" t="s">
        <v>229</v>
      </c>
      <c r="CR19" s="64" t="s">
        <v>229</v>
      </c>
      <c r="CS19" s="64" t="s">
        <v>229</v>
      </c>
      <c r="CT19" s="64" t="s">
        <v>229</v>
      </c>
      <c r="CU19" s="64" t="s">
        <v>229</v>
      </c>
      <c r="CV19" s="64" t="s">
        <v>229</v>
      </c>
      <c r="CW19" s="64" t="s">
        <v>229</v>
      </c>
      <c r="CX19" s="64" t="s">
        <v>229</v>
      </c>
      <c r="CY19" s="64" t="s">
        <v>229</v>
      </c>
      <c r="CZ19" s="64" t="s">
        <v>229</v>
      </c>
      <c r="DA19" s="64" t="s">
        <v>229</v>
      </c>
      <c r="DB19" s="64" t="s">
        <v>229</v>
      </c>
      <c r="DC19" s="64" t="s">
        <v>229</v>
      </c>
      <c r="DD19" s="64" t="s">
        <v>229</v>
      </c>
      <c r="DE19" s="65"/>
    </row>
    <row r="20" spans="1:109" x14ac:dyDescent="0.2">
      <c r="A20" s="59">
        <v>1795</v>
      </c>
      <c r="B20" s="60" t="s">
        <v>247</v>
      </c>
      <c r="C20" s="61" t="s">
        <v>203</v>
      </c>
      <c r="D20" s="61" t="s">
        <v>225</v>
      </c>
      <c r="E20" s="61" t="s">
        <v>226</v>
      </c>
      <c r="F20" s="61"/>
      <c r="G20" s="62"/>
      <c r="H20" s="61"/>
      <c r="I20" s="63" t="s">
        <v>238</v>
      </c>
      <c r="J20" s="63"/>
      <c r="K20" s="63"/>
      <c r="L20" s="63">
        <v>1</v>
      </c>
      <c r="M20" s="63" t="s">
        <v>248</v>
      </c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 t="s">
        <v>229</v>
      </c>
      <c r="BX20" s="64" t="s">
        <v>229</v>
      </c>
      <c r="BY20" s="64" t="s">
        <v>229</v>
      </c>
      <c r="BZ20" s="64" t="s">
        <v>229</v>
      </c>
      <c r="CA20" s="64" t="s">
        <v>229</v>
      </c>
      <c r="CB20" s="64" t="s">
        <v>229</v>
      </c>
      <c r="CC20" s="64" t="s">
        <v>229</v>
      </c>
      <c r="CD20" s="64" t="s">
        <v>229</v>
      </c>
      <c r="CE20" s="64" t="s">
        <v>229</v>
      </c>
      <c r="CF20" s="64" t="s">
        <v>229</v>
      </c>
      <c r="CG20" s="64" t="s">
        <v>229</v>
      </c>
      <c r="CH20" s="64" t="s">
        <v>229</v>
      </c>
      <c r="CI20" s="64" t="s">
        <v>229</v>
      </c>
      <c r="CJ20" s="64" t="s">
        <v>229</v>
      </c>
      <c r="CK20" s="64" t="s">
        <v>229</v>
      </c>
      <c r="CL20" s="64" t="s">
        <v>229</v>
      </c>
      <c r="CM20" s="64"/>
      <c r="CN20" s="64" t="s">
        <v>229</v>
      </c>
      <c r="CO20" s="64" t="s">
        <v>229</v>
      </c>
      <c r="CP20" s="64" t="s">
        <v>229</v>
      </c>
      <c r="CQ20" s="64" t="s">
        <v>229</v>
      </c>
      <c r="CR20" s="64" t="s">
        <v>229</v>
      </c>
      <c r="CS20" s="64" t="s">
        <v>229</v>
      </c>
      <c r="CT20" s="64" t="s">
        <v>229</v>
      </c>
      <c r="CU20" s="64" t="s">
        <v>229</v>
      </c>
      <c r="CV20" s="64" t="s">
        <v>229</v>
      </c>
      <c r="CW20" s="64" t="s">
        <v>229</v>
      </c>
      <c r="CX20" s="64" t="s">
        <v>229</v>
      </c>
      <c r="CY20" s="64" t="s">
        <v>229</v>
      </c>
      <c r="CZ20" s="64" t="s">
        <v>229</v>
      </c>
      <c r="DA20" s="64" t="s">
        <v>229</v>
      </c>
      <c r="DB20" s="64" t="s">
        <v>229</v>
      </c>
      <c r="DC20" s="64" t="s">
        <v>229</v>
      </c>
      <c r="DD20" s="64"/>
      <c r="DE20" s="65"/>
    </row>
    <row r="21" spans="1:109" x14ac:dyDescent="0.2">
      <c r="A21" s="59">
        <v>2472</v>
      </c>
      <c r="B21" s="60" t="s">
        <v>249</v>
      </c>
      <c r="C21" s="61" t="s">
        <v>100</v>
      </c>
      <c r="D21" s="61" t="s">
        <v>225</v>
      </c>
      <c r="E21" s="61" t="s">
        <v>237</v>
      </c>
      <c r="F21" s="61"/>
      <c r="G21" s="62"/>
      <c r="H21" s="61"/>
      <c r="I21" s="63" t="s">
        <v>227</v>
      </c>
      <c r="J21" s="63">
        <v>1</v>
      </c>
      <c r="K21" s="63">
        <v>1</v>
      </c>
      <c r="L21" s="63">
        <v>1</v>
      </c>
      <c r="M21" s="63" t="s">
        <v>232</v>
      </c>
      <c r="N21" s="64" t="s">
        <v>229</v>
      </c>
      <c r="O21" s="64" t="s">
        <v>229</v>
      </c>
      <c r="P21" s="64" t="s">
        <v>229</v>
      </c>
      <c r="Q21" s="64" t="s">
        <v>229</v>
      </c>
      <c r="R21" s="64" t="s">
        <v>229</v>
      </c>
      <c r="S21" s="64" t="s">
        <v>229</v>
      </c>
      <c r="T21" s="64" t="s">
        <v>229</v>
      </c>
      <c r="U21" s="64" t="s">
        <v>229</v>
      </c>
      <c r="V21" s="64" t="s">
        <v>229</v>
      </c>
      <c r="W21" s="64" t="s">
        <v>229</v>
      </c>
      <c r="X21" s="64" t="s">
        <v>229</v>
      </c>
      <c r="Y21" s="64" t="s">
        <v>229</v>
      </c>
      <c r="Z21" s="64" t="s">
        <v>229</v>
      </c>
      <c r="AA21" s="64" t="s">
        <v>229</v>
      </c>
      <c r="AB21" s="64" t="s">
        <v>229</v>
      </c>
      <c r="AC21" s="64" t="s">
        <v>229</v>
      </c>
      <c r="AD21" s="64" t="s">
        <v>229</v>
      </c>
      <c r="AE21" s="64" t="s">
        <v>229</v>
      </c>
      <c r="AF21" s="64" t="s">
        <v>229</v>
      </c>
      <c r="AG21" s="64" t="s">
        <v>229</v>
      </c>
      <c r="AH21" s="64" t="s">
        <v>229</v>
      </c>
      <c r="AI21" s="64" t="s">
        <v>229</v>
      </c>
      <c r="AJ21" s="64" t="s">
        <v>229</v>
      </c>
      <c r="AK21" s="64" t="s">
        <v>229</v>
      </c>
      <c r="AL21" s="64" t="s">
        <v>229</v>
      </c>
      <c r="AM21" s="64" t="s">
        <v>229</v>
      </c>
      <c r="AN21" s="64" t="s">
        <v>229</v>
      </c>
      <c r="AO21" s="64" t="s">
        <v>229</v>
      </c>
      <c r="AP21" s="64" t="s">
        <v>229</v>
      </c>
      <c r="AQ21" s="64" t="s">
        <v>229</v>
      </c>
      <c r="AR21" s="64" t="s">
        <v>229</v>
      </c>
      <c r="AS21" s="64" t="s">
        <v>229</v>
      </c>
      <c r="AT21" s="64" t="s">
        <v>229</v>
      </c>
      <c r="AU21" s="64" t="s">
        <v>229</v>
      </c>
      <c r="AV21" s="64" t="s">
        <v>229</v>
      </c>
      <c r="AW21" s="64" t="s">
        <v>229</v>
      </c>
      <c r="AX21" s="64" t="s">
        <v>229</v>
      </c>
      <c r="AY21" s="64" t="s">
        <v>229</v>
      </c>
      <c r="AZ21" s="64" t="s">
        <v>229</v>
      </c>
      <c r="BA21" s="64" t="s">
        <v>229</v>
      </c>
      <c r="BB21" s="64" t="s">
        <v>229</v>
      </c>
      <c r="BC21" s="64" t="s">
        <v>229</v>
      </c>
      <c r="BD21" s="64" t="s">
        <v>229</v>
      </c>
      <c r="BE21" s="64" t="s">
        <v>229</v>
      </c>
      <c r="BF21" s="64" t="s">
        <v>229</v>
      </c>
      <c r="BG21" s="64" t="s">
        <v>229</v>
      </c>
      <c r="BH21" s="64" t="s">
        <v>229</v>
      </c>
      <c r="BI21" s="64" t="s">
        <v>229</v>
      </c>
      <c r="BJ21" s="64" t="s">
        <v>229</v>
      </c>
      <c r="BK21" s="64" t="s">
        <v>229</v>
      </c>
      <c r="BL21" s="64" t="s">
        <v>229</v>
      </c>
      <c r="BM21" s="64" t="s">
        <v>229</v>
      </c>
      <c r="BN21" s="64" t="s">
        <v>229</v>
      </c>
      <c r="BO21" s="64" t="s">
        <v>229</v>
      </c>
      <c r="BP21" s="64" t="s">
        <v>229</v>
      </c>
      <c r="BQ21" s="64" t="s">
        <v>229</v>
      </c>
      <c r="BR21" s="64" t="s">
        <v>229</v>
      </c>
      <c r="BS21" s="64" t="s">
        <v>229</v>
      </c>
      <c r="BT21" s="64" t="s">
        <v>229</v>
      </c>
      <c r="BU21" s="64" t="s">
        <v>229</v>
      </c>
      <c r="BV21" s="64" t="s">
        <v>229</v>
      </c>
      <c r="BW21" s="64" t="s">
        <v>229</v>
      </c>
      <c r="BX21" s="64" t="s">
        <v>229</v>
      </c>
      <c r="BY21" s="64" t="s">
        <v>229</v>
      </c>
      <c r="BZ21" s="64" t="s">
        <v>229</v>
      </c>
      <c r="CA21" s="64" t="s">
        <v>229</v>
      </c>
      <c r="CB21" s="64" t="s">
        <v>229</v>
      </c>
      <c r="CC21" s="64" t="s">
        <v>229</v>
      </c>
      <c r="CD21" s="64" t="s">
        <v>229</v>
      </c>
      <c r="CE21" s="64" t="s">
        <v>229</v>
      </c>
      <c r="CF21" s="64" t="s">
        <v>229</v>
      </c>
      <c r="CG21" s="64" t="s">
        <v>229</v>
      </c>
      <c r="CH21" s="64" t="s">
        <v>229</v>
      </c>
      <c r="CI21" s="64" t="s">
        <v>229</v>
      </c>
      <c r="CJ21" s="64" t="s">
        <v>229</v>
      </c>
      <c r="CK21" s="64" t="s">
        <v>229</v>
      </c>
      <c r="CL21" s="64" t="s">
        <v>229</v>
      </c>
      <c r="CM21" s="64" t="s">
        <v>229</v>
      </c>
      <c r="CN21" s="64" t="s">
        <v>229</v>
      </c>
      <c r="CO21" s="64" t="s">
        <v>229</v>
      </c>
      <c r="CP21" s="64" t="s">
        <v>229</v>
      </c>
      <c r="CQ21" s="64" t="s">
        <v>229</v>
      </c>
      <c r="CR21" s="64" t="s">
        <v>229</v>
      </c>
      <c r="CS21" s="64" t="s">
        <v>229</v>
      </c>
      <c r="CT21" s="64" t="s">
        <v>229</v>
      </c>
      <c r="CU21" s="64" t="s">
        <v>229</v>
      </c>
      <c r="CV21" s="64" t="s">
        <v>229</v>
      </c>
      <c r="CW21" s="64" t="s">
        <v>229</v>
      </c>
      <c r="CX21" s="64" t="s">
        <v>229</v>
      </c>
      <c r="CY21" s="64" t="s">
        <v>229</v>
      </c>
      <c r="CZ21" s="64" t="s">
        <v>229</v>
      </c>
      <c r="DA21" s="64" t="s">
        <v>229</v>
      </c>
      <c r="DB21" s="64" t="s">
        <v>229</v>
      </c>
      <c r="DC21" s="64" t="s">
        <v>229</v>
      </c>
      <c r="DD21" s="64"/>
      <c r="DE21" s="65"/>
    </row>
    <row r="22" spans="1:109" x14ac:dyDescent="0.2">
      <c r="A22" s="59">
        <v>175</v>
      </c>
      <c r="B22" s="60" t="s">
        <v>250</v>
      </c>
      <c r="C22" s="61" t="s">
        <v>100</v>
      </c>
      <c r="D22" s="61" t="s">
        <v>225</v>
      </c>
      <c r="E22" s="61" t="s">
        <v>226</v>
      </c>
      <c r="F22" s="61"/>
      <c r="G22" s="62"/>
      <c r="H22" s="61"/>
      <c r="I22" s="63" t="s">
        <v>227</v>
      </c>
      <c r="J22" s="63">
        <v>1</v>
      </c>
      <c r="K22" s="63">
        <v>1</v>
      </c>
      <c r="L22" s="63">
        <v>1</v>
      </c>
      <c r="M22" s="63" t="s">
        <v>241</v>
      </c>
      <c r="N22" s="64" t="s">
        <v>229</v>
      </c>
      <c r="O22" s="64" t="s">
        <v>229</v>
      </c>
      <c r="P22" s="64" t="s">
        <v>229</v>
      </c>
      <c r="Q22" s="64" t="s">
        <v>229</v>
      </c>
      <c r="R22" s="64" t="s">
        <v>229</v>
      </c>
      <c r="S22" s="64" t="s">
        <v>229</v>
      </c>
      <c r="T22" s="64" t="s">
        <v>229</v>
      </c>
      <c r="U22" s="64" t="s">
        <v>229</v>
      </c>
      <c r="V22" s="64" t="s">
        <v>229</v>
      </c>
      <c r="W22" s="64" t="s">
        <v>229</v>
      </c>
      <c r="X22" s="64" t="s">
        <v>229</v>
      </c>
      <c r="Y22" s="64" t="s">
        <v>229</v>
      </c>
      <c r="Z22" s="64" t="s">
        <v>229</v>
      </c>
      <c r="AA22" s="64" t="s">
        <v>229</v>
      </c>
      <c r="AB22" s="64" t="s">
        <v>229</v>
      </c>
      <c r="AC22" s="64" t="s">
        <v>229</v>
      </c>
      <c r="AD22" s="64" t="s">
        <v>229</v>
      </c>
      <c r="AE22" s="64" t="s">
        <v>229</v>
      </c>
      <c r="AF22" s="64" t="s">
        <v>229</v>
      </c>
      <c r="AG22" s="64" t="s">
        <v>229</v>
      </c>
      <c r="AH22" s="64" t="s">
        <v>229</v>
      </c>
      <c r="AI22" s="64" t="s">
        <v>229</v>
      </c>
      <c r="AJ22" s="64" t="s">
        <v>229</v>
      </c>
      <c r="AK22" s="64" t="s">
        <v>229</v>
      </c>
      <c r="AL22" s="64" t="s">
        <v>229</v>
      </c>
      <c r="AM22" s="64" t="s">
        <v>229</v>
      </c>
      <c r="AN22" s="64" t="s">
        <v>229</v>
      </c>
      <c r="AO22" s="64" t="s">
        <v>229</v>
      </c>
      <c r="AP22" s="64" t="s">
        <v>229</v>
      </c>
      <c r="AQ22" s="64" t="s">
        <v>229</v>
      </c>
      <c r="AR22" s="64" t="s">
        <v>229</v>
      </c>
      <c r="AS22" s="64" t="s">
        <v>229</v>
      </c>
      <c r="AT22" s="64" t="s">
        <v>229</v>
      </c>
      <c r="AU22" s="64" t="s">
        <v>229</v>
      </c>
      <c r="AV22" s="64" t="s">
        <v>229</v>
      </c>
      <c r="AW22" s="64" t="s">
        <v>229</v>
      </c>
      <c r="AX22" s="64" t="s">
        <v>229</v>
      </c>
      <c r="AY22" s="64" t="s">
        <v>229</v>
      </c>
      <c r="AZ22" s="64" t="s">
        <v>229</v>
      </c>
      <c r="BA22" s="64" t="s">
        <v>229</v>
      </c>
      <c r="BB22" s="64" t="s">
        <v>229</v>
      </c>
      <c r="BC22" s="64" t="s">
        <v>229</v>
      </c>
      <c r="BD22" s="64" t="s">
        <v>229</v>
      </c>
      <c r="BE22" s="64" t="s">
        <v>229</v>
      </c>
      <c r="BF22" s="64" t="s">
        <v>229</v>
      </c>
      <c r="BG22" s="64" t="s">
        <v>229</v>
      </c>
      <c r="BH22" s="64" t="s">
        <v>229</v>
      </c>
      <c r="BI22" s="64" t="s">
        <v>229</v>
      </c>
      <c r="BJ22" s="64" t="s">
        <v>229</v>
      </c>
      <c r="BK22" s="64" t="s">
        <v>229</v>
      </c>
      <c r="BL22" s="64" t="s">
        <v>229</v>
      </c>
      <c r="BM22" s="64" t="s">
        <v>229</v>
      </c>
      <c r="BN22" s="64" t="s">
        <v>229</v>
      </c>
      <c r="BO22" s="64" t="s">
        <v>229</v>
      </c>
      <c r="BP22" s="64" t="s">
        <v>229</v>
      </c>
      <c r="BQ22" s="64" t="s">
        <v>229</v>
      </c>
      <c r="BR22" s="64" t="s">
        <v>229</v>
      </c>
      <c r="BS22" s="64" t="s">
        <v>229</v>
      </c>
      <c r="BT22" s="64" t="s">
        <v>229</v>
      </c>
      <c r="BU22" s="64" t="s">
        <v>229</v>
      </c>
      <c r="BV22" s="64" t="s">
        <v>229</v>
      </c>
      <c r="BW22" s="64" t="s">
        <v>229</v>
      </c>
      <c r="BX22" s="64" t="s">
        <v>229</v>
      </c>
      <c r="BY22" s="64" t="s">
        <v>229</v>
      </c>
      <c r="BZ22" s="64" t="s">
        <v>229</v>
      </c>
      <c r="CA22" s="64" t="s">
        <v>229</v>
      </c>
      <c r="CB22" s="64" t="s">
        <v>229</v>
      </c>
      <c r="CC22" s="64" t="s">
        <v>229</v>
      </c>
      <c r="CD22" s="64" t="s">
        <v>229</v>
      </c>
      <c r="CE22" s="64" t="s">
        <v>229</v>
      </c>
      <c r="CF22" s="64" t="s">
        <v>229</v>
      </c>
      <c r="CG22" s="64" t="s">
        <v>229</v>
      </c>
      <c r="CH22" s="64" t="s">
        <v>229</v>
      </c>
      <c r="CI22" s="64" t="s">
        <v>229</v>
      </c>
      <c r="CJ22" s="64" t="s">
        <v>229</v>
      </c>
      <c r="CK22" s="64" t="s">
        <v>229</v>
      </c>
      <c r="CL22" s="64" t="s">
        <v>229</v>
      </c>
      <c r="CM22" s="64" t="s">
        <v>229</v>
      </c>
      <c r="CN22" s="64" t="s">
        <v>229</v>
      </c>
      <c r="CO22" s="64" t="s">
        <v>229</v>
      </c>
      <c r="CP22" s="64" t="s">
        <v>229</v>
      </c>
      <c r="CQ22" s="64" t="s">
        <v>229</v>
      </c>
      <c r="CR22" s="64" t="s">
        <v>229</v>
      </c>
      <c r="CS22" s="64" t="s">
        <v>229</v>
      </c>
      <c r="CT22" s="64" t="s">
        <v>229</v>
      </c>
      <c r="CU22" s="64" t="s">
        <v>229</v>
      </c>
      <c r="CV22" s="64" t="s">
        <v>229</v>
      </c>
      <c r="CW22" s="64" t="s">
        <v>229</v>
      </c>
      <c r="CX22" s="64" t="s">
        <v>229</v>
      </c>
      <c r="CY22" s="64" t="s">
        <v>229</v>
      </c>
      <c r="CZ22" s="64" t="s">
        <v>229</v>
      </c>
      <c r="DA22" s="64" t="s">
        <v>229</v>
      </c>
      <c r="DB22" s="64" t="s">
        <v>229</v>
      </c>
      <c r="DC22" s="64" t="s">
        <v>229</v>
      </c>
      <c r="DD22" s="64"/>
      <c r="DE22" s="65"/>
    </row>
    <row r="23" spans="1:109" x14ac:dyDescent="0.2">
      <c r="A23" s="59">
        <v>2052</v>
      </c>
      <c r="B23" s="60" t="s">
        <v>251</v>
      </c>
      <c r="C23" s="61" t="s">
        <v>200</v>
      </c>
      <c r="D23" s="61" t="s">
        <v>225</v>
      </c>
      <c r="E23" s="61" t="s">
        <v>226</v>
      </c>
      <c r="F23" s="61"/>
      <c r="G23" s="62"/>
      <c r="H23" s="61"/>
      <c r="I23" s="63" t="s">
        <v>238</v>
      </c>
      <c r="J23" s="63"/>
      <c r="K23" s="63">
        <v>1</v>
      </c>
      <c r="L23" s="63">
        <v>1</v>
      </c>
      <c r="M23" s="63" t="s">
        <v>232</v>
      </c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 t="s">
        <v>229</v>
      </c>
      <c r="AS23" s="64" t="s">
        <v>229</v>
      </c>
      <c r="AT23" s="64" t="s">
        <v>229</v>
      </c>
      <c r="AU23" s="64" t="s">
        <v>229</v>
      </c>
      <c r="AV23" s="64" t="s">
        <v>229</v>
      </c>
      <c r="AW23" s="64" t="s">
        <v>229</v>
      </c>
      <c r="AX23" s="64" t="s">
        <v>229</v>
      </c>
      <c r="AY23" s="64" t="s">
        <v>229</v>
      </c>
      <c r="AZ23" s="64" t="s">
        <v>229</v>
      </c>
      <c r="BA23" s="64" t="s">
        <v>229</v>
      </c>
      <c r="BB23" s="64" t="s">
        <v>229</v>
      </c>
      <c r="BC23" s="64" t="s">
        <v>229</v>
      </c>
      <c r="BD23" s="64" t="s">
        <v>229</v>
      </c>
      <c r="BE23" s="64" t="s">
        <v>229</v>
      </c>
      <c r="BF23" s="64" t="s">
        <v>229</v>
      </c>
      <c r="BG23" s="64" t="s">
        <v>229</v>
      </c>
      <c r="BH23" s="64" t="s">
        <v>229</v>
      </c>
      <c r="BI23" s="64" t="s">
        <v>229</v>
      </c>
      <c r="BJ23" s="64" t="s">
        <v>229</v>
      </c>
      <c r="BK23" s="64" t="s">
        <v>229</v>
      </c>
      <c r="BL23" s="64" t="s">
        <v>229</v>
      </c>
      <c r="BM23" s="64" t="s">
        <v>229</v>
      </c>
      <c r="BN23" s="64" t="s">
        <v>229</v>
      </c>
      <c r="BO23" s="64" t="s">
        <v>229</v>
      </c>
      <c r="BP23" s="64" t="s">
        <v>229</v>
      </c>
      <c r="BQ23" s="64" t="s">
        <v>229</v>
      </c>
      <c r="BR23" s="64" t="s">
        <v>229</v>
      </c>
      <c r="BS23" s="64" t="s">
        <v>229</v>
      </c>
      <c r="BT23" s="64" t="s">
        <v>229</v>
      </c>
      <c r="BU23" s="64" t="s">
        <v>229</v>
      </c>
      <c r="BV23" s="64" t="s">
        <v>229</v>
      </c>
      <c r="BW23" s="64" t="s">
        <v>229</v>
      </c>
      <c r="BX23" s="64" t="s">
        <v>229</v>
      </c>
      <c r="BY23" s="64" t="s">
        <v>229</v>
      </c>
      <c r="BZ23" s="64" t="s">
        <v>229</v>
      </c>
      <c r="CA23" s="64" t="s">
        <v>229</v>
      </c>
      <c r="CB23" s="64" t="s">
        <v>229</v>
      </c>
      <c r="CC23" s="64" t="s">
        <v>229</v>
      </c>
      <c r="CD23" s="64" t="s">
        <v>229</v>
      </c>
      <c r="CE23" s="64" t="s">
        <v>229</v>
      </c>
      <c r="CF23" s="64" t="s">
        <v>229</v>
      </c>
      <c r="CG23" s="64" t="s">
        <v>229</v>
      </c>
      <c r="CH23" s="64" t="s">
        <v>229</v>
      </c>
      <c r="CI23" s="64" t="s">
        <v>229</v>
      </c>
      <c r="CJ23" s="64" t="s">
        <v>229</v>
      </c>
      <c r="CK23" s="64" t="s">
        <v>229</v>
      </c>
      <c r="CL23" s="64" t="s">
        <v>229</v>
      </c>
      <c r="CM23" s="64" t="s">
        <v>229</v>
      </c>
      <c r="CN23" s="64" t="s">
        <v>229</v>
      </c>
      <c r="CO23" s="64" t="s">
        <v>229</v>
      </c>
      <c r="CP23" s="64" t="s">
        <v>229</v>
      </c>
      <c r="CQ23" s="64" t="s">
        <v>229</v>
      </c>
      <c r="CR23" s="64" t="s">
        <v>229</v>
      </c>
      <c r="CS23" s="64" t="s">
        <v>229</v>
      </c>
      <c r="CT23" s="64" t="s">
        <v>229</v>
      </c>
      <c r="CU23" s="64" t="s">
        <v>229</v>
      </c>
      <c r="CV23" s="64" t="s">
        <v>229</v>
      </c>
      <c r="CW23" s="64" t="s">
        <v>229</v>
      </c>
      <c r="CX23" s="64" t="s">
        <v>229</v>
      </c>
      <c r="CY23" s="64" t="s">
        <v>229</v>
      </c>
      <c r="CZ23" s="64" t="s">
        <v>229</v>
      </c>
      <c r="DA23" s="64" t="s">
        <v>229</v>
      </c>
      <c r="DB23" s="64" t="s">
        <v>229</v>
      </c>
      <c r="DC23" s="64" t="s">
        <v>229</v>
      </c>
      <c r="DD23" s="64"/>
      <c r="DE23" s="65"/>
    </row>
    <row r="24" spans="1:109" x14ac:dyDescent="0.2">
      <c r="A24" s="59">
        <v>754</v>
      </c>
      <c r="B24" s="60" t="s">
        <v>252</v>
      </c>
      <c r="C24" s="61" t="s">
        <v>200</v>
      </c>
      <c r="D24" s="61" t="s">
        <v>225</v>
      </c>
      <c r="E24" s="61" t="s">
        <v>226</v>
      </c>
      <c r="F24" s="61"/>
      <c r="G24" s="62"/>
      <c r="H24" s="61"/>
      <c r="I24" s="63" t="s">
        <v>227</v>
      </c>
      <c r="J24" s="63"/>
      <c r="K24" s="63">
        <v>1</v>
      </c>
      <c r="L24" s="63">
        <v>1</v>
      </c>
      <c r="M24" s="63" t="s">
        <v>241</v>
      </c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 t="s">
        <v>229</v>
      </c>
      <c r="AS24" s="64" t="s">
        <v>229</v>
      </c>
      <c r="AT24" s="64" t="s">
        <v>229</v>
      </c>
      <c r="AU24" s="64" t="s">
        <v>229</v>
      </c>
      <c r="AV24" s="64" t="s">
        <v>229</v>
      </c>
      <c r="AW24" s="64" t="s">
        <v>229</v>
      </c>
      <c r="AX24" s="64" t="s">
        <v>229</v>
      </c>
      <c r="AY24" s="64" t="s">
        <v>229</v>
      </c>
      <c r="AZ24" s="64" t="s">
        <v>229</v>
      </c>
      <c r="BA24" s="64" t="s">
        <v>229</v>
      </c>
      <c r="BB24" s="64" t="s">
        <v>229</v>
      </c>
      <c r="BC24" s="64" t="s">
        <v>229</v>
      </c>
      <c r="BD24" s="64" t="s">
        <v>229</v>
      </c>
      <c r="BE24" s="64" t="s">
        <v>229</v>
      </c>
      <c r="BF24" s="64" t="s">
        <v>229</v>
      </c>
      <c r="BG24" s="64" t="s">
        <v>229</v>
      </c>
      <c r="BH24" s="64" t="s">
        <v>229</v>
      </c>
      <c r="BI24" s="64" t="s">
        <v>229</v>
      </c>
      <c r="BJ24" s="64" t="s">
        <v>229</v>
      </c>
      <c r="BK24" s="64" t="s">
        <v>229</v>
      </c>
      <c r="BL24" s="64" t="s">
        <v>229</v>
      </c>
      <c r="BM24" s="64" t="s">
        <v>229</v>
      </c>
      <c r="BN24" s="64" t="s">
        <v>229</v>
      </c>
      <c r="BO24" s="64" t="s">
        <v>229</v>
      </c>
      <c r="BP24" s="64" t="s">
        <v>229</v>
      </c>
      <c r="BQ24" s="64" t="s">
        <v>229</v>
      </c>
      <c r="BR24" s="64" t="s">
        <v>229</v>
      </c>
      <c r="BS24" s="64" t="s">
        <v>229</v>
      </c>
      <c r="BT24" s="64" t="s">
        <v>229</v>
      </c>
      <c r="BU24" s="64" t="s">
        <v>229</v>
      </c>
      <c r="BV24" s="64" t="s">
        <v>229</v>
      </c>
      <c r="BW24" s="64" t="s">
        <v>229</v>
      </c>
      <c r="BX24" s="64" t="s">
        <v>229</v>
      </c>
      <c r="BY24" s="64" t="s">
        <v>229</v>
      </c>
      <c r="BZ24" s="64" t="s">
        <v>229</v>
      </c>
      <c r="CA24" s="64" t="s">
        <v>229</v>
      </c>
      <c r="CB24" s="64" t="s">
        <v>229</v>
      </c>
      <c r="CC24" s="64" t="s">
        <v>229</v>
      </c>
      <c r="CD24" s="64" t="s">
        <v>229</v>
      </c>
      <c r="CE24" s="64" t="s">
        <v>229</v>
      </c>
      <c r="CF24" s="64" t="s">
        <v>229</v>
      </c>
      <c r="CG24" s="64" t="s">
        <v>229</v>
      </c>
      <c r="CH24" s="64" t="s">
        <v>229</v>
      </c>
      <c r="CI24" s="64" t="s">
        <v>229</v>
      </c>
      <c r="CJ24" s="64" t="s">
        <v>229</v>
      </c>
      <c r="CK24" s="64" t="s">
        <v>229</v>
      </c>
      <c r="CL24" s="64" t="s">
        <v>229</v>
      </c>
      <c r="CM24" s="64" t="s">
        <v>229</v>
      </c>
      <c r="CN24" s="64" t="s">
        <v>229</v>
      </c>
      <c r="CO24" s="64" t="s">
        <v>229</v>
      </c>
      <c r="CP24" s="64" t="s">
        <v>229</v>
      </c>
      <c r="CQ24" s="64" t="s">
        <v>229</v>
      </c>
      <c r="CR24" s="64" t="s">
        <v>229</v>
      </c>
      <c r="CS24" s="64" t="s">
        <v>229</v>
      </c>
      <c r="CT24" s="64" t="s">
        <v>229</v>
      </c>
      <c r="CU24" s="64" t="s">
        <v>229</v>
      </c>
      <c r="CV24" s="64" t="s">
        <v>229</v>
      </c>
      <c r="CW24" s="64" t="s">
        <v>229</v>
      </c>
      <c r="CX24" s="64" t="s">
        <v>229</v>
      </c>
      <c r="CY24" s="64" t="s">
        <v>229</v>
      </c>
      <c r="CZ24" s="64" t="s">
        <v>229</v>
      </c>
      <c r="DA24" s="64" t="s">
        <v>229</v>
      </c>
      <c r="DB24" s="64" t="s">
        <v>229</v>
      </c>
      <c r="DC24" s="64" t="s">
        <v>229</v>
      </c>
      <c r="DD24" s="64"/>
      <c r="DE24" s="65"/>
    </row>
    <row r="25" spans="1:109" x14ac:dyDescent="0.2">
      <c r="A25" s="59">
        <v>1815</v>
      </c>
      <c r="B25" s="60" t="s">
        <v>253</v>
      </c>
      <c r="C25" s="61" t="s">
        <v>203</v>
      </c>
      <c r="D25" s="61" t="s">
        <v>225</v>
      </c>
      <c r="E25" s="61" t="s">
        <v>226</v>
      </c>
      <c r="F25" s="61"/>
      <c r="G25" s="62"/>
      <c r="H25" s="61"/>
      <c r="I25" s="63" t="s">
        <v>238</v>
      </c>
      <c r="J25" s="63"/>
      <c r="K25" s="63"/>
      <c r="L25" s="63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 t="s">
        <v>229</v>
      </c>
      <c r="BX25" s="64" t="s">
        <v>229</v>
      </c>
      <c r="BY25" s="64" t="s">
        <v>229</v>
      </c>
      <c r="BZ25" s="64" t="s">
        <v>229</v>
      </c>
      <c r="CA25" s="64" t="s">
        <v>229</v>
      </c>
      <c r="CB25" s="64" t="s">
        <v>229</v>
      </c>
      <c r="CC25" s="64" t="s">
        <v>229</v>
      </c>
      <c r="CD25" s="64" t="s">
        <v>229</v>
      </c>
      <c r="CE25" s="64" t="s">
        <v>229</v>
      </c>
      <c r="CF25" s="64" t="s">
        <v>229</v>
      </c>
      <c r="CG25" s="64" t="s">
        <v>229</v>
      </c>
      <c r="CH25" s="64" t="s">
        <v>229</v>
      </c>
      <c r="CI25" s="64" t="s">
        <v>229</v>
      </c>
      <c r="CJ25" s="64" t="s">
        <v>229</v>
      </c>
      <c r="CK25" s="64" t="s">
        <v>229</v>
      </c>
      <c r="CL25" s="64" t="s">
        <v>229</v>
      </c>
      <c r="CM25" s="64"/>
      <c r="CN25" s="64" t="s">
        <v>229</v>
      </c>
      <c r="CO25" s="64" t="s">
        <v>229</v>
      </c>
      <c r="CP25" s="64" t="s">
        <v>229</v>
      </c>
      <c r="CQ25" s="64" t="s">
        <v>229</v>
      </c>
      <c r="CR25" s="64" t="s">
        <v>229</v>
      </c>
      <c r="CS25" s="64" t="s">
        <v>229</v>
      </c>
      <c r="CT25" s="64" t="s">
        <v>229</v>
      </c>
      <c r="CU25" s="64" t="s">
        <v>229</v>
      </c>
      <c r="CV25" s="64" t="s">
        <v>229</v>
      </c>
      <c r="CW25" s="64" t="s">
        <v>229</v>
      </c>
      <c r="CX25" s="64" t="s">
        <v>229</v>
      </c>
      <c r="CY25" s="64" t="s">
        <v>229</v>
      </c>
      <c r="CZ25" s="64" t="s">
        <v>229</v>
      </c>
      <c r="DA25" s="64" t="s">
        <v>229</v>
      </c>
      <c r="DB25" s="64" t="s">
        <v>229</v>
      </c>
      <c r="DC25" s="64" t="s">
        <v>229</v>
      </c>
      <c r="DD25" s="64"/>
      <c r="DE25" s="65"/>
    </row>
    <row r="26" spans="1:109" x14ac:dyDescent="0.2">
      <c r="A26" s="59">
        <v>1796</v>
      </c>
      <c r="B26" s="60" t="s">
        <v>254</v>
      </c>
      <c r="C26" s="61" t="s">
        <v>203</v>
      </c>
      <c r="D26" s="61" t="s">
        <v>225</v>
      </c>
      <c r="E26" s="61" t="s">
        <v>237</v>
      </c>
      <c r="F26" s="61"/>
      <c r="G26" s="62"/>
      <c r="H26" s="61"/>
      <c r="I26" s="63" t="s">
        <v>238</v>
      </c>
      <c r="J26" s="63"/>
      <c r="K26" s="63"/>
      <c r="L26" s="63">
        <v>1</v>
      </c>
      <c r="M26" s="63" t="s">
        <v>232</v>
      </c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 t="s">
        <v>229</v>
      </c>
      <c r="BX26" s="64" t="s">
        <v>229</v>
      </c>
      <c r="BY26" s="64" t="s">
        <v>229</v>
      </c>
      <c r="BZ26" s="64" t="s">
        <v>229</v>
      </c>
      <c r="CA26" s="64" t="s">
        <v>229</v>
      </c>
      <c r="CB26" s="64" t="s">
        <v>229</v>
      </c>
      <c r="CC26" s="64" t="s">
        <v>229</v>
      </c>
      <c r="CD26" s="64" t="s">
        <v>229</v>
      </c>
      <c r="CE26" s="64" t="s">
        <v>229</v>
      </c>
      <c r="CF26" s="64" t="s">
        <v>229</v>
      </c>
      <c r="CG26" s="64" t="s">
        <v>229</v>
      </c>
      <c r="CH26" s="64" t="s">
        <v>229</v>
      </c>
      <c r="CI26" s="64" t="s">
        <v>229</v>
      </c>
      <c r="CJ26" s="64"/>
      <c r="CK26" s="64" t="s">
        <v>229</v>
      </c>
      <c r="CL26" s="64" t="s">
        <v>229</v>
      </c>
      <c r="CM26" s="64"/>
      <c r="CN26" s="64" t="s">
        <v>229</v>
      </c>
      <c r="CO26" s="64"/>
      <c r="CP26" s="64" t="s">
        <v>229</v>
      </c>
      <c r="CQ26" s="64" t="s">
        <v>229</v>
      </c>
      <c r="CR26" s="64" t="s">
        <v>229</v>
      </c>
      <c r="CS26" s="64" t="s">
        <v>229</v>
      </c>
      <c r="CT26" s="64"/>
      <c r="CU26" s="64" t="s">
        <v>229</v>
      </c>
      <c r="CV26" s="64" t="s">
        <v>229</v>
      </c>
      <c r="CW26" s="64" t="s">
        <v>229</v>
      </c>
      <c r="CX26" s="64" t="s">
        <v>229</v>
      </c>
      <c r="CY26" s="64" t="s">
        <v>229</v>
      </c>
      <c r="CZ26" s="64" t="s">
        <v>229</v>
      </c>
      <c r="DA26" s="64" t="s">
        <v>229</v>
      </c>
      <c r="DB26" s="64" t="s">
        <v>229</v>
      </c>
      <c r="DC26" s="64" t="s">
        <v>229</v>
      </c>
      <c r="DD26" s="64"/>
      <c r="DE26" s="65"/>
    </row>
    <row r="27" spans="1:109" x14ac:dyDescent="0.2">
      <c r="A27" s="59">
        <v>2606</v>
      </c>
      <c r="B27" s="60" t="s">
        <v>255</v>
      </c>
      <c r="C27" s="61" t="s">
        <v>203</v>
      </c>
      <c r="D27" s="61" t="s">
        <v>225</v>
      </c>
      <c r="E27" s="61" t="s">
        <v>226</v>
      </c>
      <c r="F27" s="61"/>
      <c r="G27" s="62"/>
      <c r="H27" s="61"/>
      <c r="I27" s="63" t="s">
        <v>238</v>
      </c>
      <c r="J27" s="63"/>
      <c r="K27" s="63"/>
      <c r="L27" s="63">
        <v>1</v>
      </c>
      <c r="M27" s="63" t="s">
        <v>241</v>
      </c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 t="s">
        <v>229</v>
      </c>
      <c r="BX27" s="64" t="s">
        <v>229</v>
      </c>
      <c r="BY27" s="64" t="s">
        <v>229</v>
      </c>
      <c r="BZ27" s="64" t="s">
        <v>229</v>
      </c>
      <c r="CA27" s="64" t="s">
        <v>229</v>
      </c>
      <c r="CB27" s="64" t="s">
        <v>229</v>
      </c>
      <c r="CC27" s="64" t="s">
        <v>229</v>
      </c>
      <c r="CD27" s="64" t="s">
        <v>229</v>
      </c>
      <c r="CE27" s="64" t="s">
        <v>229</v>
      </c>
      <c r="CF27" s="64" t="s">
        <v>229</v>
      </c>
      <c r="CG27" s="64" t="s">
        <v>229</v>
      </c>
      <c r="CH27" s="64" t="s">
        <v>229</v>
      </c>
      <c r="CI27" s="64" t="s">
        <v>229</v>
      </c>
      <c r="CJ27" s="64" t="s">
        <v>229</v>
      </c>
      <c r="CK27" s="64" t="s">
        <v>229</v>
      </c>
      <c r="CL27" s="64" t="s">
        <v>229</v>
      </c>
      <c r="CM27" s="64"/>
      <c r="CN27" s="64" t="s">
        <v>229</v>
      </c>
      <c r="CO27" s="64" t="s">
        <v>229</v>
      </c>
      <c r="CP27" s="64" t="s">
        <v>229</v>
      </c>
      <c r="CQ27" s="64" t="s">
        <v>229</v>
      </c>
      <c r="CR27" s="64" t="s">
        <v>229</v>
      </c>
      <c r="CS27" s="64" t="s">
        <v>229</v>
      </c>
      <c r="CT27" s="64" t="s">
        <v>229</v>
      </c>
      <c r="CU27" s="64" t="s">
        <v>229</v>
      </c>
      <c r="CV27" s="64" t="s">
        <v>229</v>
      </c>
      <c r="CW27" s="64" t="s">
        <v>229</v>
      </c>
      <c r="CX27" s="64" t="s">
        <v>229</v>
      </c>
      <c r="CY27" s="64" t="s">
        <v>229</v>
      </c>
      <c r="CZ27" s="64" t="s">
        <v>229</v>
      </c>
      <c r="DA27" s="64" t="s">
        <v>229</v>
      </c>
      <c r="DB27" s="64" t="s">
        <v>229</v>
      </c>
      <c r="DC27" s="64" t="s">
        <v>229</v>
      </c>
      <c r="DD27" s="64"/>
    </row>
    <row r="28" spans="1:109" x14ac:dyDescent="0.2">
      <c r="A28" s="59">
        <v>1797</v>
      </c>
      <c r="B28" s="60" t="s">
        <v>256</v>
      </c>
      <c r="C28" s="61" t="s">
        <v>203</v>
      </c>
      <c r="D28" s="61" t="s">
        <v>225</v>
      </c>
      <c r="E28" s="61" t="s">
        <v>226</v>
      </c>
      <c r="F28" s="61"/>
      <c r="G28" s="62"/>
      <c r="H28" s="61"/>
      <c r="I28" s="63" t="s">
        <v>238</v>
      </c>
      <c r="J28" s="63"/>
      <c r="K28" s="63"/>
      <c r="L28" s="63">
        <v>1</v>
      </c>
      <c r="M28" s="63" t="s">
        <v>248</v>
      </c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 t="s">
        <v>229</v>
      </c>
      <c r="BX28" s="64" t="s">
        <v>229</v>
      </c>
      <c r="BY28" s="64" t="s">
        <v>229</v>
      </c>
      <c r="BZ28" s="64" t="s">
        <v>229</v>
      </c>
      <c r="CA28" s="64" t="s">
        <v>229</v>
      </c>
      <c r="CB28" s="64" t="s">
        <v>229</v>
      </c>
      <c r="CC28" s="64" t="s">
        <v>229</v>
      </c>
      <c r="CD28" s="64" t="s">
        <v>229</v>
      </c>
      <c r="CE28" s="64" t="s">
        <v>229</v>
      </c>
      <c r="CF28" s="64" t="s">
        <v>229</v>
      </c>
      <c r="CG28" s="64" t="s">
        <v>229</v>
      </c>
      <c r="CH28" s="64" t="s">
        <v>229</v>
      </c>
      <c r="CI28" s="64" t="s">
        <v>229</v>
      </c>
      <c r="CJ28" s="64" t="s">
        <v>229</v>
      </c>
      <c r="CK28" s="64" t="s">
        <v>229</v>
      </c>
      <c r="CL28" s="64" t="s">
        <v>229</v>
      </c>
      <c r="CM28" s="64"/>
      <c r="CN28" s="64" t="s">
        <v>229</v>
      </c>
      <c r="CO28" s="64" t="s">
        <v>229</v>
      </c>
      <c r="CP28" s="64" t="s">
        <v>229</v>
      </c>
      <c r="CQ28" s="64" t="s">
        <v>229</v>
      </c>
      <c r="CR28" s="64" t="s">
        <v>229</v>
      </c>
      <c r="CS28" s="64" t="s">
        <v>229</v>
      </c>
      <c r="CT28" s="64" t="s">
        <v>229</v>
      </c>
      <c r="CU28" s="64" t="s">
        <v>229</v>
      </c>
      <c r="CV28" s="64" t="s">
        <v>229</v>
      </c>
      <c r="CW28" s="64" t="s">
        <v>229</v>
      </c>
      <c r="CX28" s="64" t="s">
        <v>229</v>
      </c>
      <c r="CY28" s="64" t="s">
        <v>229</v>
      </c>
      <c r="CZ28" s="64" t="s">
        <v>229</v>
      </c>
      <c r="DA28" s="64" t="s">
        <v>229</v>
      </c>
      <c r="DB28" s="64" t="s">
        <v>229</v>
      </c>
      <c r="DC28" s="64" t="s">
        <v>229</v>
      </c>
      <c r="DD28" s="64"/>
      <c r="DE28" s="65"/>
    </row>
    <row r="29" spans="1:109" x14ac:dyDescent="0.2">
      <c r="A29" s="66">
        <v>1071</v>
      </c>
      <c r="B29" s="67" t="s">
        <v>257</v>
      </c>
      <c r="C29" s="68" t="s">
        <v>203</v>
      </c>
      <c r="D29" s="68" t="s">
        <v>231</v>
      </c>
      <c r="E29" s="68" t="s">
        <v>226</v>
      </c>
      <c r="F29" s="68"/>
      <c r="G29" s="69"/>
      <c r="H29" s="68"/>
      <c r="I29" s="66" t="s">
        <v>238</v>
      </c>
      <c r="J29" s="66"/>
      <c r="K29" s="66"/>
      <c r="L29" s="66">
        <v>1</v>
      </c>
      <c r="M29" s="66" t="s">
        <v>232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 t="s">
        <v>229</v>
      </c>
      <c r="BX29" s="70" t="s">
        <v>229</v>
      </c>
      <c r="BY29" s="70" t="s">
        <v>229</v>
      </c>
      <c r="BZ29" s="70" t="s">
        <v>229</v>
      </c>
      <c r="CA29" s="70" t="s">
        <v>229</v>
      </c>
      <c r="CB29" s="70" t="s">
        <v>229</v>
      </c>
      <c r="CC29" s="70"/>
      <c r="CD29" s="70" t="s">
        <v>229</v>
      </c>
      <c r="CE29" s="70" t="s">
        <v>229</v>
      </c>
      <c r="CF29" s="70" t="s">
        <v>229</v>
      </c>
      <c r="CG29" s="70" t="s">
        <v>229</v>
      </c>
      <c r="CH29" s="70" t="s">
        <v>229</v>
      </c>
      <c r="CI29" s="70" t="s">
        <v>229</v>
      </c>
      <c r="CJ29" s="70" t="s">
        <v>229</v>
      </c>
      <c r="CK29" s="70"/>
      <c r="CL29" s="70"/>
      <c r="CM29" s="70"/>
      <c r="CN29" s="70" t="s">
        <v>229</v>
      </c>
      <c r="CO29" s="70" t="s">
        <v>229</v>
      </c>
      <c r="CP29" s="70" t="s">
        <v>229</v>
      </c>
      <c r="CQ29" s="70" t="s">
        <v>229</v>
      </c>
      <c r="CR29" s="70" t="s">
        <v>229</v>
      </c>
      <c r="CS29" s="70" t="s">
        <v>229</v>
      </c>
      <c r="CT29" s="70" t="s">
        <v>229</v>
      </c>
      <c r="CU29" s="70" t="s">
        <v>229</v>
      </c>
      <c r="CV29" s="70" t="s">
        <v>229</v>
      </c>
      <c r="CW29" s="70" t="s">
        <v>229</v>
      </c>
      <c r="CX29" s="70" t="s">
        <v>229</v>
      </c>
      <c r="CY29" s="70" t="s">
        <v>229</v>
      </c>
      <c r="CZ29" s="70"/>
      <c r="DA29" s="70" t="s">
        <v>229</v>
      </c>
      <c r="DB29" s="70"/>
      <c r="DC29" s="70"/>
      <c r="DD29" s="70"/>
      <c r="DE29" s="1"/>
    </row>
    <row r="30" spans="1:109" x14ac:dyDescent="0.2">
      <c r="A30" s="59">
        <v>1072</v>
      </c>
      <c r="B30" s="60" t="s">
        <v>258</v>
      </c>
      <c r="C30" s="61" t="s">
        <v>203</v>
      </c>
      <c r="D30" s="61" t="s">
        <v>225</v>
      </c>
      <c r="E30" s="61" t="s">
        <v>226</v>
      </c>
      <c r="F30" s="61"/>
      <c r="G30" s="62"/>
      <c r="H30" s="61"/>
      <c r="I30" s="63" t="s">
        <v>238</v>
      </c>
      <c r="J30" s="63"/>
      <c r="K30" s="63"/>
      <c r="L30" s="63">
        <v>1</v>
      </c>
      <c r="M30" s="63" t="s">
        <v>232</v>
      </c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 t="s">
        <v>229</v>
      </c>
      <c r="BX30" s="64" t="s">
        <v>229</v>
      </c>
      <c r="BY30" s="64" t="s">
        <v>229</v>
      </c>
      <c r="BZ30" s="64" t="s">
        <v>229</v>
      </c>
      <c r="CA30" s="64" t="s">
        <v>229</v>
      </c>
      <c r="CB30" s="64" t="s">
        <v>229</v>
      </c>
      <c r="CC30" s="64" t="s">
        <v>229</v>
      </c>
      <c r="CD30" s="64" t="s">
        <v>229</v>
      </c>
      <c r="CE30" s="64" t="s">
        <v>229</v>
      </c>
      <c r="CF30" s="64" t="s">
        <v>229</v>
      </c>
      <c r="CG30" s="64" t="s">
        <v>229</v>
      </c>
      <c r="CH30" s="64" t="s">
        <v>229</v>
      </c>
      <c r="CI30" s="64" t="s">
        <v>229</v>
      </c>
      <c r="CJ30" s="64" t="s">
        <v>229</v>
      </c>
      <c r="CK30" s="64" t="s">
        <v>229</v>
      </c>
      <c r="CL30" s="64" t="s">
        <v>229</v>
      </c>
      <c r="CM30" s="64"/>
      <c r="CN30" s="64" t="s">
        <v>229</v>
      </c>
      <c r="CO30" s="64" t="s">
        <v>229</v>
      </c>
      <c r="CP30" s="64" t="s">
        <v>229</v>
      </c>
      <c r="CQ30" s="64" t="s">
        <v>229</v>
      </c>
      <c r="CR30" s="64" t="s">
        <v>229</v>
      </c>
      <c r="CS30" s="64" t="s">
        <v>229</v>
      </c>
      <c r="CT30" s="64" t="s">
        <v>229</v>
      </c>
      <c r="CU30" s="64" t="s">
        <v>229</v>
      </c>
      <c r="CV30" s="64" t="s">
        <v>229</v>
      </c>
      <c r="CW30" s="64" t="s">
        <v>229</v>
      </c>
      <c r="CX30" s="64" t="s">
        <v>229</v>
      </c>
      <c r="CY30" s="64" t="s">
        <v>229</v>
      </c>
      <c r="CZ30" s="64" t="s">
        <v>229</v>
      </c>
      <c r="DA30" s="64" t="s">
        <v>229</v>
      </c>
      <c r="DB30" s="64" t="s">
        <v>229</v>
      </c>
      <c r="DC30" s="64" t="s">
        <v>229</v>
      </c>
      <c r="DD30" s="64"/>
      <c r="DE30" s="65"/>
    </row>
    <row r="31" spans="1:109" x14ac:dyDescent="0.2">
      <c r="A31" s="59">
        <v>2603</v>
      </c>
      <c r="B31" s="60" t="s">
        <v>259</v>
      </c>
      <c r="C31" s="61" t="s">
        <v>203</v>
      </c>
      <c r="D31" s="61" t="s">
        <v>225</v>
      </c>
      <c r="E31" s="61" t="s">
        <v>226</v>
      </c>
      <c r="F31" s="61"/>
      <c r="G31" s="62"/>
      <c r="H31" s="61"/>
      <c r="I31" s="63" t="s">
        <v>238</v>
      </c>
      <c r="J31" s="63"/>
      <c r="K31" s="63">
        <v>1</v>
      </c>
      <c r="L31" s="63">
        <v>1</v>
      </c>
      <c r="M31" s="63" t="s">
        <v>241</v>
      </c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 t="s">
        <v>229</v>
      </c>
      <c r="BX31" s="64" t="s">
        <v>229</v>
      </c>
      <c r="BY31" s="64" t="s">
        <v>229</v>
      </c>
      <c r="BZ31" s="64" t="s">
        <v>229</v>
      </c>
      <c r="CA31" s="64" t="s">
        <v>229</v>
      </c>
      <c r="CB31" s="64" t="s">
        <v>229</v>
      </c>
      <c r="CC31" s="64" t="s">
        <v>229</v>
      </c>
      <c r="CD31" s="64" t="s">
        <v>229</v>
      </c>
      <c r="CE31" s="64" t="s">
        <v>229</v>
      </c>
      <c r="CF31" s="64" t="s">
        <v>229</v>
      </c>
      <c r="CG31" s="64" t="s">
        <v>229</v>
      </c>
      <c r="CH31" s="64" t="s">
        <v>229</v>
      </c>
      <c r="CI31" s="64" t="s">
        <v>229</v>
      </c>
      <c r="CJ31" s="64" t="s">
        <v>229</v>
      </c>
      <c r="CK31" s="64" t="s">
        <v>229</v>
      </c>
      <c r="CL31" s="64" t="s">
        <v>229</v>
      </c>
      <c r="CM31" s="64"/>
      <c r="CN31" s="64" t="s">
        <v>229</v>
      </c>
      <c r="CO31" s="64" t="s">
        <v>229</v>
      </c>
      <c r="CP31" s="64" t="s">
        <v>229</v>
      </c>
      <c r="CQ31" s="64" t="s">
        <v>229</v>
      </c>
      <c r="CR31" s="64" t="s">
        <v>229</v>
      </c>
      <c r="CS31" s="64" t="s">
        <v>229</v>
      </c>
      <c r="CT31" s="64" t="s">
        <v>229</v>
      </c>
      <c r="CU31" s="64" t="s">
        <v>229</v>
      </c>
      <c r="CV31" s="64" t="s">
        <v>229</v>
      </c>
      <c r="CW31" s="64" t="s">
        <v>229</v>
      </c>
      <c r="CX31" s="64" t="s">
        <v>229</v>
      </c>
      <c r="CY31" s="64" t="s">
        <v>229</v>
      </c>
      <c r="CZ31" s="64" t="s">
        <v>229</v>
      </c>
      <c r="DA31" s="64" t="s">
        <v>229</v>
      </c>
      <c r="DB31" s="64" t="s">
        <v>229</v>
      </c>
      <c r="DC31" s="64" t="s">
        <v>229</v>
      </c>
      <c r="DD31" s="64"/>
      <c r="DE31" s="65"/>
    </row>
    <row r="32" spans="1:109" x14ac:dyDescent="0.2">
      <c r="A32" s="59">
        <v>3001</v>
      </c>
      <c r="B32" s="60" t="s">
        <v>260</v>
      </c>
      <c r="C32" s="61" t="s">
        <v>200</v>
      </c>
      <c r="D32" s="61" t="s">
        <v>225</v>
      </c>
      <c r="E32" s="61" t="s">
        <v>226</v>
      </c>
      <c r="F32" s="61"/>
      <c r="G32" s="62"/>
      <c r="H32" s="61"/>
      <c r="I32" s="63" t="s">
        <v>238</v>
      </c>
      <c r="J32" s="63"/>
      <c r="K32" s="63"/>
      <c r="L32" s="63"/>
      <c r="M32" s="63" t="s">
        <v>232</v>
      </c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 t="s">
        <v>229</v>
      </c>
      <c r="AS32" s="64" t="s">
        <v>229</v>
      </c>
      <c r="AT32" s="64" t="s">
        <v>229</v>
      </c>
      <c r="AU32" s="64" t="s">
        <v>229</v>
      </c>
      <c r="AV32" s="64" t="s">
        <v>229</v>
      </c>
      <c r="AW32" s="64" t="s">
        <v>229</v>
      </c>
      <c r="AX32" s="64" t="s">
        <v>229</v>
      </c>
      <c r="AY32" s="64" t="s">
        <v>229</v>
      </c>
      <c r="AZ32" s="64" t="s">
        <v>229</v>
      </c>
      <c r="BA32" s="64" t="s">
        <v>229</v>
      </c>
      <c r="BB32" s="64" t="s">
        <v>229</v>
      </c>
      <c r="BC32" s="64" t="s">
        <v>229</v>
      </c>
      <c r="BD32" s="64" t="s">
        <v>229</v>
      </c>
      <c r="BE32" s="64" t="s">
        <v>229</v>
      </c>
      <c r="BF32" s="64" t="s">
        <v>229</v>
      </c>
      <c r="BG32" s="64" t="s">
        <v>229</v>
      </c>
      <c r="BH32" s="64" t="s">
        <v>229</v>
      </c>
      <c r="BI32" s="64" t="s">
        <v>229</v>
      </c>
      <c r="BJ32" s="64" t="s">
        <v>229</v>
      </c>
      <c r="BK32" s="64" t="s">
        <v>229</v>
      </c>
      <c r="BL32" s="64" t="s">
        <v>229</v>
      </c>
      <c r="BM32" s="64" t="s">
        <v>229</v>
      </c>
      <c r="BN32" s="64" t="s">
        <v>229</v>
      </c>
      <c r="BO32" s="64" t="s">
        <v>229</v>
      </c>
      <c r="BP32" s="64" t="s">
        <v>229</v>
      </c>
      <c r="BQ32" s="64" t="s">
        <v>229</v>
      </c>
      <c r="BR32" s="64" t="s">
        <v>229</v>
      </c>
      <c r="BS32" s="64" t="s">
        <v>229</v>
      </c>
      <c r="BT32" s="64" t="s">
        <v>229</v>
      </c>
      <c r="BU32" s="64" t="s">
        <v>229</v>
      </c>
      <c r="BV32" s="64" t="s">
        <v>229</v>
      </c>
      <c r="BW32" s="64" t="s">
        <v>229</v>
      </c>
      <c r="BX32" s="64" t="s">
        <v>229</v>
      </c>
      <c r="BY32" s="64" t="s">
        <v>229</v>
      </c>
      <c r="BZ32" s="64" t="s">
        <v>229</v>
      </c>
      <c r="CA32" s="64" t="s">
        <v>229</v>
      </c>
      <c r="CB32" s="64" t="s">
        <v>229</v>
      </c>
      <c r="CC32" s="64" t="s">
        <v>229</v>
      </c>
      <c r="CD32" s="64" t="s">
        <v>229</v>
      </c>
      <c r="CE32" s="64" t="s">
        <v>229</v>
      </c>
      <c r="CF32" s="64" t="s">
        <v>229</v>
      </c>
      <c r="CG32" s="64" t="s">
        <v>229</v>
      </c>
      <c r="CH32" s="64" t="s">
        <v>229</v>
      </c>
      <c r="CI32" s="64" t="s">
        <v>229</v>
      </c>
      <c r="CJ32" s="64" t="s">
        <v>229</v>
      </c>
      <c r="CK32" s="64" t="s">
        <v>229</v>
      </c>
      <c r="CL32" s="64" t="s">
        <v>229</v>
      </c>
      <c r="CM32" s="64" t="s">
        <v>229</v>
      </c>
      <c r="CN32" s="64" t="s">
        <v>229</v>
      </c>
      <c r="CO32" s="64" t="s">
        <v>229</v>
      </c>
      <c r="CP32" s="64" t="s">
        <v>229</v>
      </c>
      <c r="CQ32" s="64" t="s">
        <v>229</v>
      </c>
      <c r="CR32" s="64" t="s">
        <v>229</v>
      </c>
      <c r="CS32" s="64" t="s">
        <v>229</v>
      </c>
      <c r="CT32" s="64" t="s">
        <v>229</v>
      </c>
      <c r="CU32" s="64" t="s">
        <v>229</v>
      </c>
      <c r="CV32" s="64" t="s">
        <v>229</v>
      </c>
      <c r="CW32" s="64" t="s">
        <v>229</v>
      </c>
      <c r="CX32" s="64" t="s">
        <v>229</v>
      </c>
      <c r="CY32" s="64" t="s">
        <v>229</v>
      </c>
      <c r="CZ32" s="64" t="s">
        <v>229</v>
      </c>
      <c r="DA32" s="64" t="s">
        <v>229</v>
      </c>
      <c r="DB32" s="64" t="s">
        <v>229</v>
      </c>
      <c r="DC32" s="64" t="s">
        <v>229</v>
      </c>
      <c r="DD32" s="64"/>
      <c r="DE32" s="65"/>
    </row>
    <row r="33" spans="1:109" x14ac:dyDescent="0.2">
      <c r="A33" s="59">
        <v>3100</v>
      </c>
      <c r="B33" s="60" t="s">
        <v>261</v>
      </c>
      <c r="C33" s="61" t="s">
        <v>100</v>
      </c>
      <c r="D33" s="61" t="s">
        <v>225</v>
      </c>
      <c r="E33" s="61" t="s">
        <v>226</v>
      </c>
      <c r="F33" s="61"/>
      <c r="G33" s="62"/>
      <c r="H33" s="61"/>
      <c r="I33" s="63" t="s">
        <v>227</v>
      </c>
      <c r="J33" s="63"/>
      <c r="K33" s="63"/>
      <c r="L33" s="63"/>
      <c r="M33" s="63"/>
      <c r="N33" s="64" t="s">
        <v>229</v>
      </c>
      <c r="O33" s="64" t="s">
        <v>229</v>
      </c>
      <c r="P33" s="64" t="s">
        <v>229</v>
      </c>
      <c r="Q33" s="64" t="s">
        <v>229</v>
      </c>
      <c r="R33" s="64" t="s">
        <v>229</v>
      </c>
      <c r="S33" s="64" t="s">
        <v>229</v>
      </c>
      <c r="T33" s="64" t="s">
        <v>229</v>
      </c>
      <c r="U33" s="64" t="s">
        <v>229</v>
      </c>
      <c r="V33" s="64" t="s">
        <v>229</v>
      </c>
      <c r="W33" s="64" t="s">
        <v>229</v>
      </c>
      <c r="X33" s="64" t="s">
        <v>229</v>
      </c>
      <c r="Y33" s="64" t="s">
        <v>229</v>
      </c>
      <c r="Z33" s="64" t="s">
        <v>229</v>
      </c>
      <c r="AA33" s="64" t="s">
        <v>229</v>
      </c>
      <c r="AB33" s="64" t="s">
        <v>229</v>
      </c>
      <c r="AC33" s="64" t="s">
        <v>229</v>
      </c>
      <c r="AD33" s="64" t="s">
        <v>229</v>
      </c>
      <c r="AE33" s="64" t="s">
        <v>229</v>
      </c>
      <c r="AF33" s="64" t="s">
        <v>229</v>
      </c>
      <c r="AG33" s="64" t="s">
        <v>229</v>
      </c>
      <c r="AH33" s="64" t="s">
        <v>229</v>
      </c>
      <c r="AI33" s="64" t="s">
        <v>229</v>
      </c>
      <c r="AJ33" s="64" t="s">
        <v>229</v>
      </c>
      <c r="AK33" s="64" t="s">
        <v>229</v>
      </c>
      <c r="AL33" s="64" t="s">
        <v>229</v>
      </c>
      <c r="AM33" s="64" t="s">
        <v>229</v>
      </c>
      <c r="AN33" s="64" t="s">
        <v>229</v>
      </c>
      <c r="AO33" s="64" t="s">
        <v>229</v>
      </c>
      <c r="AP33" s="64" t="s">
        <v>229</v>
      </c>
      <c r="AQ33" s="64" t="s">
        <v>229</v>
      </c>
      <c r="AR33" s="64" t="s">
        <v>229</v>
      </c>
      <c r="AS33" s="64" t="s">
        <v>229</v>
      </c>
      <c r="AT33" s="64" t="s">
        <v>229</v>
      </c>
      <c r="AU33" s="64" t="s">
        <v>229</v>
      </c>
      <c r="AV33" s="64" t="s">
        <v>229</v>
      </c>
      <c r="AW33" s="64" t="s">
        <v>229</v>
      </c>
      <c r="AX33" s="64" t="s">
        <v>229</v>
      </c>
      <c r="AY33" s="64" t="s">
        <v>229</v>
      </c>
      <c r="AZ33" s="64" t="s">
        <v>229</v>
      </c>
      <c r="BA33" s="64" t="s">
        <v>229</v>
      </c>
      <c r="BB33" s="64" t="s">
        <v>229</v>
      </c>
      <c r="BC33" s="64" t="s">
        <v>229</v>
      </c>
      <c r="BD33" s="64" t="s">
        <v>229</v>
      </c>
      <c r="BE33" s="64" t="s">
        <v>229</v>
      </c>
      <c r="BF33" s="64" t="s">
        <v>229</v>
      </c>
      <c r="BG33" s="64" t="s">
        <v>229</v>
      </c>
      <c r="BH33" s="64" t="s">
        <v>229</v>
      </c>
      <c r="BI33" s="64" t="s">
        <v>229</v>
      </c>
      <c r="BJ33" s="64" t="s">
        <v>229</v>
      </c>
      <c r="BK33" s="64" t="s">
        <v>229</v>
      </c>
      <c r="BL33" s="64" t="s">
        <v>229</v>
      </c>
      <c r="BM33" s="64" t="s">
        <v>229</v>
      </c>
      <c r="BN33" s="64" t="s">
        <v>229</v>
      </c>
      <c r="BO33" s="64" t="s">
        <v>229</v>
      </c>
      <c r="BP33" s="64" t="s">
        <v>229</v>
      </c>
      <c r="BQ33" s="64" t="s">
        <v>229</v>
      </c>
      <c r="BR33" s="64" t="s">
        <v>229</v>
      </c>
      <c r="BS33" s="64" t="s">
        <v>229</v>
      </c>
      <c r="BT33" s="64" t="s">
        <v>229</v>
      </c>
      <c r="BU33" s="64" t="s">
        <v>229</v>
      </c>
      <c r="BV33" s="64" t="s">
        <v>229</v>
      </c>
      <c r="BW33" s="64" t="s">
        <v>229</v>
      </c>
      <c r="BX33" s="64" t="s">
        <v>229</v>
      </c>
      <c r="BY33" s="64" t="s">
        <v>229</v>
      </c>
      <c r="BZ33" s="64" t="s">
        <v>229</v>
      </c>
      <c r="CA33" s="64" t="s">
        <v>229</v>
      </c>
      <c r="CB33" s="64" t="s">
        <v>229</v>
      </c>
      <c r="CC33" s="64" t="s">
        <v>229</v>
      </c>
      <c r="CD33" s="64" t="s">
        <v>229</v>
      </c>
      <c r="CE33" s="64" t="s">
        <v>229</v>
      </c>
      <c r="CF33" s="64" t="s">
        <v>229</v>
      </c>
      <c r="CG33" s="64" t="s">
        <v>229</v>
      </c>
      <c r="CH33" s="64" t="s">
        <v>229</v>
      </c>
      <c r="CI33" s="64" t="s">
        <v>229</v>
      </c>
      <c r="CJ33" s="64" t="s">
        <v>229</v>
      </c>
      <c r="CK33" s="64" t="s">
        <v>229</v>
      </c>
      <c r="CL33" s="64" t="s">
        <v>229</v>
      </c>
      <c r="CM33" s="64" t="s">
        <v>229</v>
      </c>
      <c r="CN33" s="64" t="s">
        <v>229</v>
      </c>
      <c r="CO33" s="64" t="s">
        <v>229</v>
      </c>
      <c r="CP33" s="64" t="s">
        <v>229</v>
      </c>
      <c r="CQ33" s="64" t="s">
        <v>229</v>
      </c>
      <c r="CR33" s="64" t="s">
        <v>229</v>
      </c>
      <c r="CS33" s="64" t="s">
        <v>229</v>
      </c>
      <c r="CT33" s="64" t="s">
        <v>229</v>
      </c>
      <c r="CU33" s="64" t="s">
        <v>229</v>
      </c>
      <c r="CV33" s="64" t="s">
        <v>229</v>
      </c>
      <c r="CW33" s="64" t="s">
        <v>229</v>
      </c>
      <c r="CX33" s="64" t="s">
        <v>229</v>
      </c>
      <c r="CY33" s="64" t="s">
        <v>229</v>
      </c>
      <c r="CZ33" s="64" t="s">
        <v>229</v>
      </c>
      <c r="DA33" s="64" t="s">
        <v>229</v>
      </c>
      <c r="DB33" s="64" t="s">
        <v>229</v>
      </c>
      <c r="DC33" s="64" t="s">
        <v>229</v>
      </c>
      <c r="DD33" s="64"/>
      <c r="DE33" s="65"/>
    </row>
    <row r="34" spans="1:109" x14ac:dyDescent="0.2">
      <c r="A34" s="59">
        <v>1800</v>
      </c>
      <c r="B34" s="60" t="s">
        <v>262</v>
      </c>
      <c r="C34" s="61" t="s">
        <v>200</v>
      </c>
      <c r="D34" s="61" t="s">
        <v>225</v>
      </c>
      <c r="E34" s="61" t="s">
        <v>226</v>
      </c>
      <c r="F34" s="61"/>
      <c r="G34" s="62"/>
      <c r="H34" s="61"/>
      <c r="I34" s="63" t="s">
        <v>227</v>
      </c>
      <c r="J34" s="63"/>
      <c r="K34" s="63">
        <v>1</v>
      </c>
      <c r="L34" s="63">
        <v>1</v>
      </c>
      <c r="M34" s="63" t="s">
        <v>239</v>
      </c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 t="s">
        <v>229</v>
      </c>
      <c r="AS34" s="64" t="s">
        <v>229</v>
      </c>
      <c r="AT34" s="64" t="s">
        <v>229</v>
      </c>
      <c r="AU34" s="64" t="s">
        <v>229</v>
      </c>
      <c r="AV34" s="64" t="s">
        <v>229</v>
      </c>
      <c r="AW34" s="64" t="s">
        <v>229</v>
      </c>
      <c r="AX34" s="64" t="s">
        <v>229</v>
      </c>
      <c r="AY34" s="64" t="s">
        <v>229</v>
      </c>
      <c r="AZ34" s="64" t="s">
        <v>229</v>
      </c>
      <c r="BA34" s="64" t="s">
        <v>229</v>
      </c>
      <c r="BB34" s="64" t="s">
        <v>229</v>
      </c>
      <c r="BC34" s="64" t="s">
        <v>229</v>
      </c>
      <c r="BD34" s="64" t="s">
        <v>229</v>
      </c>
      <c r="BE34" s="64" t="s">
        <v>229</v>
      </c>
      <c r="BF34" s="64" t="s">
        <v>229</v>
      </c>
      <c r="BG34" s="64" t="s">
        <v>229</v>
      </c>
      <c r="BH34" s="64" t="s">
        <v>229</v>
      </c>
      <c r="BI34" s="64" t="s">
        <v>229</v>
      </c>
      <c r="BJ34" s="64" t="s">
        <v>229</v>
      </c>
      <c r="BK34" s="64" t="s">
        <v>229</v>
      </c>
      <c r="BL34" s="64" t="s">
        <v>229</v>
      </c>
      <c r="BM34" s="64" t="s">
        <v>229</v>
      </c>
      <c r="BN34" s="64" t="s">
        <v>229</v>
      </c>
      <c r="BO34" s="64" t="s">
        <v>229</v>
      </c>
      <c r="BP34" s="64" t="s">
        <v>229</v>
      </c>
      <c r="BQ34" s="64" t="s">
        <v>229</v>
      </c>
      <c r="BR34" s="64" t="s">
        <v>229</v>
      </c>
      <c r="BS34" s="64" t="s">
        <v>229</v>
      </c>
      <c r="BT34" s="64" t="s">
        <v>229</v>
      </c>
      <c r="BU34" s="64" t="s">
        <v>229</v>
      </c>
      <c r="BV34" s="64" t="s">
        <v>229</v>
      </c>
      <c r="BW34" s="64" t="s">
        <v>229</v>
      </c>
      <c r="BX34" s="64" t="s">
        <v>229</v>
      </c>
      <c r="BY34" s="64" t="s">
        <v>229</v>
      </c>
      <c r="BZ34" s="64" t="s">
        <v>229</v>
      </c>
      <c r="CA34" s="64" t="s">
        <v>229</v>
      </c>
      <c r="CB34" s="64" t="s">
        <v>229</v>
      </c>
      <c r="CC34" s="64" t="s">
        <v>229</v>
      </c>
      <c r="CD34" s="64" t="s">
        <v>229</v>
      </c>
      <c r="CE34" s="64" t="s">
        <v>229</v>
      </c>
      <c r="CF34" s="64" t="s">
        <v>229</v>
      </c>
      <c r="CG34" s="64" t="s">
        <v>229</v>
      </c>
      <c r="CH34" s="64" t="s">
        <v>229</v>
      </c>
      <c r="CI34" s="64" t="s">
        <v>229</v>
      </c>
      <c r="CJ34" s="64" t="s">
        <v>229</v>
      </c>
      <c r="CK34" s="64" t="s">
        <v>229</v>
      </c>
      <c r="CL34" s="64" t="s">
        <v>229</v>
      </c>
      <c r="CM34" s="64" t="s">
        <v>229</v>
      </c>
      <c r="CN34" s="64" t="s">
        <v>229</v>
      </c>
      <c r="CO34" s="64" t="s">
        <v>229</v>
      </c>
      <c r="CP34" s="64" t="s">
        <v>229</v>
      </c>
      <c r="CQ34" s="64" t="s">
        <v>229</v>
      </c>
      <c r="CR34" s="64" t="s">
        <v>229</v>
      </c>
      <c r="CS34" s="64" t="s">
        <v>229</v>
      </c>
      <c r="CT34" s="64" t="s">
        <v>229</v>
      </c>
      <c r="CU34" s="64" t="s">
        <v>229</v>
      </c>
      <c r="CV34" s="64" t="s">
        <v>229</v>
      </c>
      <c r="CW34" s="64" t="s">
        <v>229</v>
      </c>
      <c r="CX34" s="64" t="s">
        <v>229</v>
      </c>
      <c r="CY34" s="64" t="s">
        <v>229</v>
      </c>
      <c r="CZ34" s="64" t="s">
        <v>229</v>
      </c>
      <c r="DA34" s="64" t="s">
        <v>229</v>
      </c>
      <c r="DB34" s="64" t="s">
        <v>229</v>
      </c>
      <c r="DC34" s="64" t="s">
        <v>229</v>
      </c>
      <c r="DD34" s="64"/>
      <c r="DE34" s="65"/>
    </row>
    <row r="35" spans="1:109" x14ac:dyDescent="0.2">
      <c r="A35" s="59">
        <v>1801</v>
      </c>
      <c r="B35" s="60" t="s">
        <v>263</v>
      </c>
      <c r="C35" s="61" t="s">
        <v>200</v>
      </c>
      <c r="D35" s="61" t="s">
        <v>225</v>
      </c>
      <c r="E35" s="61" t="s">
        <v>237</v>
      </c>
      <c r="F35" s="61"/>
      <c r="G35" s="62"/>
      <c r="H35" s="61"/>
      <c r="I35" s="63" t="s">
        <v>227</v>
      </c>
      <c r="J35" s="63"/>
      <c r="K35" s="63">
        <v>1</v>
      </c>
      <c r="L35" s="63">
        <v>1</v>
      </c>
      <c r="M35" s="63" t="s">
        <v>239</v>
      </c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 t="s">
        <v>229</v>
      </c>
      <c r="AS35" s="64" t="s">
        <v>229</v>
      </c>
      <c r="AT35" s="64" t="s">
        <v>229</v>
      </c>
      <c r="AU35" s="64" t="s">
        <v>229</v>
      </c>
      <c r="AV35" s="64" t="s">
        <v>229</v>
      </c>
      <c r="AW35" s="64" t="s">
        <v>229</v>
      </c>
      <c r="AX35" s="64" t="s">
        <v>229</v>
      </c>
      <c r="AY35" s="64" t="s">
        <v>229</v>
      </c>
      <c r="AZ35" s="64" t="s">
        <v>229</v>
      </c>
      <c r="BA35" s="64" t="s">
        <v>229</v>
      </c>
      <c r="BB35" s="64" t="s">
        <v>229</v>
      </c>
      <c r="BC35" s="64" t="s">
        <v>229</v>
      </c>
      <c r="BD35" s="64" t="s">
        <v>229</v>
      </c>
      <c r="BE35" s="64" t="s">
        <v>229</v>
      </c>
      <c r="BF35" s="64" t="s">
        <v>229</v>
      </c>
      <c r="BG35" s="64" t="s">
        <v>229</v>
      </c>
      <c r="BH35" s="64" t="s">
        <v>229</v>
      </c>
      <c r="BI35" s="64" t="s">
        <v>229</v>
      </c>
      <c r="BJ35" s="64" t="s">
        <v>229</v>
      </c>
      <c r="BK35" s="64" t="s">
        <v>229</v>
      </c>
      <c r="BL35" s="64" t="s">
        <v>229</v>
      </c>
      <c r="BM35" s="64" t="s">
        <v>229</v>
      </c>
      <c r="BN35" s="64" t="s">
        <v>229</v>
      </c>
      <c r="BO35" s="64" t="s">
        <v>229</v>
      </c>
      <c r="BP35" s="64" t="s">
        <v>229</v>
      </c>
      <c r="BQ35" s="64" t="s">
        <v>229</v>
      </c>
      <c r="BR35" s="64" t="s">
        <v>229</v>
      </c>
      <c r="BS35" s="64" t="s">
        <v>229</v>
      </c>
      <c r="BT35" s="64" t="s">
        <v>229</v>
      </c>
      <c r="BU35" s="64" t="s">
        <v>229</v>
      </c>
      <c r="BV35" s="64" t="s">
        <v>229</v>
      </c>
      <c r="BW35" s="64" t="s">
        <v>229</v>
      </c>
      <c r="BX35" s="64" t="s">
        <v>229</v>
      </c>
      <c r="BY35" s="64" t="s">
        <v>229</v>
      </c>
      <c r="BZ35" s="64" t="s">
        <v>229</v>
      </c>
      <c r="CA35" s="64" t="s">
        <v>229</v>
      </c>
      <c r="CB35" s="64" t="s">
        <v>229</v>
      </c>
      <c r="CC35" s="64" t="s">
        <v>229</v>
      </c>
      <c r="CD35" s="64" t="s">
        <v>229</v>
      </c>
      <c r="CE35" s="64" t="s">
        <v>229</v>
      </c>
      <c r="CF35" s="64" t="s">
        <v>229</v>
      </c>
      <c r="CG35" s="64" t="s">
        <v>229</v>
      </c>
      <c r="CH35" s="64" t="s">
        <v>229</v>
      </c>
      <c r="CI35" s="64" t="s">
        <v>229</v>
      </c>
      <c r="CJ35" s="64" t="s">
        <v>229</v>
      </c>
      <c r="CK35" s="64" t="s">
        <v>229</v>
      </c>
      <c r="CL35" s="64" t="s">
        <v>229</v>
      </c>
      <c r="CM35" s="64" t="s">
        <v>229</v>
      </c>
      <c r="CN35" s="64" t="s">
        <v>229</v>
      </c>
      <c r="CO35" s="64" t="s">
        <v>229</v>
      </c>
      <c r="CP35" s="64" t="s">
        <v>229</v>
      </c>
      <c r="CQ35" s="64" t="s">
        <v>229</v>
      </c>
      <c r="CR35" s="64" t="s">
        <v>229</v>
      </c>
      <c r="CS35" s="64" t="s">
        <v>229</v>
      </c>
      <c r="CT35" s="64" t="s">
        <v>229</v>
      </c>
      <c r="CU35" s="64" t="s">
        <v>229</v>
      </c>
      <c r="CV35" s="64" t="s">
        <v>229</v>
      </c>
      <c r="CW35" s="64" t="s">
        <v>229</v>
      </c>
      <c r="CX35" s="64" t="s">
        <v>229</v>
      </c>
      <c r="CY35" s="64" t="s">
        <v>229</v>
      </c>
      <c r="CZ35" s="64" t="s">
        <v>229</v>
      </c>
      <c r="DA35" s="64" t="s">
        <v>229</v>
      </c>
      <c r="DB35" s="64" t="s">
        <v>229</v>
      </c>
      <c r="DC35" s="64" t="s">
        <v>229</v>
      </c>
      <c r="DD35" s="64"/>
      <c r="DE35" s="65"/>
    </row>
    <row r="36" spans="1:109" x14ac:dyDescent="0.2">
      <c r="A36" s="59">
        <v>1820</v>
      </c>
      <c r="B36" s="60" t="s">
        <v>264</v>
      </c>
      <c r="C36" s="61" t="s">
        <v>200</v>
      </c>
      <c r="D36" s="61" t="s">
        <v>225</v>
      </c>
      <c r="E36" s="61" t="s">
        <v>237</v>
      </c>
      <c r="F36" s="61"/>
      <c r="G36" s="62"/>
      <c r="H36" s="61"/>
      <c r="I36" s="63" t="s">
        <v>227</v>
      </c>
      <c r="J36" s="63"/>
      <c r="K36" s="63">
        <v>1</v>
      </c>
      <c r="L36" s="63">
        <v>1</v>
      </c>
      <c r="M36" s="63" t="s">
        <v>232</v>
      </c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 t="s">
        <v>229</v>
      </c>
      <c r="AS36" s="64" t="s">
        <v>229</v>
      </c>
      <c r="AT36" s="64" t="s">
        <v>229</v>
      </c>
      <c r="AU36" s="64" t="s">
        <v>229</v>
      </c>
      <c r="AV36" s="64" t="s">
        <v>229</v>
      </c>
      <c r="AW36" s="64" t="s">
        <v>229</v>
      </c>
      <c r="AX36" s="64" t="s">
        <v>229</v>
      </c>
      <c r="AY36" s="64" t="s">
        <v>229</v>
      </c>
      <c r="AZ36" s="64" t="s">
        <v>229</v>
      </c>
      <c r="BA36" s="64" t="s">
        <v>229</v>
      </c>
      <c r="BB36" s="64" t="s">
        <v>229</v>
      </c>
      <c r="BC36" s="64" t="s">
        <v>229</v>
      </c>
      <c r="BD36" s="64" t="s">
        <v>229</v>
      </c>
      <c r="BE36" s="64" t="s">
        <v>229</v>
      </c>
      <c r="BF36" s="64" t="s">
        <v>229</v>
      </c>
      <c r="BG36" s="64" t="s">
        <v>229</v>
      </c>
      <c r="BH36" s="64" t="s">
        <v>229</v>
      </c>
      <c r="BI36" s="64" t="s">
        <v>229</v>
      </c>
      <c r="BJ36" s="64" t="s">
        <v>229</v>
      </c>
      <c r="BK36" s="64" t="s">
        <v>229</v>
      </c>
      <c r="BL36" s="64" t="s">
        <v>229</v>
      </c>
      <c r="BM36" s="64" t="s">
        <v>229</v>
      </c>
      <c r="BN36" s="64" t="s">
        <v>229</v>
      </c>
      <c r="BO36" s="64" t="s">
        <v>229</v>
      </c>
      <c r="BP36" s="64" t="s">
        <v>229</v>
      </c>
      <c r="BQ36" s="64" t="s">
        <v>229</v>
      </c>
      <c r="BR36" s="64" t="s">
        <v>229</v>
      </c>
      <c r="BS36" s="64" t="s">
        <v>229</v>
      </c>
      <c r="BT36" s="64" t="s">
        <v>229</v>
      </c>
      <c r="BU36" s="64" t="s">
        <v>229</v>
      </c>
      <c r="BV36" s="64" t="s">
        <v>229</v>
      </c>
      <c r="BW36" s="64" t="s">
        <v>229</v>
      </c>
      <c r="BX36" s="64" t="s">
        <v>229</v>
      </c>
      <c r="BY36" s="64" t="s">
        <v>229</v>
      </c>
      <c r="BZ36" s="64" t="s">
        <v>229</v>
      </c>
      <c r="CA36" s="64" t="s">
        <v>229</v>
      </c>
      <c r="CB36" s="64" t="s">
        <v>229</v>
      </c>
      <c r="CC36" s="64" t="s">
        <v>229</v>
      </c>
      <c r="CD36" s="64" t="s">
        <v>229</v>
      </c>
      <c r="CE36" s="64" t="s">
        <v>229</v>
      </c>
      <c r="CF36" s="64" t="s">
        <v>229</v>
      </c>
      <c r="CG36" s="64" t="s">
        <v>229</v>
      </c>
      <c r="CH36" s="64" t="s">
        <v>229</v>
      </c>
      <c r="CI36" s="64" t="s">
        <v>229</v>
      </c>
      <c r="CJ36" s="64" t="s">
        <v>229</v>
      </c>
      <c r="CK36" s="64" t="s">
        <v>229</v>
      </c>
      <c r="CL36" s="64" t="s">
        <v>229</v>
      </c>
      <c r="CM36" s="64" t="s">
        <v>229</v>
      </c>
      <c r="CN36" s="64" t="s">
        <v>229</v>
      </c>
      <c r="CO36" s="64" t="s">
        <v>229</v>
      </c>
      <c r="CP36" s="64" t="s">
        <v>229</v>
      </c>
      <c r="CQ36" s="64" t="s">
        <v>229</v>
      </c>
      <c r="CR36" s="64" t="s">
        <v>229</v>
      </c>
      <c r="CS36" s="64" t="s">
        <v>229</v>
      </c>
      <c r="CT36" s="64" t="s">
        <v>229</v>
      </c>
      <c r="CU36" s="64" t="s">
        <v>229</v>
      </c>
      <c r="CV36" s="64" t="s">
        <v>229</v>
      </c>
      <c r="CW36" s="64" t="s">
        <v>229</v>
      </c>
      <c r="CX36" s="64" t="s">
        <v>229</v>
      </c>
      <c r="CY36" s="64" t="s">
        <v>229</v>
      </c>
      <c r="CZ36" s="64" t="s">
        <v>229</v>
      </c>
      <c r="DA36" s="64" t="s">
        <v>229</v>
      </c>
      <c r="DB36" s="64" t="s">
        <v>229</v>
      </c>
      <c r="DC36" s="64" t="s">
        <v>229</v>
      </c>
      <c r="DD36" s="64"/>
      <c r="DE36" s="65"/>
    </row>
    <row r="37" spans="1:109" x14ac:dyDescent="0.2">
      <c r="A37" s="59">
        <v>1803</v>
      </c>
      <c r="B37" s="60" t="s">
        <v>265</v>
      </c>
      <c r="C37" s="61" t="s">
        <v>200</v>
      </c>
      <c r="D37" s="61" t="s">
        <v>225</v>
      </c>
      <c r="E37" s="61" t="s">
        <v>226</v>
      </c>
      <c r="F37" s="61"/>
      <c r="G37" s="62"/>
      <c r="H37" s="61"/>
      <c r="I37" s="63" t="s">
        <v>238</v>
      </c>
      <c r="J37" s="63"/>
      <c r="K37" s="63">
        <v>1</v>
      </c>
      <c r="L37" s="63">
        <v>1</v>
      </c>
      <c r="M37" s="63" t="s">
        <v>239</v>
      </c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 t="s">
        <v>229</v>
      </c>
      <c r="AS37" s="64" t="s">
        <v>229</v>
      </c>
      <c r="AT37" s="64" t="s">
        <v>229</v>
      </c>
      <c r="AU37" s="64" t="s">
        <v>229</v>
      </c>
      <c r="AV37" s="64" t="s">
        <v>229</v>
      </c>
      <c r="AW37" s="64" t="s">
        <v>229</v>
      </c>
      <c r="AX37" s="64" t="s">
        <v>229</v>
      </c>
      <c r="AY37" s="64" t="s">
        <v>229</v>
      </c>
      <c r="AZ37" s="64" t="s">
        <v>229</v>
      </c>
      <c r="BA37" s="64" t="s">
        <v>229</v>
      </c>
      <c r="BB37" s="64" t="s">
        <v>229</v>
      </c>
      <c r="BC37" s="64" t="s">
        <v>229</v>
      </c>
      <c r="BD37" s="64" t="s">
        <v>229</v>
      </c>
      <c r="BE37" s="64" t="s">
        <v>229</v>
      </c>
      <c r="BF37" s="64" t="s">
        <v>229</v>
      </c>
      <c r="BG37" s="64" t="s">
        <v>229</v>
      </c>
      <c r="BH37" s="64" t="s">
        <v>229</v>
      </c>
      <c r="BI37" s="64" t="s">
        <v>229</v>
      </c>
      <c r="BJ37" s="64" t="s">
        <v>229</v>
      </c>
      <c r="BK37" s="64" t="s">
        <v>229</v>
      </c>
      <c r="BL37" s="64" t="s">
        <v>229</v>
      </c>
      <c r="BM37" s="64" t="s">
        <v>229</v>
      </c>
      <c r="BN37" s="64" t="s">
        <v>229</v>
      </c>
      <c r="BO37" s="64" t="s">
        <v>229</v>
      </c>
      <c r="BP37" s="64" t="s">
        <v>229</v>
      </c>
      <c r="BQ37" s="64" t="s">
        <v>229</v>
      </c>
      <c r="BR37" s="64" t="s">
        <v>229</v>
      </c>
      <c r="BS37" s="64" t="s">
        <v>229</v>
      </c>
      <c r="BT37" s="64" t="s">
        <v>229</v>
      </c>
      <c r="BU37" s="64" t="s">
        <v>229</v>
      </c>
      <c r="BV37" s="64" t="s">
        <v>229</v>
      </c>
      <c r="BW37" s="64" t="s">
        <v>229</v>
      </c>
      <c r="BX37" s="64" t="s">
        <v>229</v>
      </c>
      <c r="BY37" s="64" t="s">
        <v>229</v>
      </c>
      <c r="BZ37" s="64" t="s">
        <v>229</v>
      </c>
      <c r="CA37" s="64" t="s">
        <v>229</v>
      </c>
      <c r="CB37" s="64" t="s">
        <v>229</v>
      </c>
      <c r="CC37" s="64" t="s">
        <v>229</v>
      </c>
      <c r="CD37" s="64" t="s">
        <v>229</v>
      </c>
      <c r="CE37" s="64" t="s">
        <v>229</v>
      </c>
      <c r="CF37" s="64" t="s">
        <v>229</v>
      </c>
      <c r="CG37" s="64" t="s">
        <v>229</v>
      </c>
      <c r="CH37" s="64" t="s">
        <v>229</v>
      </c>
      <c r="CI37" s="64" t="s">
        <v>229</v>
      </c>
      <c r="CJ37" s="64" t="s">
        <v>229</v>
      </c>
      <c r="CK37" s="64" t="s">
        <v>229</v>
      </c>
      <c r="CL37" s="64" t="s">
        <v>229</v>
      </c>
      <c r="CM37" s="64" t="s">
        <v>229</v>
      </c>
      <c r="CN37" s="64" t="s">
        <v>229</v>
      </c>
      <c r="CO37" s="64" t="s">
        <v>229</v>
      </c>
      <c r="CP37" s="64" t="s">
        <v>229</v>
      </c>
      <c r="CQ37" s="64" t="s">
        <v>229</v>
      </c>
      <c r="CR37" s="64" t="s">
        <v>229</v>
      </c>
      <c r="CS37" s="64" t="s">
        <v>229</v>
      </c>
      <c r="CT37" s="64" t="s">
        <v>229</v>
      </c>
      <c r="CU37" s="64" t="s">
        <v>229</v>
      </c>
      <c r="CV37" s="64" t="s">
        <v>229</v>
      </c>
      <c r="CW37" s="64" t="s">
        <v>229</v>
      </c>
      <c r="CX37" s="64" t="s">
        <v>229</v>
      </c>
      <c r="CY37" s="64" t="s">
        <v>229</v>
      </c>
      <c r="CZ37" s="64" t="s">
        <v>229</v>
      </c>
      <c r="DA37" s="64" t="s">
        <v>229</v>
      </c>
      <c r="DB37" s="64" t="s">
        <v>229</v>
      </c>
      <c r="DC37" s="64" t="s">
        <v>229</v>
      </c>
      <c r="DD37" s="64" t="s">
        <v>229</v>
      </c>
      <c r="DE37" s="65"/>
    </row>
    <row r="38" spans="1:109" x14ac:dyDescent="0.2">
      <c r="A38" s="59">
        <v>3112</v>
      </c>
      <c r="B38" s="60" t="s">
        <v>266</v>
      </c>
      <c r="C38" s="61" t="s">
        <v>203</v>
      </c>
      <c r="D38" s="61" t="s">
        <v>225</v>
      </c>
      <c r="E38" s="61" t="s">
        <v>226</v>
      </c>
      <c r="F38" s="61"/>
      <c r="G38" s="62"/>
      <c r="H38" s="61"/>
      <c r="I38" s="63" t="s">
        <v>238</v>
      </c>
      <c r="J38" s="63"/>
      <c r="K38" s="63"/>
      <c r="L38" s="63"/>
      <c r="M38" s="63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 t="s">
        <v>229</v>
      </c>
      <c r="BX38" s="64" t="s">
        <v>229</v>
      </c>
      <c r="BY38" s="64" t="s">
        <v>229</v>
      </c>
      <c r="BZ38" s="64" t="s">
        <v>229</v>
      </c>
      <c r="CA38" s="64" t="s">
        <v>229</v>
      </c>
      <c r="CB38" s="64" t="s">
        <v>229</v>
      </c>
      <c r="CC38" s="64" t="s">
        <v>229</v>
      </c>
      <c r="CD38" s="64" t="s">
        <v>229</v>
      </c>
      <c r="CE38" s="64" t="s">
        <v>229</v>
      </c>
      <c r="CF38" s="64" t="s">
        <v>229</v>
      </c>
      <c r="CG38" s="64" t="s">
        <v>229</v>
      </c>
      <c r="CH38" s="64" t="s">
        <v>229</v>
      </c>
      <c r="CI38" s="64" t="s">
        <v>229</v>
      </c>
      <c r="CJ38" s="64" t="s">
        <v>229</v>
      </c>
      <c r="CK38" s="64" t="s">
        <v>229</v>
      </c>
      <c r="CL38" s="64" t="s">
        <v>229</v>
      </c>
      <c r="CM38" s="64"/>
      <c r="CN38" s="64" t="s">
        <v>229</v>
      </c>
      <c r="CO38" s="64" t="s">
        <v>229</v>
      </c>
      <c r="CP38" s="64" t="s">
        <v>229</v>
      </c>
      <c r="CQ38" s="64" t="s">
        <v>229</v>
      </c>
      <c r="CR38" s="64" t="s">
        <v>229</v>
      </c>
      <c r="CS38" s="64" t="s">
        <v>229</v>
      </c>
      <c r="CT38" s="64" t="s">
        <v>229</v>
      </c>
      <c r="CU38" s="64" t="s">
        <v>229</v>
      </c>
      <c r="CV38" s="64" t="s">
        <v>229</v>
      </c>
      <c r="CW38" s="64" t="s">
        <v>229</v>
      </c>
      <c r="CX38" s="64" t="s">
        <v>229</v>
      </c>
      <c r="CY38" s="64" t="s">
        <v>229</v>
      </c>
      <c r="CZ38" s="64" t="s">
        <v>229</v>
      </c>
      <c r="DA38" s="64" t="s">
        <v>229</v>
      </c>
      <c r="DB38" s="64" t="s">
        <v>229</v>
      </c>
      <c r="DC38" s="64" t="s">
        <v>229</v>
      </c>
      <c r="DD38" s="64"/>
      <c r="DE38" s="65"/>
    </row>
    <row r="39" spans="1:109" x14ac:dyDescent="0.2">
      <c r="A39" s="59">
        <v>1079</v>
      </c>
      <c r="B39" s="60" t="s">
        <v>267</v>
      </c>
      <c r="C39" s="61" t="s">
        <v>203</v>
      </c>
      <c r="D39" s="61" t="s">
        <v>225</v>
      </c>
      <c r="E39" s="61" t="s">
        <v>226</v>
      </c>
      <c r="F39" s="61"/>
      <c r="G39" s="62"/>
      <c r="H39" s="61"/>
      <c r="I39" s="63" t="s">
        <v>238</v>
      </c>
      <c r="J39" s="63"/>
      <c r="K39" s="63">
        <v>1</v>
      </c>
      <c r="L39" s="63">
        <v>1</v>
      </c>
      <c r="M39" s="63" t="s">
        <v>241</v>
      </c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 t="s">
        <v>229</v>
      </c>
      <c r="BX39" s="64" t="s">
        <v>229</v>
      </c>
      <c r="BY39" s="64" t="s">
        <v>229</v>
      </c>
      <c r="BZ39" s="64" t="s">
        <v>229</v>
      </c>
      <c r="CA39" s="64" t="s">
        <v>229</v>
      </c>
      <c r="CB39" s="64" t="s">
        <v>229</v>
      </c>
      <c r="CC39" s="64" t="s">
        <v>229</v>
      </c>
      <c r="CD39" s="64" t="s">
        <v>229</v>
      </c>
      <c r="CE39" s="64" t="s">
        <v>229</v>
      </c>
      <c r="CF39" s="64" t="s">
        <v>229</v>
      </c>
      <c r="CG39" s="64" t="s">
        <v>229</v>
      </c>
      <c r="CH39" s="64" t="s">
        <v>229</v>
      </c>
      <c r="CI39" s="64" t="s">
        <v>229</v>
      </c>
      <c r="CJ39" s="64" t="s">
        <v>229</v>
      </c>
      <c r="CK39" s="64" t="s">
        <v>229</v>
      </c>
      <c r="CL39" s="64" t="s">
        <v>229</v>
      </c>
      <c r="CM39" s="64"/>
      <c r="CN39" s="64" t="s">
        <v>229</v>
      </c>
      <c r="CO39" s="64" t="s">
        <v>229</v>
      </c>
      <c r="CP39" s="64" t="s">
        <v>229</v>
      </c>
      <c r="CQ39" s="64" t="s">
        <v>229</v>
      </c>
      <c r="CR39" s="64" t="s">
        <v>229</v>
      </c>
      <c r="CS39" s="64" t="s">
        <v>229</v>
      </c>
      <c r="CT39" s="64" t="s">
        <v>229</v>
      </c>
      <c r="CU39" s="64" t="s">
        <v>229</v>
      </c>
      <c r="CV39" s="64" t="s">
        <v>229</v>
      </c>
      <c r="CW39" s="64" t="s">
        <v>229</v>
      </c>
      <c r="CX39" s="64" t="s">
        <v>229</v>
      </c>
      <c r="CY39" s="64" t="s">
        <v>229</v>
      </c>
      <c r="CZ39" s="64" t="s">
        <v>229</v>
      </c>
      <c r="DA39" s="64" t="s">
        <v>229</v>
      </c>
      <c r="DB39" s="64" t="s">
        <v>229</v>
      </c>
      <c r="DC39" s="64" t="s">
        <v>229</v>
      </c>
      <c r="DD39" s="64"/>
      <c r="DE39" s="65"/>
    </row>
    <row r="40" spans="1:109" x14ac:dyDescent="0.2">
      <c r="A40" s="59">
        <v>965</v>
      </c>
      <c r="B40" s="60" t="s">
        <v>268</v>
      </c>
      <c r="C40" s="61" t="s">
        <v>100</v>
      </c>
      <c r="D40" s="61" t="s">
        <v>225</v>
      </c>
      <c r="E40" s="61" t="s">
        <v>237</v>
      </c>
      <c r="F40" s="61"/>
      <c r="G40" s="62"/>
      <c r="H40" s="61"/>
      <c r="I40" s="63" t="s">
        <v>227</v>
      </c>
      <c r="J40" s="63">
        <v>1</v>
      </c>
      <c r="K40" s="63">
        <v>1</v>
      </c>
      <c r="L40" s="63">
        <v>1</v>
      </c>
      <c r="M40" s="63" t="s">
        <v>241</v>
      </c>
      <c r="N40" s="64" t="s">
        <v>229</v>
      </c>
      <c r="O40" s="64" t="s">
        <v>229</v>
      </c>
      <c r="P40" s="64" t="s">
        <v>229</v>
      </c>
      <c r="Q40" s="64" t="s">
        <v>229</v>
      </c>
      <c r="R40" s="64" t="s">
        <v>229</v>
      </c>
      <c r="S40" s="64" t="s">
        <v>229</v>
      </c>
      <c r="T40" s="64" t="s">
        <v>229</v>
      </c>
      <c r="U40" s="64" t="s">
        <v>229</v>
      </c>
      <c r="V40" s="64" t="s">
        <v>229</v>
      </c>
      <c r="W40" s="64" t="s">
        <v>229</v>
      </c>
      <c r="X40" s="64" t="s">
        <v>229</v>
      </c>
      <c r="Y40" s="64" t="s">
        <v>229</v>
      </c>
      <c r="Z40" s="64" t="s">
        <v>229</v>
      </c>
      <c r="AA40" s="64" t="s">
        <v>229</v>
      </c>
      <c r="AB40" s="64" t="s">
        <v>229</v>
      </c>
      <c r="AC40" s="64" t="s">
        <v>229</v>
      </c>
      <c r="AD40" s="64" t="s">
        <v>229</v>
      </c>
      <c r="AE40" s="64" t="s">
        <v>229</v>
      </c>
      <c r="AF40" s="64" t="s">
        <v>229</v>
      </c>
      <c r="AG40" s="64" t="s">
        <v>229</v>
      </c>
      <c r="AH40" s="64" t="s">
        <v>229</v>
      </c>
      <c r="AI40" s="64" t="s">
        <v>229</v>
      </c>
      <c r="AJ40" s="64" t="s">
        <v>229</v>
      </c>
      <c r="AK40" s="64" t="s">
        <v>229</v>
      </c>
      <c r="AL40" s="64" t="s">
        <v>229</v>
      </c>
      <c r="AM40" s="64" t="s">
        <v>229</v>
      </c>
      <c r="AN40" s="64" t="s">
        <v>229</v>
      </c>
      <c r="AO40" s="64" t="s">
        <v>229</v>
      </c>
      <c r="AP40" s="64" t="s">
        <v>229</v>
      </c>
      <c r="AQ40" s="64" t="s">
        <v>229</v>
      </c>
      <c r="AR40" s="64" t="s">
        <v>229</v>
      </c>
      <c r="AS40" s="64" t="s">
        <v>229</v>
      </c>
      <c r="AT40" s="64" t="s">
        <v>229</v>
      </c>
      <c r="AU40" s="64" t="s">
        <v>229</v>
      </c>
      <c r="AV40" s="64" t="s">
        <v>229</v>
      </c>
      <c r="AW40" s="64" t="s">
        <v>229</v>
      </c>
      <c r="AX40" s="64" t="s">
        <v>229</v>
      </c>
      <c r="AY40" s="64" t="s">
        <v>229</v>
      </c>
      <c r="AZ40" s="64" t="s">
        <v>229</v>
      </c>
      <c r="BA40" s="64" t="s">
        <v>229</v>
      </c>
      <c r="BB40" s="64" t="s">
        <v>229</v>
      </c>
      <c r="BC40" s="64" t="s">
        <v>229</v>
      </c>
      <c r="BD40" s="64" t="s">
        <v>229</v>
      </c>
      <c r="BE40" s="64" t="s">
        <v>229</v>
      </c>
      <c r="BF40" s="64" t="s">
        <v>229</v>
      </c>
      <c r="BG40" s="64" t="s">
        <v>229</v>
      </c>
      <c r="BH40" s="64" t="s">
        <v>229</v>
      </c>
      <c r="BI40" s="64" t="s">
        <v>229</v>
      </c>
      <c r="BJ40" s="64" t="s">
        <v>229</v>
      </c>
      <c r="BK40" s="64" t="s">
        <v>229</v>
      </c>
      <c r="BL40" s="64" t="s">
        <v>229</v>
      </c>
      <c r="BM40" s="64" t="s">
        <v>229</v>
      </c>
      <c r="BN40" s="64" t="s">
        <v>229</v>
      </c>
      <c r="BO40" s="64" t="s">
        <v>229</v>
      </c>
      <c r="BP40" s="64" t="s">
        <v>229</v>
      </c>
      <c r="BQ40" s="64" t="s">
        <v>229</v>
      </c>
      <c r="BR40" s="64" t="s">
        <v>229</v>
      </c>
      <c r="BS40" s="64" t="s">
        <v>229</v>
      </c>
      <c r="BT40" s="64" t="s">
        <v>229</v>
      </c>
      <c r="BU40" s="64" t="s">
        <v>229</v>
      </c>
      <c r="BV40" s="64" t="s">
        <v>229</v>
      </c>
      <c r="BW40" s="64" t="s">
        <v>229</v>
      </c>
      <c r="BX40" s="64" t="s">
        <v>229</v>
      </c>
      <c r="BY40" s="64" t="s">
        <v>229</v>
      </c>
      <c r="BZ40" s="64" t="s">
        <v>229</v>
      </c>
      <c r="CA40" s="64" t="s">
        <v>229</v>
      </c>
      <c r="CB40" s="64" t="s">
        <v>229</v>
      </c>
      <c r="CC40" s="64" t="s">
        <v>229</v>
      </c>
      <c r="CD40" s="64" t="s">
        <v>229</v>
      </c>
      <c r="CE40" s="64" t="s">
        <v>229</v>
      </c>
      <c r="CF40" s="64" t="s">
        <v>229</v>
      </c>
      <c r="CG40" s="64" t="s">
        <v>229</v>
      </c>
      <c r="CH40" s="64" t="s">
        <v>229</v>
      </c>
      <c r="CI40" s="64" t="s">
        <v>229</v>
      </c>
      <c r="CJ40" s="64" t="s">
        <v>229</v>
      </c>
      <c r="CK40" s="64" t="s">
        <v>229</v>
      </c>
      <c r="CL40" s="64" t="s">
        <v>229</v>
      </c>
      <c r="CM40" s="64" t="s">
        <v>229</v>
      </c>
      <c r="CN40" s="64" t="s">
        <v>229</v>
      </c>
      <c r="CO40" s="64" t="s">
        <v>229</v>
      </c>
      <c r="CP40" s="64" t="s">
        <v>229</v>
      </c>
      <c r="CQ40" s="64" t="s">
        <v>229</v>
      </c>
      <c r="CR40" s="64" t="s">
        <v>229</v>
      </c>
      <c r="CS40" s="64" t="s">
        <v>229</v>
      </c>
      <c r="CT40" s="64" t="s">
        <v>229</v>
      </c>
      <c r="CU40" s="64" t="s">
        <v>229</v>
      </c>
      <c r="CV40" s="64" t="s">
        <v>229</v>
      </c>
      <c r="CW40" s="64" t="s">
        <v>229</v>
      </c>
      <c r="CX40" s="64" t="s">
        <v>229</v>
      </c>
      <c r="CY40" s="64" t="s">
        <v>229</v>
      </c>
      <c r="CZ40" s="64" t="s">
        <v>229</v>
      </c>
      <c r="DA40" s="64" t="s">
        <v>229</v>
      </c>
      <c r="DB40" s="64" t="s">
        <v>229</v>
      </c>
      <c r="DC40" s="64" t="s">
        <v>229</v>
      </c>
      <c r="DD40" s="64"/>
      <c r="DE40" s="65"/>
    </row>
    <row r="41" spans="1:109" x14ac:dyDescent="0.2">
      <c r="A41" s="59">
        <v>2247</v>
      </c>
      <c r="B41" s="60" t="s">
        <v>269</v>
      </c>
      <c r="C41" s="61" t="s">
        <v>100</v>
      </c>
      <c r="D41" s="61" t="s">
        <v>225</v>
      </c>
      <c r="E41" s="61" t="s">
        <v>226</v>
      </c>
      <c r="F41" s="61"/>
      <c r="G41" s="62"/>
      <c r="H41" s="61"/>
      <c r="I41" s="63" t="s">
        <v>227</v>
      </c>
      <c r="J41" s="63">
        <v>1</v>
      </c>
      <c r="K41" s="63">
        <v>1</v>
      </c>
      <c r="L41" s="63">
        <v>1</v>
      </c>
      <c r="M41" s="63" t="s">
        <v>232</v>
      </c>
      <c r="N41" s="64" t="s">
        <v>229</v>
      </c>
      <c r="O41" s="64" t="s">
        <v>229</v>
      </c>
      <c r="P41" s="64" t="s">
        <v>229</v>
      </c>
      <c r="Q41" s="64" t="s">
        <v>229</v>
      </c>
      <c r="R41" s="64" t="s">
        <v>229</v>
      </c>
      <c r="S41" s="64" t="s">
        <v>229</v>
      </c>
      <c r="T41" s="64" t="s">
        <v>229</v>
      </c>
      <c r="U41" s="64" t="s">
        <v>229</v>
      </c>
      <c r="V41" s="64" t="s">
        <v>229</v>
      </c>
      <c r="W41" s="64" t="s">
        <v>229</v>
      </c>
      <c r="X41" s="64" t="s">
        <v>229</v>
      </c>
      <c r="Y41" s="64" t="s">
        <v>229</v>
      </c>
      <c r="Z41" s="64" t="s">
        <v>229</v>
      </c>
      <c r="AA41" s="64" t="s">
        <v>229</v>
      </c>
      <c r="AB41" s="64" t="s">
        <v>229</v>
      </c>
      <c r="AC41" s="64" t="s">
        <v>229</v>
      </c>
      <c r="AD41" s="64" t="s">
        <v>229</v>
      </c>
      <c r="AE41" s="64" t="s">
        <v>229</v>
      </c>
      <c r="AF41" s="64" t="s">
        <v>229</v>
      </c>
      <c r="AG41" s="64" t="s">
        <v>229</v>
      </c>
      <c r="AH41" s="64" t="s">
        <v>229</v>
      </c>
      <c r="AI41" s="64" t="s">
        <v>229</v>
      </c>
      <c r="AJ41" s="64" t="s">
        <v>229</v>
      </c>
      <c r="AK41" s="64" t="s">
        <v>229</v>
      </c>
      <c r="AL41" s="64" t="s">
        <v>229</v>
      </c>
      <c r="AM41" s="64" t="s">
        <v>229</v>
      </c>
      <c r="AN41" s="64" t="s">
        <v>229</v>
      </c>
      <c r="AO41" s="64" t="s">
        <v>229</v>
      </c>
      <c r="AP41" s="64" t="s">
        <v>229</v>
      </c>
      <c r="AQ41" s="64" t="s">
        <v>229</v>
      </c>
      <c r="AR41" s="64" t="s">
        <v>229</v>
      </c>
      <c r="AS41" s="64" t="s">
        <v>229</v>
      </c>
      <c r="AT41" s="64" t="s">
        <v>229</v>
      </c>
      <c r="AU41" s="64" t="s">
        <v>229</v>
      </c>
      <c r="AV41" s="64" t="s">
        <v>229</v>
      </c>
      <c r="AW41" s="64" t="s">
        <v>229</v>
      </c>
      <c r="AX41" s="64" t="s">
        <v>229</v>
      </c>
      <c r="AY41" s="64" t="s">
        <v>229</v>
      </c>
      <c r="AZ41" s="64" t="s">
        <v>229</v>
      </c>
      <c r="BA41" s="64" t="s">
        <v>229</v>
      </c>
      <c r="BB41" s="64" t="s">
        <v>229</v>
      </c>
      <c r="BC41" s="64" t="s">
        <v>229</v>
      </c>
      <c r="BD41" s="64" t="s">
        <v>229</v>
      </c>
      <c r="BE41" s="64" t="s">
        <v>229</v>
      </c>
      <c r="BF41" s="64" t="s">
        <v>229</v>
      </c>
      <c r="BG41" s="64" t="s">
        <v>229</v>
      </c>
      <c r="BH41" s="64" t="s">
        <v>229</v>
      </c>
      <c r="BI41" s="64" t="s">
        <v>229</v>
      </c>
      <c r="BJ41" s="64" t="s">
        <v>229</v>
      </c>
      <c r="BK41" s="64" t="s">
        <v>229</v>
      </c>
      <c r="BL41" s="64" t="s">
        <v>229</v>
      </c>
      <c r="BM41" s="64" t="s">
        <v>229</v>
      </c>
      <c r="BN41" s="64" t="s">
        <v>229</v>
      </c>
      <c r="BO41" s="64" t="s">
        <v>229</v>
      </c>
      <c r="BP41" s="64" t="s">
        <v>229</v>
      </c>
      <c r="BQ41" s="64" t="s">
        <v>229</v>
      </c>
      <c r="BR41" s="64" t="s">
        <v>229</v>
      </c>
      <c r="BS41" s="64" t="s">
        <v>229</v>
      </c>
      <c r="BT41" s="64" t="s">
        <v>229</v>
      </c>
      <c r="BU41" s="64" t="s">
        <v>229</v>
      </c>
      <c r="BV41" s="64" t="s">
        <v>229</v>
      </c>
      <c r="BW41" s="64" t="s">
        <v>229</v>
      </c>
      <c r="BX41" s="64" t="s">
        <v>229</v>
      </c>
      <c r="BY41" s="64" t="s">
        <v>229</v>
      </c>
      <c r="BZ41" s="64" t="s">
        <v>229</v>
      </c>
      <c r="CA41" s="64" t="s">
        <v>229</v>
      </c>
      <c r="CB41" s="64" t="s">
        <v>229</v>
      </c>
      <c r="CC41" s="64" t="s">
        <v>229</v>
      </c>
      <c r="CD41" s="64" t="s">
        <v>229</v>
      </c>
      <c r="CE41" s="64" t="s">
        <v>229</v>
      </c>
      <c r="CF41" s="64" t="s">
        <v>229</v>
      </c>
      <c r="CG41" s="64" t="s">
        <v>229</v>
      </c>
      <c r="CH41" s="64" t="s">
        <v>229</v>
      </c>
      <c r="CI41" s="64" t="s">
        <v>229</v>
      </c>
      <c r="CJ41" s="64" t="s">
        <v>229</v>
      </c>
      <c r="CK41" s="64" t="s">
        <v>229</v>
      </c>
      <c r="CL41" s="64" t="s">
        <v>229</v>
      </c>
      <c r="CM41" s="64" t="s">
        <v>229</v>
      </c>
      <c r="CN41" s="64" t="s">
        <v>229</v>
      </c>
      <c r="CO41" s="64" t="s">
        <v>229</v>
      </c>
      <c r="CP41" s="64" t="s">
        <v>229</v>
      </c>
      <c r="CQ41" s="64" t="s">
        <v>229</v>
      </c>
      <c r="CR41" s="64" t="s">
        <v>229</v>
      </c>
      <c r="CS41" s="64" t="s">
        <v>229</v>
      </c>
      <c r="CT41" s="64" t="s">
        <v>229</v>
      </c>
      <c r="CU41" s="64" t="s">
        <v>229</v>
      </c>
      <c r="CV41" s="64" t="s">
        <v>229</v>
      </c>
      <c r="CW41" s="64" t="s">
        <v>229</v>
      </c>
      <c r="CX41" s="64" t="s">
        <v>229</v>
      </c>
      <c r="CY41" s="64" t="s">
        <v>229</v>
      </c>
      <c r="CZ41" s="64" t="s">
        <v>229</v>
      </c>
      <c r="DA41" s="64" t="s">
        <v>229</v>
      </c>
      <c r="DB41" s="64" t="s">
        <v>229</v>
      </c>
      <c r="DC41" s="64" t="s">
        <v>229</v>
      </c>
      <c r="DD41" s="64"/>
      <c r="DE41" s="65"/>
    </row>
    <row r="42" spans="1:109" x14ac:dyDescent="0.2">
      <c r="A42" s="59">
        <v>1804</v>
      </c>
      <c r="B42" s="60" t="s">
        <v>270</v>
      </c>
      <c r="C42" s="61" t="s">
        <v>203</v>
      </c>
      <c r="D42" s="61" t="s">
        <v>225</v>
      </c>
      <c r="E42" s="61" t="s">
        <v>226</v>
      </c>
      <c r="F42" s="61"/>
      <c r="G42" s="62"/>
      <c r="H42" s="61"/>
      <c r="I42" s="63" t="s">
        <v>238</v>
      </c>
      <c r="J42" s="63"/>
      <c r="K42" s="63"/>
      <c r="L42" s="63">
        <v>1</v>
      </c>
      <c r="M42" s="63" t="s">
        <v>239</v>
      </c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 t="s">
        <v>229</v>
      </c>
      <c r="BX42" s="64" t="s">
        <v>229</v>
      </c>
      <c r="BY42" s="64" t="s">
        <v>229</v>
      </c>
      <c r="BZ42" s="64" t="s">
        <v>229</v>
      </c>
      <c r="CA42" s="64" t="s">
        <v>229</v>
      </c>
      <c r="CB42" s="64" t="s">
        <v>229</v>
      </c>
      <c r="CC42" s="64" t="s">
        <v>229</v>
      </c>
      <c r="CD42" s="64" t="s">
        <v>229</v>
      </c>
      <c r="CE42" s="64" t="s">
        <v>229</v>
      </c>
      <c r="CF42" s="64" t="s">
        <v>229</v>
      </c>
      <c r="CG42" s="64" t="s">
        <v>229</v>
      </c>
      <c r="CH42" s="64" t="s">
        <v>229</v>
      </c>
      <c r="CI42" s="64" t="s">
        <v>229</v>
      </c>
      <c r="CJ42" s="64" t="s">
        <v>229</v>
      </c>
      <c r="CK42" s="64" t="s">
        <v>229</v>
      </c>
      <c r="CL42" s="64" t="s">
        <v>229</v>
      </c>
      <c r="CM42" s="64"/>
      <c r="CN42" s="64" t="s">
        <v>229</v>
      </c>
      <c r="CO42" s="64" t="s">
        <v>229</v>
      </c>
      <c r="CP42" s="64" t="s">
        <v>229</v>
      </c>
      <c r="CQ42" s="64" t="s">
        <v>229</v>
      </c>
      <c r="CR42" s="64" t="s">
        <v>229</v>
      </c>
      <c r="CS42" s="64" t="s">
        <v>229</v>
      </c>
      <c r="CT42" s="64" t="s">
        <v>229</v>
      </c>
      <c r="CU42" s="64" t="s">
        <v>229</v>
      </c>
      <c r="CV42" s="64" t="s">
        <v>229</v>
      </c>
      <c r="CW42" s="64" t="s">
        <v>229</v>
      </c>
      <c r="CX42" s="64" t="s">
        <v>229</v>
      </c>
      <c r="CY42" s="64" t="s">
        <v>229</v>
      </c>
      <c r="CZ42" s="64" t="s">
        <v>229</v>
      </c>
      <c r="DA42" s="64" t="s">
        <v>229</v>
      </c>
      <c r="DB42" s="64" t="s">
        <v>229</v>
      </c>
      <c r="DC42" s="64" t="s">
        <v>229</v>
      </c>
      <c r="DD42" s="64"/>
      <c r="DE42" s="65"/>
    </row>
    <row r="43" spans="1:109" x14ac:dyDescent="0.2">
      <c r="A43" s="59">
        <v>1805</v>
      </c>
      <c r="B43" s="60" t="s">
        <v>271</v>
      </c>
      <c r="C43" s="61" t="s">
        <v>200</v>
      </c>
      <c r="D43" s="61" t="s">
        <v>225</v>
      </c>
      <c r="E43" s="61" t="s">
        <v>226</v>
      </c>
      <c r="F43" s="61"/>
      <c r="G43" s="62"/>
      <c r="H43" s="61"/>
      <c r="I43" s="63" t="s">
        <v>227</v>
      </c>
      <c r="J43" s="63"/>
      <c r="K43" s="63">
        <v>1</v>
      </c>
      <c r="L43" s="63">
        <v>1</v>
      </c>
      <c r="M43" s="63" t="s">
        <v>239</v>
      </c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 t="s">
        <v>229</v>
      </c>
      <c r="AS43" s="64" t="s">
        <v>229</v>
      </c>
      <c r="AT43" s="64" t="s">
        <v>229</v>
      </c>
      <c r="AU43" s="64" t="s">
        <v>229</v>
      </c>
      <c r="AV43" s="64" t="s">
        <v>229</v>
      </c>
      <c r="AW43" s="64" t="s">
        <v>229</v>
      </c>
      <c r="AX43" s="64" t="s">
        <v>229</v>
      </c>
      <c r="AY43" s="64" t="s">
        <v>229</v>
      </c>
      <c r="AZ43" s="64" t="s">
        <v>229</v>
      </c>
      <c r="BA43" s="64" t="s">
        <v>229</v>
      </c>
      <c r="BB43" s="64" t="s">
        <v>229</v>
      </c>
      <c r="BC43" s="64" t="s">
        <v>229</v>
      </c>
      <c r="BD43" s="64" t="s">
        <v>229</v>
      </c>
      <c r="BE43" s="64" t="s">
        <v>229</v>
      </c>
      <c r="BF43" s="64" t="s">
        <v>229</v>
      </c>
      <c r="BG43" s="64" t="s">
        <v>229</v>
      </c>
      <c r="BH43" s="64" t="s">
        <v>229</v>
      </c>
      <c r="BI43" s="64" t="s">
        <v>229</v>
      </c>
      <c r="BJ43" s="64" t="s">
        <v>229</v>
      </c>
      <c r="BK43" s="64" t="s">
        <v>229</v>
      </c>
      <c r="BL43" s="64" t="s">
        <v>229</v>
      </c>
      <c r="BM43" s="64" t="s">
        <v>229</v>
      </c>
      <c r="BN43" s="64" t="s">
        <v>229</v>
      </c>
      <c r="BO43" s="64" t="s">
        <v>229</v>
      </c>
      <c r="BP43" s="64" t="s">
        <v>229</v>
      </c>
      <c r="BQ43" s="64" t="s">
        <v>229</v>
      </c>
      <c r="BR43" s="64" t="s">
        <v>229</v>
      </c>
      <c r="BS43" s="64" t="s">
        <v>229</v>
      </c>
      <c r="BT43" s="64" t="s">
        <v>229</v>
      </c>
      <c r="BU43" s="64" t="s">
        <v>229</v>
      </c>
      <c r="BV43" s="64" t="s">
        <v>229</v>
      </c>
      <c r="BW43" s="64" t="s">
        <v>229</v>
      </c>
      <c r="BX43" s="64" t="s">
        <v>229</v>
      </c>
      <c r="BY43" s="64" t="s">
        <v>229</v>
      </c>
      <c r="BZ43" s="64" t="s">
        <v>229</v>
      </c>
      <c r="CA43" s="64" t="s">
        <v>229</v>
      </c>
      <c r="CB43" s="64" t="s">
        <v>229</v>
      </c>
      <c r="CC43" s="64" t="s">
        <v>229</v>
      </c>
      <c r="CD43" s="64" t="s">
        <v>229</v>
      </c>
      <c r="CE43" s="64" t="s">
        <v>229</v>
      </c>
      <c r="CF43" s="64" t="s">
        <v>229</v>
      </c>
      <c r="CG43" s="64" t="s">
        <v>229</v>
      </c>
      <c r="CH43" s="64" t="s">
        <v>229</v>
      </c>
      <c r="CI43" s="64" t="s">
        <v>229</v>
      </c>
      <c r="CJ43" s="64" t="s">
        <v>229</v>
      </c>
      <c r="CK43" s="64" t="s">
        <v>229</v>
      </c>
      <c r="CL43" s="64" t="s">
        <v>229</v>
      </c>
      <c r="CM43" s="64" t="s">
        <v>229</v>
      </c>
      <c r="CN43" s="64" t="s">
        <v>229</v>
      </c>
      <c r="CO43" s="64" t="s">
        <v>229</v>
      </c>
      <c r="CP43" s="64" t="s">
        <v>229</v>
      </c>
      <c r="CQ43" s="64" t="s">
        <v>229</v>
      </c>
      <c r="CR43" s="64" t="s">
        <v>229</v>
      </c>
      <c r="CS43" s="64" t="s">
        <v>229</v>
      </c>
      <c r="CT43" s="64" t="s">
        <v>229</v>
      </c>
      <c r="CU43" s="64" t="s">
        <v>229</v>
      </c>
      <c r="CV43" s="64" t="s">
        <v>229</v>
      </c>
      <c r="CW43" s="64" t="s">
        <v>229</v>
      </c>
      <c r="CX43" s="64" t="s">
        <v>229</v>
      </c>
      <c r="CY43" s="64" t="s">
        <v>229</v>
      </c>
      <c r="CZ43" s="64" t="s">
        <v>229</v>
      </c>
      <c r="DA43" s="64" t="s">
        <v>229</v>
      </c>
      <c r="DB43" s="64" t="s">
        <v>229</v>
      </c>
      <c r="DC43" s="64" t="s">
        <v>229</v>
      </c>
      <c r="DD43" s="64"/>
      <c r="DE43" s="65"/>
    </row>
    <row r="44" spans="1:109" x14ac:dyDescent="0.2">
      <c r="A44" s="59">
        <v>2600</v>
      </c>
      <c r="B44" s="60" t="s">
        <v>272</v>
      </c>
      <c r="C44" s="61" t="s">
        <v>203</v>
      </c>
      <c r="D44" s="61" t="s">
        <v>225</v>
      </c>
      <c r="E44" s="61" t="s">
        <v>237</v>
      </c>
      <c r="F44" s="61"/>
      <c r="G44" s="62"/>
      <c r="H44" s="61"/>
      <c r="I44" s="63" t="s">
        <v>238</v>
      </c>
      <c r="J44" s="63"/>
      <c r="K44" s="63"/>
      <c r="L44" s="63">
        <v>1</v>
      </c>
      <c r="M44" s="63" t="s">
        <v>241</v>
      </c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 t="s">
        <v>229</v>
      </c>
      <c r="BX44" s="64" t="s">
        <v>229</v>
      </c>
      <c r="BY44" s="64" t="s">
        <v>229</v>
      </c>
      <c r="BZ44" s="64" t="s">
        <v>229</v>
      </c>
      <c r="CA44" s="64" t="s">
        <v>229</v>
      </c>
      <c r="CB44" s="64" t="s">
        <v>229</v>
      </c>
      <c r="CC44" s="64" t="s">
        <v>229</v>
      </c>
      <c r="CD44" s="64" t="s">
        <v>229</v>
      </c>
      <c r="CE44" s="64" t="s">
        <v>229</v>
      </c>
      <c r="CF44" s="64" t="s">
        <v>229</v>
      </c>
      <c r="CG44" s="64" t="s">
        <v>229</v>
      </c>
      <c r="CH44" s="64" t="s">
        <v>229</v>
      </c>
      <c r="CI44" s="64" t="s">
        <v>229</v>
      </c>
      <c r="CJ44" s="64"/>
      <c r="CK44" s="64" t="s">
        <v>229</v>
      </c>
      <c r="CL44" s="64" t="s">
        <v>229</v>
      </c>
      <c r="CM44" s="64"/>
      <c r="CN44" s="64" t="s">
        <v>229</v>
      </c>
      <c r="CO44" s="64"/>
      <c r="CP44" s="64" t="s">
        <v>229</v>
      </c>
      <c r="CQ44" s="64" t="s">
        <v>229</v>
      </c>
      <c r="CR44" s="64" t="s">
        <v>229</v>
      </c>
      <c r="CS44" s="64" t="s">
        <v>229</v>
      </c>
      <c r="CT44" s="64"/>
      <c r="CU44" s="64" t="s">
        <v>229</v>
      </c>
      <c r="CV44" s="64" t="s">
        <v>229</v>
      </c>
      <c r="CW44" s="64" t="s">
        <v>229</v>
      </c>
      <c r="CX44" s="64" t="s">
        <v>229</v>
      </c>
      <c r="CY44" s="64" t="s">
        <v>229</v>
      </c>
      <c r="CZ44" s="64" t="s">
        <v>229</v>
      </c>
      <c r="DA44" s="64" t="s">
        <v>229</v>
      </c>
      <c r="DB44" s="64" t="s">
        <v>229</v>
      </c>
      <c r="DC44" s="64" t="s">
        <v>229</v>
      </c>
      <c r="DD44" s="64"/>
      <c r="DE44" s="65"/>
    </row>
    <row r="45" spans="1:109" x14ac:dyDescent="0.2">
      <c r="A45" s="59">
        <v>1807</v>
      </c>
      <c r="B45" s="60" t="s">
        <v>273</v>
      </c>
      <c r="C45" s="61" t="s">
        <v>200</v>
      </c>
      <c r="D45" s="61" t="s">
        <v>225</v>
      </c>
      <c r="E45" s="61" t="s">
        <v>226</v>
      </c>
      <c r="F45" s="61"/>
      <c r="G45" s="62"/>
      <c r="H45" s="61"/>
      <c r="I45" s="63" t="s">
        <v>227</v>
      </c>
      <c r="J45" s="63"/>
      <c r="K45" s="63">
        <v>1</v>
      </c>
      <c r="L45" s="63">
        <v>1</v>
      </c>
      <c r="M45" s="63" t="s">
        <v>232</v>
      </c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 t="s">
        <v>229</v>
      </c>
      <c r="AS45" s="64" t="s">
        <v>229</v>
      </c>
      <c r="AT45" s="64" t="s">
        <v>229</v>
      </c>
      <c r="AU45" s="64" t="s">
        <v>229</v>
      </c>
      <c r="AV45" s="64" t="s">
        <v>229</v>
      </c>
      <c r="AW45" s="64" t="s">
        <v>229</v>
      </c>
      <c r="AX45" s="64" t="s">
        <v>229</v>
      </c>
      <c r="AY45" s="64" t="s">
        <v>229</v>
      </c>
      <c r="AZ45" s="64" t="s">
        <v>229</v>
      </c>
      <c r="BA45" s="64" t="s">
        <v>229</v>
      </c>
      <c r="BB45" s="64" t="s">
        <v>229</v>
      </c>
      <c r="BC45" s="64" t="s">
        <v>229</v>
      </c>
      <c r="BD45" s="64" t="s">
        <v>229</v>
      </c>
      <c r="BE45" s="64" t="s">
        <v>229</v>
      </c>
      <c r="BF45" s="64" t="s">
        <v>229</v>
      </c>
      <c r="BG45" s="64" t="s">
        <v>229</v>
      </c>
      <c r="BH45" s="64" t="s">
        <v>229</v>
      </c>
      <c r="BI45" s="64" t="s">
        <v>229</v>
      </c>
      <c r="BJ45" s="64" t="s">
        <v>229</v>
      </c>
      <c r="BK45" s="64" t="s">
        <v>229</v>
      </c>
      <c r="BL45" s="64" t="s">
        <v>229</v>
      </c>
      <c r="BM45" s="64" t="s">
        <v>229</v>
      </c>
      <c r="BN45" s="64" t="s">
        <v>229</v>
      </c>
      <c r="BO45" s="64" t="s">
        <v>229</v>
      </c>
      <c r="BP45" s="64" t="s">
        <v>229</v>
      </c>
      <c r="BQ45" s="64" t="s">
        <v>229</v>
      </c>
      <c r="BR45" s="64" t="s">
        <v>229</v>
      </c>
      <c r="BS45" s="64" t="s">
        <v>229</v>
      </c>
      <c r="BT45" s="64" t="s">
        <v>229</v>
      </c>
      <c r="BU45" s="64" t="s">
        <v>229</v>
      </c>
      <c r="BV45" s="64" t="s">
        <v>229</v>
      </c>
      <c r="BW45" s="64" t="s">
        <v>229</v>
      </c>
      <c r="BX45" s="64" t="s">
        <v>229</v>
      </c>
      <c r="BY45" s="64" t="s">
        <v>229</v>
      </c>
      <c r="BZ45" s="64" t="s">
        <v>229</v>
      </c>
      <c r="CA45" s="64" t="s">
        <v>229</v>
      </c>
      <c r="CB45" s="64" t="s">
        <v>229</v>
      </c>
      <c r="CC45" s="64" t="s">
        <v>229</v>
      </c>
      <c r="CD45" s="64" t="s">
        <v>229</v>
      </c>
      <c r="CE45" s="64" t="s">
        <v>229</v>
      </c>
      <c r="CF45" s="64" t="s">
        <v>229</v>
      </c>
      <c r="CG45" s="64" t="s">
        <v>229</v>
      </c>
      <c r="CH45" s="64" t="s">
        <v>229</v>
      </c>
      <c r="CI45" s="64" t="s">
        <v>229</v>
      </c>
      <c r="CJ45" s="64" t="s">
        <v>229</v>
      </c>
      <c r="CK45" s="64" t="s">
        <v>229</v>
      </c>
      <c r="CL45" s="64" t="s">
        <v>229</v>
      </c>
      <c r="CM45" s="64" t="s">
        <v>229</v>
      </c>
      <c r="CN45" s="64" t="s">
        <v>229</v>
      </c>
      <c r="CO45" s="64" t="s">
        <v>229</v>
      </c>
      <c r="CP45" s="64" t="s">
        <v>229</v>
      </c>
      <c r="CQ45" s="64" t="s">
        <v>229</v>
      </c>
      <c r="CR45" s="64" t="s">
        <v>229</v>
      </c>
      <c r="CS45" s="64" t="s">
        <v>229</v>
      </c>
      <c r="CT45" s="64" t="s">
        <v>229</v>
      </c>
      <c r="CU45" s="64" t="s">
        <v>229</v>
      </c>
      <c r="CV45" s="64" t="s">
        <v>229</v>
      </c>
      <c r="CW45" s="64" t="s">
        <v>229</v>
      </c>
      <c r="CX45" s="64" t="s">
        <v>229</v>
      </c>
      <c r="CY45" s="64" t="s">
        <v>229</v>
      </c>
      <c r="CZ45" s="64" t="s">
        <v>229</v>
      </c>
      <c r="DA45" s="64" t="s">
        <v>229</v>
      </c>
      <c r="DB45" s="64" t="s">
        <v>229</v>
      </c>
      <c r="DC45" s="64" t="s">
        <v>229</v>
      </c>
      <c r="DD45" s="64"/>
      <c r="DE45" s="65"/>
    </row>
    <row r="46" spans="1:109" x14ac:dyDescent="0.2">
      <c r="A46" s="59">
        <v>1808</v>
      </c>
      <c r="B46" s="60" t="s">
        <v>274</v>
      </c>
      <c r="C46" s="61" t="s">
        <v>100</v>
      </c>
      <c r="D46" s="61" t="s">
        <v>225</v>
      </c>
      <c r="E46" s="61" t="s">
        <v>226</v>
      </c>
      <c r="F46" s="61"/>
      <c r="G46" s="62"/>
      <c r="H46" s="61"/>
      <c r="I46" s="63" t="s">
        <v>227</v>
      </c>
      <c r="J46" s="63"/>
      <c r="K46" s="63"/>
      <c r="L46" s="63"/>
      <c r="M46" s="63" t="s">
        <v>241</v>
      </c>
      <c r="N46" s="64" t="s">
        <v>229</v>
      </c>
      <c r="O46" s="64" t="s">
        <v>229</v>
      </c>
      <c r="P46" s="64" t="s">
        <v>229</v>
      </c>
      <c r="Q46" s="64" t="s">
        <v>229</v>
      </c>
      <c r="R46" s="64" t="s">
        <v>229</v>
      </c>
      <c r="S46" s="64" t="s">
        <v>229</v>
      </c>
      <c r="T46" s="64" t="s">
        <v>229</v>
      </c>
      <c r="U46" s="64" t="s">
        <v>229</v>
      </c>
      <c r="V46" s="64" t="s">
        <v>229</v>
      </c>
      <c r="W46" s="64" t="s">
        <v>229</v>
      </c>
      <c r="X46" s="64" t="s">
        <v>229</v>
      </c>
      <c r="Y46" s="64" t="s">
        <v>229</v>
      </c>
      <c r="Z46" s="64" t="s">
        <v>229</v>
      </c>
      <c r="AA46" s="64" t="s">
        <v>229</v>
      </c>
      <c r="AB46" s="64" t="s">
        <v>229</v>
      </c>
      <c r="AC46" s="64" t="s">
        <v>229</v>
      </c>
      <c r="AD46" s="64" t="s">
        <v>229</v>
      </c>
      <c r="AE46" s="64" t="s">
        <v>229</v>
      </c>
      <c r="AF46" s="64" t="s">
        <v>229</v>
      </c>
      <c r="AG46" s="64" t="s">
        <v>229</v>
      </c>
      <c r="AH46" s="64" t="s">
        <v>229</v>
      </c>
      <c r="AI46" s="64" t="s">
        <v>229</v>
      </c>
      <c r="AJ46" s="64" t="s">
        <v>229</v>
      </c>
      <c r="AK46" s="64" t="s">
        <v>229</v>
      </c>
      <c r="AL46" s="64" t="s">
        <v>229</v>
      </c>
      <c r="AM46" s="64" t="s">
        <v>229</v>
      </c>
      <c r="AN46" s="64" t="s">
        <v>229</v>
      </c>
      <c r="AO46" s="64" t="s">
        <v>229</v>
      </c>
      <c r="AP46" s="64" t="s">
        <v>229</v>
      </c>
      <c r="AQ46" s="64" t="s">
        <v>229</v>
      </c>
      <c r="AR46" s="64" t="s">
        <v>229</v>
      </c>
      <c r="AS46" s="64" t="s">
        <v>229</v>
      </c>
      <c r="AT46" s="64" t="s">
        <v>229</v>
      </c>
      <c r="AU46" s="64" t="s">
        <v>229</v>
      </c>
      <c r="AV46" s="64" t="s">
        <v>229</v>
      </c>
      <c r="AW46" s="64" t="s">
        <v>229</v>
      </c>
      <c r="AX46" s="64" t="s">
        <v>229</v>
      </c>
      <c r="AY46" s="64" t="s">
        <v>229</v>
      </c>
      <c r="AZ46" s="64" t="s">
        <v>229</v>
      </c>
      <c r="BA46" s="64" t="s">
        <v>229</v>
      </c>
      <c r="BB46" s="64" t="s">
        <v>229</v>
      </c>
      <c r="BC46" s="64" t="s">
        <v>229</v>
      </c>
      <c r="BD46" s="64" t="s">
        <v>229</v>
      </c>
      <c r="BE46" s="64" t="s">
        <v>229</v>
      </c>
      <c r="BF46" s="64" t="s">
        <v>229</v>
      </c>
      <c r="BG46" s="64" t="s">
        <v>229</v>
      </c>
      <c r="BH46" s="64" t="s">
        <v>229</v>
      </c>
      <c r="BI46" s="64" t="s">
        <v>229</v>
      </c>
      <c r="BJ46" s="64" t="s">
        <v>229</v>
      </c>
      <c r="BK46" s="64" t="s">
        <v>229</v>
      </c>
      <c r="BL46" s="64" t="s">
        <v>229</v>
      </c>
      <c r="BM46" s="64" t="s">
        <v>229</v>
      </c>
      <c r="BN46" s="64" t="s">
        <v>229</v>
      </c>
      <c r="BO46" s="64" t="s">
        <v>229</v>
      </c>
      <c r="BP46" s="64" t="s">
        <v>229</v>
      </c>
      <c r="BQ46" s="64" t="s">
        <v>229</v>
      </c>
      <c r="BR46" s="64" t="s">
        <v>229</v>
      </c>
      <c r="BS46" s="64" t="s">
        <v>229</v>
      </c>
      <c r="BT46" s="64" t="s">
        <v>229</v>
      </c>
      <c r="BU46" s="64" t="s">
        <v>229</v>
      </c>
      <c r="BV46" s="64" t="s">
        <v>229</v>
      </c>
      <c r="BW46" s="64" t="s">
        <v>229</v>
      </c>
      <c r="BX46" s="64" t="s">
        <v>229</v>
      </c>
      <c r="BY46" s="64" t="s">
        <v>229</v>
      </c>
      <c r="BZ46" s="64" t="s">
        <v>229</v>
      </c>
      <c r="CA46" s="64" t="s">
        <v>229</v>
      </c>
      <c r="CB46" s="64" t="s">
        <v>229</v>
      </c>
      <c r="CC46" s="64" t="s">
        <v>229</v>
      </c>
      <c r="CD46" s="64" t="s">
        <v>229</v>
      </c>
      <c r="CE46" s="64" t="s">
        <v>229</v>
      </c>
      <c r="CF46" s="64" t="s">
        <v>229</v>
      </c>
      <c r="CG46" s="64" t="s">
        <v>229</v>
      </c>
      <c r="CH46" s="64" t="s">
        <v>229</v>
      </c>
      <c r="CI46" s="64" t="s">
        <v>229</v>
      </c>
      <c r="CJ46" s="64" t="s">
        <v>229</v>
      </c>
      <c r="CK46" s="64" t="s">
        <v>229</v>
      </c>
      <c r="CL46" s="64" t="s">
        <v>229</v>
      </c>
      <c r="CM46" s="64" t="s">
        <v>229</v>
      </c>
      <c r="CN46" s="64" t="s">
        <v>229</v>
      </c>
      <c r="CO46" s="64" t="s">
        <v>229</v>
      </c>
      <c r="CP46" s="64" t="s">
        <v>229</v>
      </c>
      <c r="CQ46" s="64" t="s">
        <v>229</v>
      </c>
      <c r="CR46" s="64" t="s">
        <v>229</v>
      </c>
      <c r="CS46" s="64" t="s">
        <v>229</v>
      </c>
      <c r="CT46" s="64" t="s">
        <v>229</v>
      </c>
      <c r="CU46" s="64" t="s">
        <v>229</v>
      </c>
      <c r="CV46" s="64" t="s">
        <v>229</v>
      </c>
      <c r="CW46" s="64" t="s">
        <v>229</v>
      </c>
      <c r="CX46" s="64" t="s">
        <v>229</v>
      </c>
      <c r="CY46" s="64" t="s">
        <v>229</v>
      </c>
      <c r="CZ46" s="64" t="s">
        <v>229</v>
      </c>
      <c r="DA46" s="64" t="s">
        <v>229</v>
      </c>
      <c r="DB46" s="64" t="s">
        <v>229</v>
      </c>
      <c r="DC46" s="64" t="s">
        <v>229</v>
      </c>
      <c r="DD46" s="64"/>
      <c r="DE46" s="65"/>
    </row>
    <row r="47" spans="1:109" x14ac:dyDescent="0.2">
      <c r="A47" s="59">
        <v>2987</v>
      </c>
      <c r="B47" s="60" t="s">
        <v>275</v>
      </c>
      <c r="C47" s="61" t="s">
        <v>203</v>
      </c>
      <c r="D47" s="61" t="s">
        <v>225</v>
      </c>
      <c r="E47" s="61" t="s">
        <v>226</v>
      </c>
      <c r="F47" s="61"/>
      <c r="G47" s="62"/>
      <c r="H47" s="61"/>
      <c r="I47" s="63" t="s">
        <v>238</v>
      </c>
      <c r="J47" s="63"/>
      <c r="K47" s="63"/>
      <c r="L47" s="63"/>
      <c r="M47" s="63" t="s">
        <v>276</v>
      </c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 t="s">
        <v>229</v>
      </c>
      <c r="BX47" s="64" t="s">
        <v>229</v>
      </c>
      <c r="BY47" s="64" t="s">
        <v>229</v>
      </c>
      <c r="BZ47" s="64" t="s">
        <v>229</v>
      </c>
      <c r="CA47" s="64" t="s">
        <v>229</v>
      </c>
      <c r="CB47" s="64" t="s">
        <v>229</v>
      </c>
      <c r="CC47" s="64" t="s">
        <v>229</v>
      </c>
      <c r="CD47" s="64" t="s">
        <v>229</v>
      </c>
      <c r="CE47" s="64" t="s">
        <v>229</v>
      </c>
      <c r="CF47" s="64" t="s">
        <v>229</v>
      </c>
      <c r="CG47" s="64" t="s">
        <v>229</v>
      </c>
      <c r="CH47" s="64" t="s">
        <v>229</v>
      </c>
      <c r="CI47" s="64" t="s">
        <v>229</v>
      </c>
      <c r="CJ47" s="64" t="s">
        <v>229</v>
      </c>
      <c r="CK47" s="64" t="s">
        <v>229</v>
      </c>
      <c r="CL47" s="64" t="s">
        <v>229</v>
      </c>
      <c r="CM47" s="64"/>
      <c r="CN47" s="64" t="s">
        <v>229</v>
      </c>
      <c r="CO47" s="64" t="s">
        <v>229</v>
      </c>
      <c r="CP47" s="64" t="s">
        <v>229</v>
      </c>
      <c r="CQ47" s="64" t="s">
        <v>229</v>
      </c>
      <c r="CR47" s="64" t="s">
        <v>229</v>
      </c>
      <c r="CS47" s="64" t="s">
        <v>229</v>
      </c>
      <c r="CT47" s="64" t="s">
        <v>229</v>
      </c>
      <c r="CU47" s="64" t="s">
        <v>229</v>
      </c>
      <c r="CV47" s="64" t="s">
        <v>229</v>
      </c>
      <c r="CW47" s="64" t="s">
        <v>229</v>
      </c>
      <c r="CX47" s="64" t="s">
        <v>229</v>
      </c>
      <c r="CY47" s="64" t="s">
        <v>229</v>
      </c>
      <c r="CZ47" s="64" t="s">
        <v>229</v>
      </c>
      <c r="DA47" s="64" t="s">
        <v>229</v>
      </c>
      <c r="DB47" s="64" t="s">
        <v>229</v>
      </c>
      <c r="DC47" s="64" t="s">
        <v>229</v>
      </c>
      <c r="DD47" s="64"/>
      <c r="DE47" s="65"/>
    </row>
    <row r="48" spans="1:109" x14ac:dyDescent="0.2">
      <c r="A48" s="59">
        <v>1671</v>
      </c>
      <c r="B48" s="60" t="s">
        <v>277</v>
      </c>
      <c r="C48" s="61" t="s">
        <v>100</v>
      </c>
      <c r="D48" s="61" t="s">
        <v>225</v>
      </c>
      <c r="E48" s="61" t="s">
        <v>226</v>
      </c>
      <c r="F48" s="61"/>
      <c r="G48" s="62"/>
      <c r="H48" s="61"/>
      <c r="I48" s="63" t="s">
        <v>227</v>
      </c>
      <c r="J48" s="63">
        <v>1</v>
      </c>
      <c r="K48" s="63">
        <v>1</v>
      </c>
      <c r="L48" s="63">
        <v>1</v>
      </c>
      <c r="M48" s="63" t="s">
        <v>278</v>
      </c>
      <c r="N48" s="64" t="s">
        <v>229</v>
      </c>
      <c r="O48" s="64" t="s">
        <v>229</v>
      </c>
      <c r="P48" s="64" t="s">
        <v>229</v>
      </c>
      <c r="Q48" s="64" t="s">
        <v>229</v>
      </c>
      <c r="R48" s="64" t="s">
        <v>229</v>
      </c>
      <c r="S48" s="64" t="s">
        <v>229</v>
      </c>
      <c r="T48" s="64" t="s">
        <v>229</v>
      </c>
      <c r="U48" s="64" t="s">
        <v>229</v>
      </c>
      <c r="V48" s="64" t="s">
        <v>229</v>
      </c>
      <c r="W48" s="64" t="s">
        <v>229</v>
      </c>
      <c r="X48" s="64" t="s">
        <v>229</v>
      </c>
      <c r="Y48" s="64" t="s">
        <v>229</v>
      </c>
      <c r="Z48" s="64" t="s">
        <v>229</v>
      </c>
      <c r="AA48" s="64" t="s">
        <v>229</v>
      </c>
      <c r="AB48" s="64" t="s">
        <v>229</v>
      </c>
      <c r="AC48" s="64" t="s">
        <v>229</v>
      </c>
      <c r="AD48" s="64" t="s">
        <v>229</v>
      </c>
      <c r="AE48" s="64" t="s">
        <v>229</v>
      </c>
      <c r="AF48" s="64" t="s">
        <v>229</v>
      </c>
      <c r="AG48" s="64" t="s">
        <v>229</v>
      </c>
      <c r="AH48" s="64" t="s">
        <v>229</v>
      </c>
      <c r="AI48" s="64" t="s">
        <v>229</v>
      </c>
      <c r="AJ48" s="64" t="s">
        <v>229</v>
      </c>
      <c r="AK48" s="64" t="s">
        <v>229</v>
      </c>
      <c r="AL48" s="64" t="s">
        <v>229</v>
      </c>
      <c r="AM48" s="64" t="s">
        <v>229</v>
      </c>
      <c r="AN48" s="64" t="s">
        <v>229</v>
      </c>
      <c r="AO48" s="64" t="s">
        <v>229</v>
      </c>
      <c r="AP48" s="64" t="s">
        <v>229</v>
      </c>
      <c r="AQ48" s="64" t="s">
        <v>229</v>
      </c>
      <c r="AR48" s="64" t="s">
        <v>229</v>
      </c>
      <c r="AS48" s="64" t="s">
        <v>229</v>
      </c>
      <c r="AT48" s="64" t="s">
        <v>229</v>
      </c>
      <c r="AU48" s="64" t="s">
        <v>229</v>
      </c>
      <c r="AV48" s="64" t="s">
        <v>229</v>
      </c>
      <c r="AW48" s="64" t="s">
        <v>229</v>
      </c>
      <c r="AX48" s="64" t="s">
        <v>229</v>
      </c>
      <c r="AY48" s="64" t="s">
        <v>229</v>
      </c>
      <c r="AZ48" s="64" t="s">
        <v>229</v>
      </c>
      <c r="BA48" s="64" t="s">
        <v>229</v>
      </c>
      <c r="BB48" s="64" t="s">
        <v>229</v>
      </c>
      <c r="BC48" s="64" t="s">
        <v>229</v>
      </c>
      <c r="BD48" s="64" t="s">
        <v>229</v>
      </c>
      <c r="BE48" s="64" t="s">
        <v>229</v>
      </c>
      <c r="BF48" s="64" t="s">
        <v>229</v>
      </c>
      <c r="BG48" s="64" t="s">
        <v>229</v>
      </c>
      <c r="BH48" s="64" t="s">
        <v>229</v>
      </c>
      <c r="BI48" s="64" t="s">
        <v>229</v>
      </c>
      <c r="BJ48" s="64" t="s">
        <v>229</v>
      </c>
      <c r="BK48" s="64" t="s">
        <v>229</v>
      </c>
      <c r="BL48" s="64" t="s">
        <v>229</v>
      </c>
      <c r="BM48" s="64" t="s">
        <v>229</v>
      </c>
      <c r="BN48" s="64" t="s">
        <v>229</v>
      </c>
      <c r="BO48" s="64" t="s">
        <v>229</v>
      </c>
      <c r="BP48" s="64" t="s">
        <v>229</v>
      </c>
      <c r="BQ48" s="64" t="s">
        <v>229</v>
      </c>
      <c r="BR48" s="64" t="s">
        <v>229</v>
      </c>
      <c r="BS48" s="64" t="s">
        <v>229</v>
      </c>
      <c r="BT48" s="64" t="s">
        <v>229</v>
      </c>
      <c r="BU48" s="64" t="s">
        <v>229</v>
      </c>
      <c r="BV48" s="64" t="s">
        <v>229</v>
      </c>
      <c r="BW48" s="64" t="s">
        <v>229</v>
      </c>
      <c r="BX48" s="64" t="s">
        <v>229</v>
      </c>
      <c r="BY48" s="64" t="s">
        <v>229</v>
      </c>
      <c r="BZ48" s="64" t="s">
        <v>229</v>
      </c>
      <c r="CA48" s="64" t="s">
        <v>229</v>
      </c>
      <c r="CB48" s="64" t="s">
        <v>229</v>
      </c>
      <c r="CC48" s="64" t="s">
        <v>229</v>
      </c>
      <c r="CD48" s="64" t="s">
        <v>229</v>
      </c>
      <c r="CE48" s="64" t="s">
        <v>229</v>
      </c>
      <c r="CF48" s="64" t="s">
        <v>229</v>
      </c>
      <c r="CG48" s="64" t="s">
        <v>229</v>
      </c>
      <c r="CH48" s="64" t="s">
        <v>229</v>
      </c>
      <c r="CI48" s="64" t="s">
        <v>229</v>
      </c>
      <c r="CJ48" s="64" t="s">
        <v>229</v>
      </c>
      <c r="CK48" s="64" t="s">
        <v>229</v>
      </c>
      <c r="CL48" s="64" t="s">
        <v>229</v>
      </c>
      <c r="CM48" s="64" t="s">
        <v>229</v>
      </c>
      <c r="CN48" s="64" t="s">
        <v>229</v>
      </c>
      <c r="CO48" s="64" t="s">
        <v>229</v>
      </c>
      <c r="CP48" s="64" t="s">
        <v>229</v>
      </c>
      <c r="CQ48" s="64" t="s">
        <v>229</v>
      </c>
      <c r="CR48" s="64" t="s">
        <v>229</v>
      </c>
      <c r="CS48" s="64" t="s">
        <v>229</v>
      </c>
      <c r="CT48" s="64" t="s">
        <v>229</v>
      </c>
      <c r="CU48" s="64" t="s">
        <v>229</v>
      </c>
      <c r="CV48" s="64" t="s">
        <v>229</v>
      </c>
      <c r="CW48" s="64" t="s">
        <v>229</v>
      </c>
      <c r="CX48" s="64" t="s">
        <v>229</v>
      </c>
      <c r="CY48" s="64" t="s">
        <v>229</v>
      </c>
      <c r="CZ48" s="64" t="s">
        <v>229</v>
      </c>
      <c r="DA48" s="64" t="s">
        <v>229</v>
      </c>
      <c r="DB48" s="64" t="s">
        <v>229</v>
      </c>
      <c r="DC48" s="64" t="s">
        <v>229</v>
      </c>
      <c r="DD48" s="64" t="s">
        <v>229</v>
      </c>
      <c r="DE48" s="65"/>
    </row>
    <row r="49" spans="1:109" x14ac:dyDescent="0.2">
      <c r="A49" s="59">
        <v>2243</v>
      </c>
      <c r="B49" s="60" t="s">
        <v>279</v>
      </c>
      <c r="C49" s="61" t="s">
        <v>100</v>
      </c>
      <c r="D49" s="61" t="s">
        <v>225</v>
      </c>
      <c r="E49" s="61" t="s">
        <v>226</v>
      </c>
      <c r="F49" s="61"/>
      <c r="G49" s="62"/>
      <c r="H49" s="61"/>
      <c r="I49" s="63" t="s">
        <v>227</v>
      </c>
      <c r="J49" s="63">
        <v>1</v>
      </c>
      <c r="K49" s="63">
        <v>1</v>
      </c>
      <c r="L49" s="63">
        <v>1</v>
      </c>
      <c r="M49" s="63" t="s">
        <v>241</v>
      </c>
      <c r="N49" s="64" t="s">
        <v>229</v>
      </c>
      <c r="O49" s="64" t="s">
        <v>229</v>
      </c>
      <c r="P49" s="64" t="s">
        <v>229</v>
      </c>
      <c r="Q49" s="64" t="s">
        <v>229</v>
      </c>
      <c r="R49" s="64" t="s">
        <v>229</v>
      </c>
      <c r="S49" s="64" t="s">
        <v>229</v>
      </c>
      <c r="T49" s="64" t="s">
        <v>229</v>
      </c>
      <c r="U49" s="64" t="s">
        <v>229</v>
      </c>
      <c r="V49" s="64" t="s">
        <v>229</v>
      </c>
      <c r="W49" s="64" t="s">
        <v>229</v>
      </c>
      <c r="X49" s="64" t="s">
        <v>229</v>
      </c>
      <c r="Y49" s="64" t="s">
        <v>229</v>
      </c>
      <c r="Z49" s="64" t="s">
        <v>229</v>
      </c>
      <c r="AA49" s="64" t="s">
        <v>229</v>
      </c>
      <c r="AB49" s="64" t="s">
        <v>229</v>
      </c>
      <c r="AC49" s="64" t="s">
        <v>229</v>
      </c>
      <c r="AD49" s="64" t="s">
        <v>229</v>
      </c>
      <c r="AE49" s="64" t="s">
        <v>229</v>
      </c>
      <c r="AF49" s="64" t="s">
        <v>229</v>
      </c>
      <c r="AG49" s="64" t="s">
        <v>229</v>
      </c>
      <c r="AH49" s="64" t="s">
        <v>229</v>
      </c>
      <c r="AI49" s="64" t="s">
        <v>229</v>
      </c>
      <c r="AJ49" s="64" t="s">
        <v>229</v>
      </c>
      <c r="AK49" s="64" t="s">
        <v>229</v>
      </c>
      <c r="AL49" s="64" t="s">
        <v>229</v>
      </c>
      <c r="AM49" s="64" t="s">
        <v>229</v>
      </c>
      <c r="AN49" s="64" t="s">
        <v>229</v>
      </c>
      <c r="AO49" s="64" t="s">
        <v>229</v>
      </c>
      <c r="AP49" s="64" t="s">
        <v>229</v>
      </c>
      <c r="AQ49" s="64" t="s">
        <v>229</v>
      </c>
      <c r="AR49" s="64" t="s">
        <v>229</v>
      </c>
      <c r="AS49" s="64" t="s">
        <v>229</v>
      </c>
      <c r="AT49" s="64" t="s">
        <v>229</v>
      </c>
      <c r="AU49" s="64" t="s">
        <v>229</v>
      </c>
      <c r="AV49" s="64" t="s">
        <v>229</v>
      </c>
      <c r="AW49" s="64" t="s">
        <v>229</v>
      </c>
      <c r="AX49" s="64" t="s">
        <v>229</v>
      </c>
      <c r="AY49" s="64" t="s">
        <v>229</v>
      </c>
      <c r="AZ49" s="64" t="s">
        <v>229</v>
      </c>
      <c r="BA49" s="64" t="s">
        <v>229</v>
      </c>
      <c r="BB49" s="64" t="s">
        <v>229</v>
      </c>
      <c r="BC49" s="64" t="s">
        <v>229</v>
      </c>
      <c r="BD49" s="64" t="s">
        <v>229</v>
      </c>
      <c r="BE49" s="64" t="s">
        <v>229</v>
      </c>
      <c r="BF49" s="64" t="s">
        <v>229</v>
      </c>
      <c r="BG49" s="64" t="s">
        <v>229</v>
      </c>
      <c r="BH49" s="64" t="s">
        <v>229</v>
      </c>
      <c r="BI49" s="64" t="s">
        <v>229</v>
      </c>
      <c r="BJ49" s="64" t="s">
        <v>229</v>
      </c>
      <c r="BK49" s="64" t="s">
        <v>229</v>
      </c>
      <c r="BL49" s="64" t="s">
        <v>229</v>
      </c>
      <c r="BM49" s="64" t="s">
        <v>229</v>
      </c>
      <c r="BN49" s="64" t="s">
        <v>229</v>
      </c>
      <c r="BO49" s="64" t="s">
        <v>229</v>
      </c>
      <c r="BP49" s="64" t="s">
        <v>229</v>
      </c>
      <c r="BQ49" s="64" t="s">
        <v>229</v>
      </c>
      <c r="BR49" s="64" t="s">
        <v>229</v>
      </c>
      <c r="BS49" s="64" t="s">
        <v>229</v>
      </c>
      <c r="BT49" s="64" t="s">
        <v>229</v>
      </c>
      <c r="BU49" s="64" t="s">
        <v>229</v>
      </c>
      <c r="BV49" s="64" t="s">
        <v>229</v>
      </c>
      <c r="BW49" s="64" t="s">
        <v>229</v>
      </c>
      <c r="BX49" s="64" t="s">
        <v>229</v>
      </c>
      <c r="BY49" s="64" t="s">
        <v>229</v>
      </c>
      <c r="BZ49" s="64" t="s">
        <v>229</v>
      </c>
      <c r="CA49" s="64" t="s">
        <v>229</v>
      </c>
      <c r="CB49" s="64" t="s">
        <v>229</v>
      </c>
      <c r="CC49" s="64" t="s">
        <v>229</v>
      </c>
      <c r="CD49" s="64" t="s">
        <v>229</v>
      </c>
      <c r="CE49" s="64" t="s">
        <v>229</v>
      </c>
      <c r="CF49" s="64" t="s">
        <v>229</v>
      </c>
      <c r="CG49" s="64" t="s">
        <v>229</v>
      </c>
      <c r="CH49" s="64" t="s">
        <v>229</v>
      </c>
      <c r="CI49" s="64" t="s">
        <v>229</v>
      </c>
      <c r="CJ49" s="64" t="s">
        <v>229</v>
      </c>
      <c r="CK49" s="64" t="s">
        <v>229</v>
      </c>
      <c r="CL49" s="64" t="s">
        <v>229</v>
      </c>
      <c r="CM49" s="64" t="s">
        <v>229</v>
      </c>
      <c r="CN49" s="64" t="s">
        <v>229</v>
      </c>
      <c r="CO49" s="64" t="s">
        <v>229</v>
      </c>
      <c r="CP49" s="64" t="s">
        <v>229</v>
      </c>
      <c r="CQ49" s="64" t="s">
        <v>229</v>
      </c>
      <c r="CR49" s="64" t="s">
        <v>229</v>
      </c>
      <c r="CS49" s="64" t="s">
        <v>229</v>
      </c>
      <c r="CT49" s="64" t="s">
        <v>229</v>
      </c>
      <c r="CU49" s="64" t="s">
        <v>229</v>
      </c>
      <c r="CV49" s="64" t="s">
        <v>229</v>
      </c>
      <c r="CW49" s="64" t="s">
        <v>229</v>
      </c>
      <c r="CX49" s="64" t="s">
        <v>229</v>
      </c>
      <c r="CY49" s="64" t="s">
        <v>229</v>
      </c>
      <c r="CZ49" s="64" t="s">
        <v>229</v>
      </c>
      <c r="DA49" s="64" t="s">
        <v>229</v>
      </c>
      <c r="DB49" s="64" t="s">
        <v>229</v>
      </c>
      <c r="DC49" s="64" t="s">
        <v>229</v>
      </c>
      <c r="DD49" s="64"/>
      <c r="DE49" s="65"/>
    </row>
    <row r="50" spans="1:109" x14ac:dyDescent="0.2">
      <c r="A50" s="59">
        <v>2244</v>
      </c>
      <c r="B50" s="60" t="s">
        <v>280</v>
      </c>
      <c r="C50" s="61" t="s">
        <v>100</v>
      </c>
      <c r="D50" s="61" t="s">
        <v>225</v>
      </c>
      <c r="E50" s="61" t="s">
        <v>226</v>
      </c>
      <c r="F50" s="61"/>
      <c r="G50" s="62"/>
      <c r="H50" s="61"/>
      <c r="I50" s="63" t="s">
        <v>227</v>
      </c>
      <c r="J50" s="63">
        <v>1</v>
      </c>
      <c r="K50" s="63">
        <v>1</v>
      </c>
      <c r="L50" s="63">
        <v>1</v>
      </c>
      <c r="M50" s="63" t="s">
        <v>241</v>
      </c>
      <c r="N50" s="64" t="s">
        <v>229</v>
      </c>
      <c r="O50" s="64" t="s">
        <v>229</v>
      </c>
      <c r="P50" s="64" t="s">
        <v>229</v>
      </c>
      <c r="Q50" s="64" t="s">
        <v>229</v>
      </c>
      <c r="R50" s="64" t="s">
        <v>229</v>
      </c>
      <c r="S50" s="64" t="s">
        <v>229</v>
      </c>
      <c r="T50" s="64" t="s">
        <v>229</v>
      </c>
      <c r="U50" s="64" t="s">
        <v>229</v>
      </c>
      <c r="V50" s="64" t="s">
        <v>229</v>
      </c>
      <c r="W50" s="64" t="s">
        <v>229</v>
      </c>
      <c r="X50" s="64" t="s">
        <v>229</v>
      </c>
      <c r="Y50" s="64" t="s">
        <v>229</v>
      </c>
      <c r="Z50" s="64" t="s">
        <v>229</v>
      </c>
      <c r="AA50" s="64" t="s">
        <v>229</v>
      </c>
      <c r="AB50" s="64" t="s">
        <v>229</v>
      </c>
      <c r="AC50" s="64" t="s">
        <v>229</v>
      </c>
      <c r="AD50" s="64" t="s">
        <v>229</v>
      </c>
      <c r="AE50" s="64" t="s">
        <v>229</v>
      </c>
      <c r="AF50" s="64" t="s">
        <v>229</v>
      </c>
      <c r="AG50" s="64" t="s">
        <v>229</v>
      </c>
      <c r="AH50" s="64" t="s">
        <v>229</v>
      </c>
      <c r="AI50" s="64" t="s">
        <v>229</v>
      </c>
      <c r="AJ50" s="64" t="s">
        <v>229</v>
      </c>
      <c r="AK50" s="64" t="s">
        <v>229</v>
      </c>
      <c r="AL50" s="64" t="s">
        <v>229</v>
      </c>
      <c r="AM50" s="64" t="s">
        <v>229</v>
      </c>
      <c r="AN50" s="64" t="s">
        <v>229</v>
      </c>
      <c r="AO50" s="64" t="s">
        <v>229</v>
      </c>
      <c r="AP50" s="64" t="s">
        <v>229</v>
      </c>
      <c r="AQ50" s="64" t="s">
        <v>229</v>
      </c>
      <c r="AR50" s="64" t="s">
        <v>229</v>
      </c>
      <c r="AS50" s="64" t="s">
        <v>229</v>
      </c>
      <c r="AT50" s="64" t="s">
        <v>229</v>
      </c>
      <c r="AU50" s="64" t="s">
        <v>229</v>
      </c>
      <c r="AV50" s="64" t="s">
        <v>229</v>
      </c>
      <c r="AW50" s="64" t="s">
        <v>229</v>
      </c>
      <c r="AX50" s="64" t="s">
        <v>229</v>
      </c>
      <c r="AY50" s="64" t="s">
        <v>229</v>
      </c>
      <c r="AZ50" s="64" t="s">
        <v>229</v>
      </c>
      <c r="BA50" s="64" t="s">
        <v>229</v>
      </c>
      <c r="BB50" s="64" t="s">
        <v>229</v>
      </c>
      <c r="BC50" s="64" t="s">
        <v>229</v>
      </c>
      <c r="BD50" s="64" t="s">
        <v>229</v>
      </c>
      <c r="BE50" s="64" t="s">
        <v>229</v>
      </c>
      <c r="BF50" s="64" t="s">
        <v>229</v>
      </c>
      <c r="BG50" s="64" t="s">
        <v>229</v>
      </c>
      <c r="BH50" s="64" t="s">
        <v>229</v>
      </c>
      <c r="BI50" s="64" t="s">
        <v>229</v>
      </c>
      <c r="BJ50" s="64" t="s">
        <v>229</v>
      </c>
      <c r="BK50" s="64" t="s">
        <v>229</v>
      </c>
      <c r="BL50" s="64" t="s">
        <v>229</v>
      </c>
      <c r="BM50" s="64" t="s">
        <v>229</v>
      </c>
      <c r="BN50" s="64" t="s">
        <v>229</v>
      </c>
      <c r="BO50" s="64" t="s">
        <v>229</v>
      </c>
      <c r="BP50" s="64" t="s">
        <v>229</v>
      </c>
      <c r="BQ50" s="64" t="s">
        <v>229</v>
      </c>
      <c r="BR50" s="64" t="s">
        <v>229</v>
      </c>
      <c r="BS50" s="64" t="s">
        <v>229</v>
      </c>
      <c r="BT50" s="64" t="s">
        <v>229</v>
      </c>
      <c r="BU50" s="64" t="s">
        <v>229</v>
      </c>
      <c r="BV50" s="64" t="s">
        <v>229</v>
      </c>
      <c r="BW50" s="64" t="s">
        <v>229</v>
      </c>
      <c r="BX50" s="64" t="s">
        <v>229</v>
      </c>
      <c r="BY50" s="64" t="s">
        <v>229</v>
      </c>
      <c r="BZ50" s="64" t="s">
        <v>229</v>
      </c>
      <c r="CA50" s="64" t="s">
        <v>229</v>
      </c>
      <c r="CB50" s="64" t="s">
        <v>229</v>
      </c>
      <c r="CC50" s="64" t="s">
        <v>229</v>
      </c>
      <c r="CD50" s="64" t="s">
        <v>229</v>
      </c>
      <c r="CE50" s="64" t="s">
        <v>229</v>
      </c>
      <c r="CF50" s="64" t="s">
        <v>229</v>
      </c>
      <c r="CG50" s="64" t="s">
        <v>229</v>
      </c>
      <c r="CH50" s="64" t="s">
        <v>229</v>
      </c>
      <c r="CI50" s="64" t="s">
        <v>229</v>
      </c>
      <c r="CJ50" s="64" t="s">
        <v>229</v>
      </c>
      <c r="CK50" s="64" t="s">
        <v>229</v>
      </c>
      <c r="CL50" s="64" t="s">
        <v>229</v>
      </c>
      <c r="CM50" s="64" t="s">
        <v>229</v>
      </c>
      <c r="CN50" s="64" t="s">
        <v>229</v>
      </c>
      <c r="CO50" s="64" t="s">
        <v>229</v>
      </c>
      <c r="CP50" s="64" t="s">
        <v>229</v>
      </c>
      <c r="CQ50" s="64" t="s">
        <v>229</v>
      </c>
      <c r="CR50" s="64" t="s">
        <v>229</v>
      </c>
      <c r="CS50" s="64" t="s">
        <v>229</v>
      </c>
      <c r="CT50" s="64" t="s">
        <v>229</v>
      </c>
      <c r="CU50" s="64" t="s">
        <v>229</v>
      </c>
      <c r="CV50" s="64" t="s">
        <v>229</v>
      </c>
      <c r="CW50" s="64" t="s">
        <v>229</v>
      </c>
      <c r="CX50" s="64" t="s">
        <v>229</v>
      </c>
      <c r="CY50" s="64" t="s">
        <v>229</v>
      </c>
      <c r="CZ50" s="64" t="s">
        <v>229</v>
      </c>
      <c r="DA50" s="64" t="s">
        <v>229</v>
      </c>
      <c r="DB50" s="64" t="s">
        <v>229</v>
      </c>
      <c r="DC50" s="64" t="s">
        <v>229</v>
      </c>
      <c r="DD50" s="64"/>
      <c r="DE50" s="65"/>
    </row>
    <row r="51" spans="1:109" x14ac:dyDescent="0.2">
      <c r="A51" s="59">
        <v>1673</v>
      </c>
      <c r="B51" s="60" t="s">
        <v>281</v>
      </c>
      <c r="C51" s="61" t="s">
        <v>100</v>
      </c>
      <c r="D51" s="61" t="s">
        <v>225</v>
      </c>
      <c r="E51" s="61" t="s">
        <v>226</v>
      </c>
      <c r="F51" s="61"/>
      <c r="G51" s="62"/>
      <c r="H51" s="61"/>
      <c r="I51" s="63" t="s">
        <v>227</v>
      </c>
      <c r="J51" s="63">
        <v>1</v>
      </c>
      <c r="K51" s="63">
        <v>1</v>
      </c>
      <c r="L51" s="63">
        <v>1</v>
      </c>
      <c r="M51" s="63" t="s">
        <v>278</v>
      </c>
      <c r="N51" s="64" t="s">
        <v>229</v>
      </c>
      <c r="O51" s="64" t="s">
        <v>229</v>
      </c>
      <c r="P51" s="64" t="s">
        <v>229</v>
      </c>
      <c r="Q51" s="64" t="s">
        <v>229</v>
      </c>
      <c r="R51" s="64" t="s">
        <v>229</v>
      </c>
      <c r="S51" s="64" t="s">
        <v>229</v>
      </c>
      <c r="T51" s="64" t="s">
        <v>229</v>
      </c>
      <c r="U51" s="64" t="s">
        <v>229</v>
      </c>
      <c r="V51" s="64" t="s">
        <v>229</v>
      </c>
      <c r="W51" s="64" t="s">
        <v>229</v>
      </c>
      <c r="X51" s="64" t="s">
        <v>229</v>
      </c>
      <c r="Y51" s="64" t="s">
        <v>229</v>
      </c>
      <c r="Z51" s="64" t="s">
        <v>229</v>
      </c>
      <c r="AA51" s="64" t="s">
        <v>229</v>
      </c>
      <c r="AB51" s="64" t="s">
        <v>229</v>
      </c>
      <c r="AC51" s="64" t="s">
        <v>229</v>
      </c>
      <c r="AD51" s="64" t="s">
        <v>229</v>
      </c>
      <c r="AE51" s="64" t="s">
        <v>229</v>
      </c>
      <c r="AF51" s="64" t="s">
        <v>229</v>
      </c>
      <c r="AG51" s="64" t="s">
        <v>229</v>
      </c>
      <c r="AH51" s="64" t="s">
        <v>229</v>
      </c>
      <c r="AI51" s="64" t="s">
        <v>229</v>
      </c>
      <c r="AJ51" s="64" t="s">
        <v>229</v>
      </c>
      <c r="AK51" s="64" t="s">
        <v>229</v>
      </c>
      <c r="AL51" s="64" t="s">
        <v>229</v>
      </c>
      <c r="AM51" s="64" t="s">
        <v>229</v>
      </c>
      <c r="AN51" s="64" t="s">
        <v>229</v>
      </c>
      <c r="AO51" s="64" t="s">
        <v>229</v>
      </c>
      <c r="AP51" s="64" t="s">
        <v>229</v>
      </c>
      <c r="AQ51" s="64" t="s">
        <v>229</v>
      </c>
      <c r="AR51" s="64" t="s">
        <v>229</v>
      </c>
      <c r="AS51" s="64" t="s">
        <v>229</v>
      </c>
      <c r="AT51" s="64" t="s">
        <v>229</v>
      </c>
      <c r="AU51" s="64" t="s">
        <v>229</v>
      </c>
      <c r="AV51" s="64" t="s">
        <v>229</v>
      </c>
      <c r="AW51" s="64" t="s">
        <v>229</v>
      </c>
      <c r="AX51" s="64" t="s">
        <v>229</v>
      </c>
      <c r="AY51" s="64" t="s">
        <v>229</v>
      </c>
      <c r="AZ51" s="64" t="s">
        <v>229</v>
      </c>
      <c r="BA51" s="64" t="s">
        <v>229</v>
      </c>
      <c r="BB51" s="64" t="s">
        <v>229</v>
      </c>
      <c r="BC51" s="64" t="s">
        <v>229</v>
      </c>
      <c r="BD51" s="64" t="s">
        <v>229</v>
      </c>
      <c r="BE51" s="64" t="s">
        <v>229</v>
      </c>
      <c r="BF51" s="64" t="s">
        <v>229</v>
      </c>
      <c r="BG51" s="64" t="s">
        <v>229</v>
      </c>
      <c r="BH51" s="64" t="s">
        <v>229</v>
      </c>
      <c r="BI51" s="64" t="s">
        <v>229</v>
      </c>
      <c r="BJ51" s="64" t="s">
        <v>229</v>
      </c>
      <c r="BK51" s="64" t="s">
        <v>229</v>
      </c>
      <c r="BL51" s="64" t="s">
        <v>229</v>
      </c>
      <c r="BM51" s="64" t="s">
        <v>229</v>
      </c>
      <c r="BN51" s="64" t="s">
        <v>229</v>
      </c>
      <c r="BO51" s="64" t="s">
        <v>229</v>
      </c>
      <c r="BP51" s="64" t="s">
        <v>229</v>
      </c>
      <c r="BQ51" s="64" t="s">
        <v>229</v>
      </c>
      <c r="BR51" s="64" t="s">
        <v>229</v>
      </c>
      <c r="BS51" s="64" t="s">
        <v>229</v>
      </c>
      <c r="BT51" s="64" t="s">
        <v>229</v>
      </c>
      <c r="BU51" s="64" t="s">
        <v>229</v>
      </c>
      <c r="BV51" s="64" t="s">
        <v>229</v>
      </c>
      <c r="BW51" s="64" t="s">
        <v>229</v>
      </c>
      <c r="BX51" s="64" t="s">
        <v>229</v>
      </c>
      <c r="BY51" s="64" t="s">
        <v>229</v>
      </c>
      <c r="BZ51" s="64" t="s">
        <v>229</v>
      </c>
      <c r="CA51" s="64" t="s">
        <v>229</v>
      </c>
      <c r="CB51" s="64" t="s">
        <v>229</v>
      </c>
      <c r="CC51" s="64" t="s">
        <v>229</v>
      </c>
      <c r="CD51" s="64" t="s">
        <v>229</v>
      </c>
      <c r="CE51" s="64" t="s">
        <v>229</v>
      </c>
      <c r="CF51" s="64" t="s">
        <v>229</v>
      </c>
      <c r="CG51" s="64" t="s">
        <v>229</v>
      </c>
      <c r="CH51" s="64" t="s">
        <v>229</v>
      </c>
      <c r="CI51" s="64" t="s">
        <v>229</v>
      </c>
      <c r="CJ51" s="64" t="s">
        <v>229</v>
      </c>
      <c r="CK51" s="64" t="s">
        <v>229</v>
      </c>
      <c r="CL51" s="64" t="s">
        <v>229</v>
      </c>
      <c r="CM51" s="64" t="s">
        <v>229</v>
      </c>
      <c r="CN51" s="64" t="s">
        <v>229</v>
      </c>
      <c r="CO51" s="64" t="s">
        <v>229</v>
      </c>
      <c r="CP51" s="64" t="s">
        <v>229</v>
      </c>
      <c r="CQ51" s="64" t="s">
        <v>229</v>
      </c>
      <c r="CR51" s="64" t="s">
        <v>229</v>
      </c>
      <c r="CS51" s="64" t="s">
        <v>229</v>
      </c>
      <c r="CT51" s="64" t="s">
        <v>229</v>
      </c>
      <c r="CU51" s="64" t="s">
        <v>229</v>
      </c>
      <c r="CV51" s="64" t="s">
        <v>229</v>
      </c>
      <c r="CW51" s="64" t="s">
        <v>229</v>
      </c>
      <c r="CX51" s="64" t="s">
        <v>229</v>
      </c>
      <c r="CY51" s="64" t="s">
        <v>229</v>
      </c>
      <c r="CZ51" s="64" t="s">
        <v>229</v>
      </c>
      <c r="DA51" s="64" t="s">
        <v>229</v>
      </c>
      <c r="DB51" s="64" t="s">
        <v>229</v>
      </c>
      <c r="DC51" s="64" t="s">
        <v>229</v>
      </c>
      <c r="DD51" s="64" t="s">
        <v>229</v>
      </c>
      <c r="DE51" s="65"/>
    </row>
    <row r="52" spans="1:109" x14ac:dyDescent="0.2">
      <c r="A52" s="59">
        <v>1075</v>
      </c>
      <c r="B52" s="60" t="s">
        <v>282</v>
      </c>
      <c r="C52" s="61" t="s">
        <v>200</v>
      </c>
      <c r="D52" s="61" t="s">
        <v>225</v>
      </c>
      <c r="E52" s="61" t="s">
        <v>237</v>
      </c>
      <c r="F52" s="61"/>
      <c r="G52" s="62"/>
      <c r="H52" s="61"/>
      <c r="I52" s="63" t="s">
        <v>227</v>
      </c>
      <c r="J52" s="63"/>
      <c r="K52" s="63">
        <v>1</v>
      </c>
      <c r="L52" s="63">
        <v>1</v>
      </c>
      <c r="M52" s="63" t="s">
        <v>232</v>
      </c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 t="s">
        <v>229</v>
      </c>
      <c r="AS52" s="64" t="s">
        <v>229</v>
      </c>
      <c r="AT52" s="64" t="s">
        <v>229</v>
      </c>
      <c r="AU52" s="64" t="s">
        <v>229</v>
      </c>
      <c r="AV52" s="64" t="s">
        <v>229</v>
      </c>
      <c r="AW52" s="64" t="s">
        <v>229</v>
      </c>
      <c r="AX52" s="64" t="s">
        <v>229</v>
      </c>
      <c r="AY52" s="64" t="s">
        <v>229</v>
      </c>
      <c r="AZ52" s="64" t="s">
        <v>229</v>
      </c>
      <c r="BA52" s="64" t="s">
        <v>229</v>
      </c>
      <c r="BB52" s="64" t="s">
        <v>229</v>
      </c>
      <c r="BC52" s="64" t="s">
        <v>229</v>
      </c>
      <c r="BD52" s="64" t="s">
        <v>229</v>
      </c>
      <c r="BE52" s="64" t="s">
        <v>229</v>
      </c>
      <c r="BF52" s="64" t="s">
        <v>229</v>
      </c>
      <c r="BG52" s="64" t="s">
        <v>229</v>
      </c>
      <c r="BH52" s="64" t="s">
        <v>229</v>
      </c>
      <c r="BI52" s="64" t="s">
        <v>229</v>
      </c>
      <c r="BJ52" s="64" t="s">
        <v>229</v>
      </c>
      <c r="BK52" s="64" t="s">
        <v>229</v>
      </c>
      <c r="BL52" s="64" t="s">
        <v>229</v>
      </c>
      <c r="BM52" s="64" t="s">
        <v>229</v>
      </c>
      <c r="BN52" s="64" t="s">
        <v>229</v>
      </c>
      <c r="BO52" s="64" t="s">
        <v>229</v>
      </c>
      <c r="BP52" s="64" t="s">
        <v>229</v>
      </c>
      <c r="BQ52" s="64" t="s">
        <v>229</v>
      </c>
      <c r="BR52" s="64" t="s">
        <v>229</v>
      </c>
      <c r="BS52" s="64" t="s">
        <v>229</v>
      </c>
      <c r="BT52" s="64" t="s">
        <v>229</v>
      </c>
      <c r="BU52" s="64" t="s">
        <v>229</v>
      </c>
      <c r="BV52" s="64" t="s">
        <v>229</v>
      </c>
      <c r="BW52" s="64" t="s">
        <v>229</v>
      </c>
      <c r="BX52" s="64" t="s">
        <v>229</v>
      </c>
      <c r="BY52" s="64" t="s">
        <v>229</v>
      </c>
      <c r="BZ52" s="64" t="s">
        <v>229</v>
      </c>
      <c r="CA52" s="64" t="s">
        <v>229</v>
      </c>
      <c r="CB52" s="64" t="s">
        <v>229</v>
      </c>
      <c r="CC52" s="64" t="s">
        <v>229</v>
      </c>
      <c r="CD52" s="64" t="s">
        <v>229</v>
      </c>
      <c r="CE52" s="64" t="s">
        <v>229</v>
      </c>
      <c r="CF52" s="64" t="s">
        <v>229</v>
      </c>
      <c r="CG52" s="64" t="s">
        <v>229</v>
      </c>
      <c r="CH52" s="64" t="s">
        <v>229</v>
      </c>
      <c r="CI52" s="64" t="s">
        <v>229</v>
      </c>
      <c r="CJ52" s="64" t="s">
        <v>229</v>
      </c>
      <c r="CK52" s="64" t="s">
        <v>229</v>
      </c>
      <c r="CL52" s="64" t="s">
        <v>229</v>
      </c>
      <c r="CM52" s="64" t="s">
        <v>229</v>
      </c>
      <c r="CN52" s="64" t="s">
        <v>229</v>
      </c>
      <c r="CO52" s="64" t="s">
        <v>229</v>
      </c>
      <c r="CP52" s="64" t="s">
        <v>229</v>
      </c>
      <c r="CQ52" s="64" t="s">
        <v>229</v>
      </c>
      <c r="CR52" s="64" t="s">
        <v>229</v>
      </c>
      <c r="CS52" s="64" t="s">
        <v>229</v>
      </c>
      <c r="CT52" s="64" t="s">
        <v>229</v>
      </c>
      <c r="CU52" s="64" t="s">
        <v>229</v>
      </c>
      <c r="CV52" s="64" t="s">
        <v>229</v>
      </c>
      <c r="CW52" s="64" t="s">
        <v>229</v>
      </c>
      <c r="CX52" s="64" t="s">
        <v>229</v>
      </c>
      <c r="CY52" s="64" t="s">
        <v>229</v>
      </c>
      <c r="CZ52" s="64" t="s">
        <v>229</v>
      </c>
      <c r="DA52" s="64" t="s">
        <v>229</v>
      </c>
      <c r="DB52" s="64" t="s">
        <v>229</v>
      </c>
      <c r="DC52" s="64" t="s">
        <v>229</v>
      </c>
      <c r="DD52" s="64"/>
      <c r="DE52" s="65"/>
    </row>
    <row r="53" spans="1:109" x14ac:dyDescent="0.2">
      <c r="A53" s="59">
        <v>1816</v>
      </c>
      <c r="B53" s="60" t="s">
        <v>283</v>
      </c>
      <c r="C53" s="61" t="s">
        <v>203</v>
      </c>
      <c r="D53" s="61" t="s">
        <v>225</v>
      </c>
      <c r="E53" s="61" t="s">
        <v>226</v>
      </c>
      <c r="F53" s="61"/>
      <c r="G53" s="62"/>
      <c r="H53" s="61"/>
      <c r="I53" s="63" t="s">
        <v>238</v>
      </c>
      <c r="J53" s="63"/>
      <c r="K53" s="63"/>
      <c r="L53" s="63">
        <v>1</v>
      </c>
      <c r="M53" s="63" t="s">
        <v>239</v>
      </c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 t="s">
        <v>229</v>
      </c>
      <c r="BX53" s="64" t="s">
        <v>229</v>
      </c>
      <c r="BY53" s="64" t="s">
        <v>229</v>
      </c>
      <c r="BZ53" s="64" t="s">
        <v>229</v>
      </c>
      <c r="CA53" s="64" t="s">
        <v>229</v>
      </c>
      <c r="CB53" s="64" t="s">
        <v>229</v>
      </c>
      <c r="CC53" s="64" t="s">
        <v>229</v>
      </c>
      <c r="CD53" s="64" t="s">
        <v>229</v>
      </c>
      <c r="CE53" s="64" t="s">
        <v>229</v>
      </c>
      <c r="CF53" s="64" t="s">
        <v>229</v>
      </c>
      <c r="CG53" s="64" t="s">
        <v>229</v>
      </c>
      <c r="CH53" s="64" t="s">
        <v>229</v>
      </c>
      <c r="CI53" s="64" t="s">
        <v>229</v>
      </c>
      <c r="CJ53" s="64" t="s">
        <v>229</v>
      </c>
      <c r="CK53" s="64" t="s">
        <v>229</v>
      </c>
      <c r="CL53" s="64" t="s">
        <v>229</v>
      </c>
      <c r="CM53" s="64"/>
      <c r="CN53" s="64" t="s">
        <v>229</v>
      </c>
      <c r="CO53" s="64" t="s">
        <v>229</v>
      </c>
      <c r="CP53" s="64" t="s">
        <v>229</v>
      </c>
      <c r="CQ53" s="64" t="s">
        <v>229</v>
      </c>
      <c r="CR53" s="64" t="s">
        <v>229</v>
      </c>
      <c r="CS53" s="64" t="s">
        <v>229</v>
      </c>
      <c r="CT53" s="64" t="s">
        <v>229</v>
      </c>
      <c r="CU53" s="64" t="s">
        <v>229</v>
      </c>
      <c r="CV53" s="64" t="s">
        <v>229</v>
      </c>
      <c r="CW53" s="64" t="s">
        <v>229</v>
      </c>
      <c r="CX53" s="64" t="s">
        <v>229</v>
      </c>
      <c r="CY53" s="64" t="s">
        <v>229</v>
      </c>
      <c r="CZ53" s="64" t="s">
        <v>229</v>
      </c>
      <c r="DA53" s="64" t="s">
        <v>229</v>
      </c>
      <c r="DB53" s="64" t="s">
        <v>229</v>
      </c>
      <c r="DC53" s="64" t="s">
        <v>229</v>
      </c>
      <c r="DD53" s="64"/>
      <c r="DE53" s="65"/>
    </row>
    <row r="54" spans="1:109" x14ac:dyDescent="0.2">
      <c r="A54" s="66">
        <v>2050</v>
      </c>
      <c r="B54" s="67" t="s">
        <v>284</v>
      </c>
      <c r="C54" s="68" t="s">
        <v>100</v>
      </c>
      <c r="D54" s="68" t="s">
        <v>231</v>
      </c>
      <c r="E54" s="68" t="s">
        <v>226</v>
      </c>
      <c r="F54" s="68"/>
      <c r="G54" s="69"/>
      <c r="H54" s="68"/>
      <c r="I54" s="66" t="s">
        <v>238</v>
      </c>
      <c r="J54" s="66">
        <v>1</v>
      </c>
      <c r="K54" s="66">
        <v>1</v>
      </c>
      <c r="L54" s="66">
        <v>1</v>
      </c>
      <c r="M54" s="66" t="s">
        <v>248</v>
      </c>
      <c r="N54" s="70" t="s">
        <v>229</v>
      </c>
      <c r="O54" s="70" t="s">
        <v>229</v>
      </c>
      <c r="P54" s="70"/>
      <c r="Q54" s="70"/>
      <c r="R54" s="70"/>
      <c r="S54" s="70"/>
      <c r="T54" s="70" t="s">
        <v>229</v>
      </c>
      <c r="U54" s="70"/>
      <c r="V54" s="70"/>
      <c r="W54" s="70"/>
      <c r="X54" s="70"/>
      <c r="Y54" s="70"/>
      <c r="Z54" s="70" t="s">
        <v>229</v>
      </c>
      <c r="AA54" s="70"/>
      <c r="AB54" s="70" t="s">
        <v>229</v>
      </c>
      <c r="AC54" s="70" t="s">
        <v>229</v>
      </c>
      <c r="AD54" s="70"/>
      <c r="AE54" s="70" t="s">
        <v>229</v>
      </c>
      <c r="AF54" s="70" t="s">
        <v>229</v>
      </c>
      <c r="AG54" s="70"/>
      <c r="AH54" s="70" t="s">
        <v>229</v>
      </c>
      <c r="AI54" s="70"/>
      <c r="AJ54" s="70"/>
      <c r="AK54" s="70"/>
      <c r="AL54" s="70"/>
      <c r="AM54" s="70"/>
      <c r="AN54" s="70" t="s">
        <v>229</v>
      </c>
      <c r="AO54" s="70"/>
      <c r="AP54" s="70" t="s">
        <v>229</v>
      </c>
      <c r="AQ54" s="70"/>
      <c r="AR54" s="70"/>
      <c r="AS54" s="70" t="s">
        <v>229</v>
      </c>
      <c r="AT54" s="70" t="s">
        <v>229</v>
      </c>
      <c r="AU54" s="70"/>
      <c r="AV54" s="70" t="s">
        <v>229</v>
      </c>
      <c r="AW54" s="70"/>
      <c r="AX54" s="70" t="s">
        <v>229</v>
      </c>
      <c r="AY54" s="70" t="s">
        <v>229</v>
      </c>
      <c r="AZ54" s="70" t="s">
        <v>229</v>
      </c>
      <c r="BA54" s="70"/>
      <c r="BB54" s="70" t="s">
        <v>229</v>
      </c>
      <c r="BC54" s="70"/>
      <c r="BD54" s="70" t="s">
        <v>229</v>
      </c>
      <c r="BE54" s="70" t="s">
        <v>229</v>
      </c>
      <c r="BF54" s="70"/>
      <c r="BG54" s="70" t="s">
        <v>229</v>
      </c>
      <c r="BH54" s="70" t="s">
        <v>229</v>
      </c>
      <c r="BI54" s="70" t="s">
        <v>229</v>
      </c>
      <c r="BJ54" s="70"/>
      <c r="BK54" s="70" t="s">
        <v>229</v>
      </c>
      <c r="BL54" s="70" t="s">
        <v>229</v>
      </c>
      <c r="BM54" s="70"/>
      <c r="BN54" s="70" t="s">
        <v>229</v>
      </c>
      <c r="BO54" s="70" t="s">
        <v>229</v>
      </c>
      <c r="BP54" s="70" t="s">
        <v>229</v>
      </c>
      <c r="BQ54" s="70"/>
      <c r="BR54" s="70"/>
      <c r="BS54" s="70"/>
      <c r="BT54" s="70"/>
      <c r="BU54" s="70"/>
      <c r="BV54" s="70" t="s">
        <v>229</v>
      </c>
      <c r="BW54" s="70" t="s">
        <v>229</v>
      </c>
      <c r="BX54" s="70" t="s">
        <v>229</v>
      </c>
      <c r="BY54" s="70" t="s">
        <v>229</v>
      </c>
      <c r="BZ54" s="70" t="s">
        <v>229</v>
      </c>
      <c r="CA54" s="70" t="s">
        <v>229</v>
      </c>
      <c r="CB54" s="70" t="s">
        <v>229</v>
      </c>
      <c r="CC54" s="70"/>
      <c r="CD54" s="70" t="s">
        <v>229</v>
      </c>
      <c r="CE54" s="70" t="s">
        <v>229</v>
      </c>
      <c r="CF54" s="70" t="s">
        <v>229</v>
      </c>
      <c r="CG54" s="70" t="s">
        <v>229</v>
      </c>
      <c r="CH54" s="70" t="s">
        <v>229</v>
      </c>
      <c r="CI54" s="70" t="s">
        <v>229</v>
      </c>
      <c r="CJ54" s="70" t="s">
        <v>229</v>
      </c>
      <c r="CK54" s="70"/>
      <c r="CL54" s="70"/>
      <c r="CM54" s="70" t="s">
        <v>229</v>
      </c>
      <c r="CN54" s="70" t="s">
        <v>229</v>
      </c>
      <c r="CO54" s="70" t="s">
        <v>229</v>
      </c>
      <c r="CP54" s="70" t="s">
        <v>229</v>
      </c>
      <c r="CQ54" s="70" t="s">
        <v>229</v>
      </c>
      <c r="CR54" s="70" t="s">
        <v>229</v>
      </c>
      <c r="CS54" s="70" t="s">
        <v>229</v>
      </c>
      <c r="CT54" s="70" t="s">
        <v>229</v>
      </c>
      <c r="CU54" s="70" t="s">
        <v>229</v>
      </c>
      <c r="CV54" s="70" t="s">
        <v>229</v>
      </c>
      <c r="CW54" s="70" t="s">
        <v>229</v>
      </c>
      <c r="CX54" s="70" t="s">
        <v>229</v>
      </c>
      <c r="CY54" s="70" t="s">
        <v>229</v>
      </c>
      <c r="CZ54" s="70"/>
      <c r="DA54" s="70" t="s">
        <v>229</v>
      </c>
      <c r="DB54" s="70"/>
      <c r="DC54" s="70"/>
      <c r="DD54" s="70"/>
      <c r="DE54" s="1"/>
    </row>
    <row r="55" spans="1:109" x14ac:dyDescent="0.2">
      <c r="A55" s="59">
        <v>1806</v>
      </c>
      <c r="B55" s="60" t="s">
        <v>285</v>
      </c>
      <c r="C55" s="61" t="s">
        <v>200</v>
      </c>
      <c r="D55" s="61" t="s">
        <v>225</v>
      </c>
      <c r="E55" s="61" t="s">
        <v>226</v>
      </c>
      <c r="F55" s="61"/>
      <c r="G55" s="62"/>
      <c r="H55" s="61"/>
      <c r="I55" s="63" t="s">
        <v>227</v>
      </c>
      <c r="J55" s="63"/>
      <c r="K55" s="63">
        <v>1</v>
      </c>
      <c r="L55" s="63">
        <v>1</v>
      </c>
      <c r="M55" s="63" t="s">
        <v>239</v>
      </c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 t="s">
        <v>229</v>
      </c>
      <c r="AS55" s="64" t="s">
        <v>229</v>
      </c>
      <c r="AT55" s="64" t="s">
        <v>229</v>
      </c>
      <c r="AU55" s="64" t="s">
        <v>229</v>
      </c>
      <c r="AV55" s="64" t="s">
        <v>229</v>
      </c>
      <c r="AW55" s="64" t="s">
        <v>229</v>
      </c>
      <c r="AX55" s="64" t="s">
        <v>229</v>
      </c>
      <c r="AY55" s="64" t="s">
        <v>229</v>
      </c>
      <c r="AZ55" s="64" t="s">
        <v>229</v>
      </c>
      <c r="BA55" s="64" t="s">
        <v>229</v>
      </c>
      <c r="BB55" s="64" t="s">
        <v>229</v>
      </c>
      <c r="BC55" s="64" t="s">
        <v>229</v>
      </c>
      <c r="BD55" s="64" t="s">
        <v>229</v>
      </c>
      <c r="BE55" s="64" t="s">
        <v>229</v>
      </c>
      <c r="BF55" s="64" t="s">
        <v>229</v>
      </c>
      <c r="BG55" s="64" t="s">
        <v>229</v>
      </c>
      <c r="BH55" s="64" t="s">
        <v>229</v>
      </c>
      <c r="BI55" s="64" t="s">
        <v>229</v>
      </c>
      <c r="BJ55" s="64" t="s">
        <v>229</v>
      </c>
      <c r="BK55" s="64" t="s">
        <v>229</v>
      </c>
      <c r="BL55" s="64" t="s">
        <v>229</v>
      </c>
      <c r="BM55" s="64" t="s">
        <v>229</v>
      </c>
      <c r="BN55" s="64" t="s">
        <v>229</v>
      </c>
      <c r="BO55" s="64" t="s">
        <v>229</v>
      </c>
      <c r="BP55" s="64" t="s">
        <v>229</v>
      </c>
      <c r="BQ55" s="64" t="s">
        <v>229</v>
      </c>
      <c r="BR55" s="64" t="s">
        <v>229</v>
      </c>
      <c r="BS55" s="64" t="s">
        <v>229</v>
      </c>
      <c r="BT55" s="64" t="s">
        <v>229</v>
      </c>
      <c r="BU55" s="64" t="s">
        <v>229</v>
      </c>
      <c r="BV55" s="64" t="s">
        <v>229</v>
      </c>
      <c r="BW55" s="64" t="s">
        <v>229</v>
      </c>
      <c r="BX55" s="64" t="s">
        <v>229</v>
      </c>
      <c r="BY55" s="64" t="s">
        <v>229</v>
      </c>
      <c r="BZ55" s="64" t="s">
        <v>229</v>
      </c>
      <c r="CA55" s="64" t="s">
        <v>229</v>
      </c>
      <c r="CB55" s="64" t="s">
        <v>229</v>
      </c>
      <c r="CC55" s="64" t="s">
        <v>229</v>
      </c>
      <c r="CD55" s="64" t="s">
        <v>229</v>
      </c>
      <c r="CE55" s="64" t="s">
        <v>229</v>
      </c>
      <c r="CF55" s="64" t="s">
        <v>229</v>
      </c>
      <c r="CG55" s="64" t="s">
        <v>229</v>
      </c>
      <c r="CH55" s="64" t="s">
        <v>229</v>
      </c>
      <c r="CI55" s="64" t="s">
        <v>229</v>
      </c>
      <c r="CJ55" s="64" t="s">
        <v>229</v>
      </c>
      <c r="CK55" s="64" t="s">
        <v>229</v>
      </c>
      <c r="CL55" s="64" t="s">
        <v>229</v>
      </c>
      <c r="CM55" s="64" t="s">
        <v>229</v>
      </c>
      <c r="CN55" s="64" t="s">
        <v>229</v>
      </c>
      <c r="CO55" s="64" t="s">
        <v>229</v>
      </c>
      <c r="CP55" s="64" t="s">
        <v>229</v>
      </c>
      <c r="CQ55" s="64" t="s">
        <v>229</v>
      </c>
      <c r="CR55" s="64" t="s">
        <v>229</v>
      </c>
      <c r="CS55" s="64" t="s">
        <v>229</v>
      </c>
      <c r="CT55" s="64" t="s">
        <v>229</v>
      </c>
      <c r="CU55" s="64" t="s">
        <v>229</v>
      </c>
      <c r="CV55" s="64" t="s">
        <v>229</v>
      </c>
      <c r="CW55" s="64" t="s">
        <v>229</v>
      </c>
      <c r="CX55" s="64" t="s">
        <v>229</v>
      </c>
      <c r="CY55" s="64" t="s">
        <v>229</v>
      </c>
      <c r="CZ55" s="64" t="s">
        <v>229</v>
      </c>
      <c r="DA55" s="64" t="s">
        <v>229</v>
      </c>
      <c r="DB55" s="64" t="s">
        <v>229</v>
      </c>
      <c r="DC55" s="64" t="s">
        <v>229</v>
      </c>
      <c r="DD55" s="64"/>
    </row>
    <row r="56" spans="1:109" x14ac:dyDescent="0.2">
      <c r="A56" s="59">
        <v>1068</v>
      </c>
      <c r="B56" s="60" t="s">
        <v>286</v>
      </c>
      <c r="C56" s="61" t="s">
        <v>200</v>
      </c>
      <c r="D56" s="61" t="s">
        <v>225</v>
      </c>
      <c r="E56" s="61" t="s">
        <v>237</v>
      </c>
      <c r="F56" s="61"/>
      <c r="G56" s="62"/>
      <c r="H56" s="61"/>
      <c r="I56" s="63" t="s">
        <v>227</v>
      </c>
      <c r="J56" s="63"/>
      <c r="K56" s="63">
        <v>1</v>
      </c>
      <c r="L56" s="63">
        <v>1</v>
      </c>
      <c r="M56" s="63" t="s">
        <v>239</v>
      </c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 t="s">
        <v>229</v>
      </c>
      <c r="AS56" s="64" t="s">
        <v>229</v>
      </c>
      <c r="AT56" s="64" t="s">
        <v>229</v>
      </c>
      <c r="AU56" s="64" t="s">
        <v>229</v>
      </c>
      <c r="AV56" s="64" t="s">
        <v>229</v>
      </c>
      <c r="AW56" s="64" t="s">
        <v>229</v>
      </c>
      <c r="AX56" s="64" t="s">
        <v>229</v>
      </c>
      <c r="AY56" s="64" t="s">
        <v>229</v>
      </c>
      <c r="AZ56" s="64" t="s">
        <v>229</v>
      </c>
      <c r="BA56" s="64" t="s">
        <v>229</v>
      </c>
      <c r="BB56" s="64" t="s">
        <v>229</v>
      </c>
      <c r="BC56" s="64" t="s">
        <v>229</v>
      </c>
      <c r="BD56" s="64" t="s">
        <v>229</v>
      </c>
      <c r="BE56" s="64" t="s">
        <v>229</v>
      </c>
      <c r="BF56" s="64" t="s">
        <v>229</v>
      </c>
      <c r="BG56" s="64" t="s">
        <v>229</v>
      </c>
      <c r="BH56" s="64" t="s">
        <v>229</v>
      </c>
      <c r="BI56" s="64" t="s">
        <v>229</v>
      </c>
      <c r="BJ56" s="64" t="s">
        <v>229</v>
      </c>
      <c r="BK56" s="64" t="s">
        <v>229</v>
      </c>
      <c r="BL56" s="64" t="s">
        <v>229</v>
      </c>
      <c r="BM56" s="64" t="s">
        <v>229</v>
      </c>
      <c r="BN56" s="64" t="s">
        <v>229</v>
      </c>
      <c r="BO56" s="64" t="s">
        <v>229</v>
      </c>
      <c r="BP56" s="64" t="s">
        <v>229</v>
      </c>
      <c r="BQ56" s="64" t="s">
        <v>229</v>
      </c>
      <c r="BR56" s="64" t="s">
        <v>229</v>
      </c>
      <c r="BS56" s="64" t="s">
        <v>229</v>
      </c>
      <c r="BT56" s="64" t="s">
        <v>229</v>
      </c>
      <c r="BU56" s="64" t="s">
        <v>229</v>
      </c>
      <c r="BV56" s="64" t="s">
        <v>229</v>
      </c>
      <c r="BW56" s="64" t="s">
        <v>229</v>
      </c>
      <c r="BX56" s="64" t="s">
        <v>229</v>
      </c>
      <c r="BY56" s="64" t="s">
        <v>229</v>
      </c>
      <c r="BZ56" s="64" t="s">
        <v>229</v>
      </c>
      <c r="CA56" s="64" t="s">
        <v>229</v>
      </c>
      <c r="CB56" s="64" t="s">
        <v>229</v>
      </c>
      <c r="CC56" s="64" t="s">
        <v>229</v>
      </c>
      <c r="CD56" s="64" t="s">
        <v>229</v>
      </c>
      <c r="CE56" s="64" t="s">
        <v>229</v>
      </c>
      <c r="CF56" s="64" t="s">
        <v>229</v>
      </c>
      <c r="CG56" s="64" t="s">
        <v>229</v>
      </c>
      <c r="CH56" s="64" t="s">
        <v>229</v>
      </c>
      <c r="CI56" s="64" t="s">
        <v>229</v>
      </c>
      <c r="CJ56" s="64" t="s">
        <v>229</v>
      </c>
      <c r="CK56" s="64" t="s">
        <v>229</v>
      </c>
      <c r="CL56" s="64" t="s">
        <v>229</v>
      </c>
      <c r="CM56" s="64" t="s">
        <v>229</v>
      </c>
      <c r="CN56" s="64" t="s">
        <v>229</v>
      </c>
      <c r="CO56" s="64" t="s">
        <v>229</v>
      </c>
      <c r="CP56" s="64" t="s">
        <v>229</v>
      </c>
      <c r="CQ56" s="64" t="s">
        <v>229</v>
      </c>
      <c r="CR56" s="64" t="s">
        <v>229</v>
      </c>
      <c r="CS56" s="64" t="s">
        <v>229</v>
      </c>
      <c r="CT56" s="64" t="s">
        <v>229</v>
      </c>
      <c r="CU56" s="64" t="s">
        <v>229</v>
      </c>
      <c r="CV56" s="64" t="s">
        <v>229</v>
      </c>
      <c r="CW56" s="64" t="s">
        <v>229</v>
      </c>
      <c r="CX56" s="64" t="s">
        <v>229</v>
      </c>
      <c r="CY56" s="64" t="s">
        <v>229</v>
      </c>
      <c r="CZ56" s="64" t="s">
        <v>229</v>
      </c>
      <c r="DA56" s="64" t="s">
        <v>229</v>
      </c>
      <c r="DB56" s="64" t="s">
        <v>229</v>
      </c>
      <c r="DC56" s="64" t="s">
        <v>229</v>
      </c>
      <c r="DD56" s="64"/>
    </row>
    <row r="57" spans="1:109" x14ac:dyDescent="0.2">
      <c r="A57" s="66">
        <v>2607</v>
      </c>
      <c r="B57" s="67" t="s">
        <v>287</v>
      </c>
      <c r="C57" s="68" t="s">
        <v>203</v>
      </c>
      <c r="D57" s="68" t="s">
        <v>231</v>
      </c>
      <c r="E57" s="68" t="s">
        <v>226</v>
      </c>
      <c r="F57" s="68"/>
      <c r="G57" s="69"/>
      <c r="H57" s="68"/>
      <c r="I57" s="66" t="s">
        <v>238</v>
      </c>
      <c r="J57" s="66"/>
      <c r="K57" s="66"/>
      <c r="L57" s="66">
        <v>1</v>
      </c>
      <c r="M57" s="66" t="s">
        <v>241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 t="s">
        <v>229</v>
      </c>
      <c r="BX57" s="70" t="s">
        <v>229</v>
      </c>
      <c r="BY57" s="70" t="s">
        <v>229</v>
      </c>
      <c r="BZ57" s="70" t="s">
        <v>229</v>
      </c>
      <c r="CA57" s="70" t="s">
        <v>229</v>
      </c>
      <c r="CB57" s="70" t="s">
        <v>229</v>
      </c>
      <c r="CC57" s="70"/>
      <c r="CD57" s="70" t="s">
        <v>229</v>
      </c>
      <c r="CE57" s="70" t="s">
        <v>229</v>
      </c>
      <c r="CF57" s="70" t="s">
        <v>229</v>
      </c>
      <c r="CG57" s="70" t="s">
        <v>229</v>
      </c>
      <c r="CH57" s="70" t="s">
        <v>229</v>
      </c>
      <c r="CI57" s="70" t="s">
        <v>229</v>
      </c>
      <c r="CJ57" s="70" t="s">
        <v>229</v>
      </c>
      <c r="CK57" s="70"/>
      <c r="CL57" s="70"/>
      <c r="CM57" s="70"/>
      <c r="CN57" s="70" t="s">
        <v>229</v>
      </c>
      <c r="CO57" s="70" t="s">
        <v>229</v>
      </c>
      <c r="CP57" s="70" t="s">
        <v>229</v>
      </c>
      <c r="CQ57" s="70" t="s">
        <v>229</v>
      </c>
      <c r="CR57" s="70" t="s">
        <v>229</v>
      </c>
      <c r="CS57" s="70" t="s">
        <v>229</v>
      </c>
      <c r="CT57" s="70" t="s">
        <v>229</v>
      </c>
      <c r="CU57" s="70" t="s">
        <v>229</v>
      </c>
      <c r="CV57" s="70" t="s">
        <v>229</v>
      </c>
      <c r="CW57" s="70" t="s">
        <v>229</v>
      </c>
      <c r="CX57" s="70" t="s">
        <v>229</v>
      </c>
      <c r="CY57" s="70" t="s">
        <v>229</v>
      </c>
      <c r="CZ57" s="70"/>
      <c r="DA57" s="70" t="s">
        <v>229</v>
      </c>
      <c r="DB57" s="70"/>
      <c r="DC57" s="70"/>
      <c r="DD57" s="70"/>
      <c r="DE57" s="1"/>
    </row>
    <row r="58" spans="1:109" x14ac:dyDescent="0.2">
      <c r="A58" s="59">
        <v>1675</v>
      </c>
      <c r="B58" s="60" t="s">
        <v>288</v>
      </c>
      <c r="C58" s="61" t="s">
        <v>100</v>
      </c>
      <c r="D58" s="61" t="s">
        <v>225</v>
      </c>
      <c r="E58" s="61" t="s">
        <v>237</v>
      </c>
      <c r="F58" s="61"/>
      <c r="G58" s="62"/>
      <c r="H58" s="61"/>
      <c r="I58" s="63" t="s">
        <v>227</v>
      </c>
      <c r="J58" s="63">
        <v>1</v>
      </c>
      <c r="K58" s="63">
        <v>1</v>
      </c>
      <c r="L58" s="63">
        <v>1</v>
      </c>
      <c r="M58" s="63" t="s">
        <v>232</v>
      </c>
      <c r="N58" s="64" t="s">
        <v>229</v>
      </c>
      <c r="O58" s="64" t="s">
        <v>229</v>
      </c>
      <c r="P58" s="64" t="s">
        <v>229</v>
      </c>
      <c r="Q58" s="64" t="s">
        <v>229</v>
      </c>
      <c r="R58" s="64" t="s">
        <v>229</v>
      </c>
      <c r="S58" s="64" t="s">
        <v>229</v>
      </c>
      <c r="T58" s="64" t="s">
        <v>229</v>
      </c>
      <c r="U58" s="64" t="s">
        <v>229</v>
      </c>
      <c r="V58" s="64" t="s">
        <v>229</v>
      </c>
      <c r="W58" s="64" t="s">
        <v>229</v>
      </c>
      <c r="X58" s="64" t="s">
        <v>229</v>
      </c>
      <c r="Y58" s="64" t="s">
        <v>229</v>
      </c>
      <c r="Z58" s="64" t="s">
        <v>229</v>
      </c>
      <c r="AA58" s="64" t="s">
        <v>229</v>
      </c>
      <c r="AB58" s="64" t="s">
        <v>229</v>
      </c>
      <c r="AC58" s="64" t="s">
        <v>229</v>
      </c>
      <c r="AD58" s="64" t="s">
        <v>229</v>
      </c>
      <c r="AE58" s="64" t="s">
        <v>229</v>
      </c>
      <c r="AF58" s="64" t="s">
        <v>229</v>
      </c>
      <c r="AG58" s="64" t="s">
        <v>229</v>
      </c>
      <c r="AH58" s="64" t="s">
        <v>229</v>
      </c>
      <c r="AI58" s="64" t="s">
        <v>229</v>
      </c>
      <c r="AJ58" s="64" t="s">
        <v>229</v>
      </c>
      <c r="AK58" s="64" t="s">
        <v>229</v>
      </c>
      <c r="AL58" s="64" t="s">
        <v>229</v>
      </c>
      <c r="AM58" s="64" t="s">
        <v>229</v>
      </c>
      <c r="AN58" s="64" t="s">
        <v>229</v>
      </c>
      <c r="AO58" s="64" t="s">
        <v>229</v>
      </c>
      <c r="AP58" s="64" t="s">
        <v>229</v>
      </c>
      <c r="AQ58" s="64" t="s">
        <v>229</v>
      </c>
      <c r="AR58" s="64" t="s">
        <v>229</v>
      </c>
      <c r="AS58" s="64" t="s">
        <v>229</v>
      </c>
      <c r="AT58" s="64" t="s">
        <v>229</v>
      </c>
      <c r="AU58" s="64" t="s">
        <v>229</v>
      </c>
      <c r="AV58" s="64" t="s">
        <v>229</v>
      </c>
      <c r="AW58" s="64" t="s">
        <v>229</v>
      </c>
      <c r="AX58" s="64" t="s">
        <v>229</v>
      </c>
      <c r="AY58" s="64" t="s">
        <v>229</v>
      </c>
      <c r="AZ58" s="64" t="s">
        <v>229</v>
      </c>
      <c r="BA58" s="64" t="s">
        <v>229</v>
      </c>
      <c r="BB58" s="64" t="s">
        <v>229</v>
      </c>
      <c r="BC58" s="64" t="s">
        <v>229</v>
      </c>
      <c r="BD58" s="64" t="s">
        <v>229</v>
      </c>
      <c r="BE58" s="64" t="s">
        <v>229</v>
      </c>
      <c r="BF58" s="64" t="s">
        <v>229</v>
      </c>
      <c r="BG58" s="64" t="s">
        <v>229</v>
      </c>
      <c r="BH58" s="64" t="s">
        <v>229</v>
      </c>
      <c r="BI58" s="64" t="s">
        <v>229</v>
      </c>
      <c r="BJ58" s="64" t="s">
        <v>229</v>
      </c>
      <c r="BK58" s="64" t="s">
        <v>229</v>
      </c>
      <c r="BL58" s="64" t="s">
        <v>229</v>
      </c>
      <c r="BM58" s="64" t="s">
        <v>229</v>
      </c>
      <c r="BN58" s="64" t="s">
        <v>229</v>
      </c>
      <c r="BO58" s="64" t="s">
        <v>229</v>
      </c>
      <c r="BP58" s="64" t="s">
        <v>229</v>
      </c>
      <c r="BQ58" s="64" t="s">
        <v>229</v>
      </c>
      <c r="BR58" s="64" t="s">
        <v>229</v>
      </c>
      <c r="BS58" s="64" t="s">
        <v>229</v>
      </c>
      <c r="BT58" s="64" t="s">
        <v>229</v>
      </c>
      <c r="BU58" s="64" t="s">
        <v>229</v>
      </c>
      <c r="BV58" s="64" t="s">
        <v>229</v>
      </c>
      <c r="BW58" s="64" t="s">
        <v>229</v>
      </c>
      <c r="BX58" s="64" t="s">
        <v>229</v>
      </c>
      <c r="BY58" s="64" t="s">
        <v>229</v>
      </c>
      <c r="BZ58" s="64" t="s">
        <v>229</v>
      </c>
      <c r="CA58" s="64" t="s">
        <v>229</v>
      </c>
      <c r="CB58" s="64" t="s">
        <v>229</v>
      </c>
      <c r="CC58" s="64" t="s">
        <v>229</v>
      </c>
      <c r="CD58" s="64" t="s">
        <v>229</v>
      </c>
      <c r="CE58" s="64" t="s">
        <v>229</v>
      </c>
      <c r="CF58" s="64" t="s">
        <v>229</v>
      </c>
      <c r="CG58" s="64" t="s">
        <v>229</v>
      </c>
      <c r="CH58" s="64" t="s">
        <v>229</v>
      </c>
      <c r="CI58" s="64" t="s">
        <v>229</v>
      </c>
      <c r="CJ58" s="64" t="s">
        <v>229</v>
      </c>
      <c r="CK58" s="64" t="s">
        <v>229</v>
      </c>
      <c r="CL58" s="64" t="s">
        <v>229</v>
      </c>
      <c r="CM58" s="64" t="s">
        <v>229</v>
      </c>
      <c r="CN58" s="64" t="s">
        <v>229</v>
      </c>
      <c r="CO58" s="64" t="s">
        <v>229</v>
      </c>
      <c r="CP58" s="64" t="s">
        <v>229</v>
      </c>
      <c r="CQ58" s="64" t="s">
        <v>229</v>
      </c>
      <c r="CR58" s="64" t="s">
        <v>229</v>
      </c>
      <c r="CS58" s="64" t="s">
        <v>229</v>
      </c>
      <c r="CT58" s="64" t="s">
        <v>229</v>
      </c>
      <c r="CU58" s="64" t="s">
        <v>229</v>
      </c>
      <c r="CV58" s="64" t="s">
        <v>229</v>
      </c>
      <c r="CW58" s="64" t="s">
        <v>229</v>
      </c>
      <c r="CX58" s="64" t="s">
        <v>229</v>
      </c>
      <c r="CY58" s="64" t="s">
        <v>229</v>
      </c>
      <c r="CZ58" s="64" t="s">
        <v>229</v>
      </c>
      <c r="DA58" s="64" t="s">
        <v>229</v>
      </c>
      <c r="DB58" s="64" t="s">
        <v>229</v>
      </c>
      <c r="DC58" s="64" t="s">
        <v>229</v>
      </c>
      <c r="DD58" s="64"/>
      <c r="DE58" s="65"/>
    </row>
    <row r="59" spans="1:109" x14ac:dyDescent="0.2">
      <c r="A59" s="59">
        <v>231</v>
      </c>
      <c r="B59" s="60" t="s">
        <v>289</v>
      </c>
      <c r="C59" s="61" t="s">
        <v>100</v>
      </c>
      <c r="D59" s="61" t="s">
        <v>225</v>
      </c>
      <c r="E59" s="61" t="s">
        <v>226</v>
      </c>
      <c r="F59" s="61"/>
      <c r="G59" s="62"/>
      <c r="H59" s="61"/>
      <c r="I59" s="63" t="s">
        <v>227</v>
      </c>
      <c r="J59" s="63">
        <v>2</v>
      </c>
      <c r="K59" s="63">
        <v>1</v>
      </c>
      <c r="L59" s="63">
        <v>1</v>
      </c>
      <c r="M59" s="63" t="s">
        <v>239</v>
      </c>
      <c r="N59" s="64" t="s">
        <v>229</v>
      </c>
      <c r="O59" s="64" t="s">
        <v>229</v>
      </c>
      <c r="P59" s="64" t="s">
        <v>229</v>
      </c>
      <c r="Q59" s="64" t="s">
        <v>229</v>
      </c>
      <c r="R59" s="64" t="s">
        <v>229</v>
      </c>
      <c r="S59" s="64" t="s">
        <v>229</v>
      </c>
      <c r="T59" s="64" t="s">
        <v>229</v>
      </c>
      <c r="U59" s="64" t="s">
        <v>229</v>
      </c>
      <c r="V59" s="64" t="s">
        <v>229</v>
      </c>
      <c r="W59" s="64" t="s">
        <v>229</v>
      </c>
      <c r="X59" s="64" t="s">
        <v>229</v>
      </c>
      <c r="Y59" s="64" t="s">
        <v>229</v>
      </c>
      <c r="Z59" s="64" t="s">
        <v>229</v>
      </c>
      <c r="AA59" s="64" t="s">
        <v>229</v>
      </c>
      <c r="AB59" s="64" t="s">
        <v>229</v>
      </c>
      <c r="AC59" s="64" t="s">
        <v>229</v>
      </c>
      <c r="AD59" s="64" t="s">
        <v>229</v>
      </c>
      <c r="AE59" s="64" t="s">
        <v>229</v>
      </c>
      <c r="AF59" s="64" t="s">
        <v>229</v>
      </c>
      <c r="AG59" s="64" t="s">
        <v>229</v>
      </c>
      <c r="AH59" s="64" t="s">
        <v>229</v>
      </c>
      <c r="AI59" s="64" t="s">
        <v>229</v>
      </c>
      <c r="AJ59" s="64" t="s">
        <v>229</v>
      </c>
      <c r="AK59" s="64" t="s">
        <v>229</v>
      </c>
      <c r="AL59" s="64" t="s">
        <v>229</v>
      </c>
      <c r="AM59" s="64" t="s">
        <v>229</v>
      </c>
      <c r="AN59" s="64" t="s">
        <v>229</v>
      </c>
      <c r="AO59" s="64" t="s">
        <v>229</v>
      </c>
      <c r="AP59" s="64" t="s">
        <v>229</v>
      </c>
      <c r="AQ59" s="64" t="s">
        <v>229</v>
      </c>
      <c r="AR59" s="64" t="s">
        <v>229</v>
      </c>
      <c r="AS59" s="64" t="s">
        <v>229</v>
      </c>
      <c r="AT59" s="64" t="s">
        <v>229</v>
      </c>
      <c r="AU59" s="64" t="s">
        <v>229</v>
      </c>
      <c r="AV59" s="64" t="s">
        <v>229</v>
      </c>
      <c r="AW59" s="64" t="s">
        <v>229</v>
      </c>
      <c r="AX59" s="64" t="s">
        <v>229</v>
      </c>
      <c r="AY59" s="64" t="s">
        <v>229</v>
      </c>
      <c r="AZ59" s="64" t="s">
        <v>229</v>
      </c>
      <c r="BA59" s="64" t="s">
        <v>229</v>
      </c>
      <c r="BB59" s="64" t="s">
        <v>229</v>
      </c>
      <c r="BC59" s="64" t="s">
        <v>229</v>
      </c>
      <c r="BD59" s="64" t="s">
        <v>229</v>
      </c>
      <c r="BE59" s="64" t="s">
        <v>229</v>
      </c>
      <c r="BF59" s="64" t="s">
        <v>229</v>
      </c>
      <c r="BG59" s="64" t="s">
        <v>229</v>
      </c>
      <c r="BH59" s="64" t="s">
        <v>229</v>
      </c>
      <c r="BI59" s="64" t="s">
        <v>229</v>
      </c>
      <c r="BJ59" s="64" t="s">
        <v>229</v>
      </c>
      <c r="BK59" s="64" t="s">
        <v>229</v>
      </c>
      <c r="BL59" s="64" t="s">
        <v>229</v>
      </c>
      <c r="BM59" s="64" t="s">
        <v>229</v>
      </c>
      <c r="BN59" s="64" t="s">
        <v>229</v>
      </c>
      <c r="BO59" s="64" t="s">
        <v>229</v>
      </c>
      <c r="BP59" s="64" t="s">
        <v>229</v>
      </c>
      <c r="BQ59" s="64" t="s">
        <v>229</v>
      </c>
      <c r="BR59" s="64" t="s">
        <v>229</v>
      </c>
      <c r="BS59" s="64" t="s">
        <v>229</v>
      </c>
      <c r="BT59" s="64" t="s">
        <v>229</v>
      </c>
      <c r="BU59" s="64" t="s">
        <v>229</v>
      </c>
      <c r="BV59" s="64" t="s">
        <v>229</v>
      </c>
      <c r="BW59" s="64" t="s">
        <v>229</v>
      </c>
      <c r="BX59" s="64" t="s">
        <v>229</v>
      </c>
      <c r="BY59" s="64" t="s">
        <v>229</v>
      </c>
      <c r="BZ59" s="64" t="s">
        <v>229</v>
      </c>
      <c r="CA59" s="64" t="s">
        <v>229</v>
      </c>
      <c r="CB59" s="64" t="s">
        <v>229</v>
      </c>
      <c r="CC59" s="64" t="s">
        <v>229</v>
      </c>
      <c r="CD59" s="64" t="s">
        <v>229</v>
      </c>
      <c r="CE59" s="64" t="s">
        <v>229</v>
      </c>
      <c r="CF59" s="64" t="s">
        <v>229</v>
      </c>
      <c r="CG59" s="64" t="s">
        <v>229</v>
      </c>
      <c r="CH59" s="64" t="s">
        <v>229</v>
      </c>
      <c r="CI59" s="64" t="s">
        <v>229</v>
      </c>
      <c r="CJ59" s="64" t="s">
        <v>229</v>
      </c>
      <c r="CK59" s="64" t="s">
        <v>229</v>
      </c>
      <c r="CL59" s="64" t="s">
        <v>229</v>
      </c>
      <c r="CM59" s="64" t="s">
        <v>229</v>
      </c>
      <c r="CN59" s="64" t="s">
        <v>229</v>
      </c>
      <c r="CO59" s="64" t="s">
        <v>229</v>
      </c>
      <c r="CP59" s="64" t="s">
        <v>229</v>
      </c>
      <c r="CQ59" s="64" t="s">
        <v>229</v>
      </c>
      <c r="CR59" s="64" t="s">
        <v>229</v>
      </c>
      <c r="CS59" s="64" t="s">
        <v>229</v>
      </c>
      <c r="CT59" s="64" t="s">
        <v>229</v>
      </c>
      <c r="CU59" s="64" t="s">
        <v>229</v>
      </c>
      <c r="CV59" s="64" t="s">
        <v>229</v>
      </c>
      <c r="CW59" s="64" t="s">
        <v>229</v>
      </c>
      <c r="CX59" s="64" t="s">
        <v>229</v>
      </c>
      <c r="CY59" s="64" t="s">
        <v>229</v>
      </c>
      <c r="CZ59" s="64" t="s">
        <v>229</v>
      </c>
      <c r="DA59" s="64" t="s">
        <v>229</v>
      </c>
      <c r="DB59" s="64" t="s">
        <v>229</v>
      </c>
      <c r="DC59" s="64" t="s">
        <v>229</v>
      </c>
      <c r="DD59" s="64"/>
      <c r="DE59" s="65"/>
    </row>
    <row r="60" spans="1:109" x14ac:dyDescent="0.2">
      <c r="A60" s="59">
        <v>1868</v>
      </c>
      <c r="B60" s="60" t="s">
        <v>290</v>
      </c>
      <c r="C60" s="61" t="s">
        <v>100</v>
      </c>
      <c r="D60" s="61" t="s">
        <v>225</v>
      </c>
      <c r="E60" s="61" t="s">
        <v>226</v>
      </c>
      <c r="F60" s="61"/>
      <c r="G60" s="62"/>
      <c r="H60" s="61"/>
      <c r="I60" s="63" t="s">
        <v>227</v>
      </c>
      <c r="J60" s="63">
        <v>2</v>
      </c>
      <c r="K60" s="63">
        <v>1</v>
      </c>
      <c r="L60" s="63">
        <v>1</v>
      </c>
      <c r="M60" s="63" t="s">
        <v>232</v>
      </c>
      <c r="N60" s="64" t="s">
        <v>229</v>
      </c>
      <c r="O60" s="64" t="s">
        <v>229</v>
      </c>
      <c r="P60" s="64" t="s">
        <v>229</v>
      </c>
      <c r="Q60" s="64" t="s">
        <v>229</v>
      </c>
      <c r="R60" s="64" t="s">
        <v>229</v>
      </c>
      <c r="S60" s="64" t="s">
        <v>229</v>
      </c>
      <c r="T60" s="64" t="s">
        <v>229</v>
      </c>
      <c r="U60" s="64" t="s">
        <v>229</v>
      </c>
      <c r="V60" s="64" t="s">
        <v>229</v>
      </c>
      <c r="W60" s="64" t="s">
        <v>229</v>
      </c>
      <c r="X60" s="64" t="s">
        <v>229</v>
      </c>
      <c r="Y60" s="64" t="s">
        <v>229</v>
      </c>
      <c r="Z60" s="64" t="s">
        <v>229</v>
      </c>
      <c r="AA60" s="64" t="s">
        <v>229</v>
      </c>
      <c r="AB60" s="64" t="s">
        <v>229</v>
      </c>
      <c r="AC60" s="64" t="s">
        <v>229</v>
      </c>
      <c r="AD60" s="64" t="s">
        <v>229</v>
      </c>
      <c r="AE60" s="64" t="s">
        <v>229</v>
      </c>
      <c r="AF60" s="64" t="s">
        <v>229</v>
      </c>
      <c r="AG60" s="64" t="s">
        <v>229</v>
      </c>
      <c r="AH60" s="64" t="s">
        <v>229</v>
      </c>
      <c r="AI60" s="64" t="s">
        <v>229</v>
      </c>
      <c r="AJ60" s="64" t="s">
        <v>229</v>
      </c>
      <c r="AK60" s="64" t="s">
        <v>229</v>
      </c>
      <c r="AL60" s="64" t="s">
        <v>229</v>
      </c>
      <c r="AM60" s="64" t="s">
        <v>229</v>
      </c>
      <c r="AN60" s="64" t="s">
        <v>229</v>
      </c>
      <c r="AO60" s="64" t="s">
        <v>229</v>
      </c>
      <c r="AP60" s="64" t="s">
        <v>229</v>
      </c>
      <c r="AQ60" s="64" t="s">
        <v>229</v>
      </c>
      <c r="AR60" s="64" t="s">
        <v>229</v>
      </c>
      <c r="AS60" s="64" t="s">
        <v>229</v>
      </c>
      <c r="AT60" s="64" t="s">
        <v>229</v>
      </c>
      <c r="AU60" s="64" t="s">
        <v>229</v>
      </c>
      <c r="AV60" s="64" t="s">
        <v>229</v>
      </c>
      <c r="AW60" s="64" t="s">
        <v>229</v>
      </c>
      <c r="AX60" s="64" t="s">
        <v>229</v>
      </c>
      <c r="AY60" s="64" t="s">
        <v>229</v>
      </c>
      <c r="AZ60" s="64" t="s">
        <v>229</v>
      </c>
      <c r="BA60" s="64" t="s">
        <v>229</v>
      </c>
      <c r="BB60" s="64" t="s">
        <v>229</v>
      </c>
      <c r="BC60" s="64" t="s">
        <v>229</v>
      </c>
      <c r="BD60" s="64" t="s">
        <v>229</v>
      </c>
      <c r="BE60" s="64" t="s">
        <v>229</v>
      </c>
      <c r="BF60" s="64" t="s">
        <v>229</v>
      </c>
      <c r="BG60" s="64" t="s">
        <v>229</v>
      </c>
      <c r="BH60" s="64" t="s">
        <v>229</v>
      </c>
      <c r="BI60" s="64" t="s">
        <v>229</v>
      </c>
      <c r="BJ60" s="64" t="s">
        <v>229</v>
      </c>
      <c r="BK60" s="64" t="s">
        <v>229</v>
      </c>
      <c r="BL60" s="64" t="s">
        <v>229</v>
      </c>
      <c r="BM60" s="64" t="s">
        <v>229</v>
      </c>
      <c r="BN60" s="64" t="s">
        <v>229</v>
      </c>
      <c r="BO60" s="64" t="s">
        <v>229</v>
      </c>
      <c r="BP60" s="64" t="s">
        <v>229</v>
      </c>
      <c r="BQ60" s="64" t="s">
        <v>229</v>
      </c>
      <c r="BR60" s="64" t="s">
        <v>229</v>
      </c>
      <c r="BS60" s="64" t="s">
        <v>229</v>
      </c>
      <c r="BT60" s="64" t="s">
        <v>229</v>
      </c>
      <c r="BU60" s="64" t="s">
        <v>229</v>
      </c>
      <c r="BV60" s="64" t="s">
        <v>229</v>
      </c>
      <c r="BW60" s="64" t="s">
        <v>229</v>
      </c>
      <c r="BX60" s="64" t="s">
        <v>229</v>
      </c>
      <c r="BY60" s="64" t="s">
        <v>229</v>
      </c>
      <c r="BZ60" s="64" t="s">
        <v>229</v>
      </c>
      <c r="CA60" s="64" t="s">
        <v>229</v>
      </c>
      <c r="CB60" s="64" t="s">
        <v>229</v>
      </c>
      <c r="CC60" s="64" t="s">
        <v>229</v>
      </c>
      <c r="CD60" s="64" t="s">
        <v>229</v>
      </c>
      <c r="CE60" s="64" t="s">
        <v>229</v>
      </c>
      <c r="CF60" s="64" t="s">
        <v>229</v>
      </c>
      <c r="CG60" s="64" t="s">
        <v>229</v>
      </c>
      <c r="CH60" s="64" t="s">
        <v>229</v>
      </c>
      <c r="CI60" s="64" t="s">
        <v>229</v>
      </c>
      <c r="CJ60" s="64" t="s">
        <v>229</v>
      </c>
      <c r="CK60" s="64" t="s">
        <v>229</v>
      </c>
      <c r="CL60" s="64" t="s">
        <v>229</v>
      </c>
      <c r="CM60" s="64" t="s">
        <v>229</v>
      </c>
      <c r="CN60" s="64" t="s">
        <v>229</v>
      </c>
      <c r="CO60" s="64" t="s">
        <v>229</v>
      </c>
      <c r="CP60" s="64" t="s">
        <v>229</v>
      </c>
      <c r="CQ60" s="64" t="s">
        <v>229</v>
      </c>
      <c r="CR60" s="64" t="s">
        <v>229</v>
      </c>
      <c r="CS60" s="64" t="s">
        <v>229</v>
      </c>
      <c r="CT60" s="64" t="s">
        <v>229</v>
      </c>
      <c r="CU60" s="64" t="s">
        <v>229</v>
      </c>
      <c r="CV60" s="64" t="s">
        <v>229</v>
      </c>
      <c r="CW60" s="64" t="s">
        <v>229</v>
      </c>
      <c r="CX60" s="64" t="s">
        <v>229</v>
      </c>
      <c r="CY60" s="64" t="s">
        <v>229</v>
      </c>
      <c r="CZ60" s="64" t="s">
        <v>229</v>
      </c>
      <c r="DA60" s="64" t="s">
        <v>229</v>
      </c>
      <c r="DB60" s="64" t="s">
        <v>229</v>
      </c>
      <c r="DC60" s="64" t="s">
        <v>229</v>
      </c>
      <c r="DD60" s="64"/>
      <c r="DE60" s="65"/>
    </row>
    <row r="61" spans="1:109" x14ac:dyDescent="0.2">
      <c r="A61" s="59">
        <v>1076</v>
      </c>
      <c r="B61" s="60" t="s">
        <v>291</v>
      </c>
      <c r="C61" s="61" t="s">
        <v>200</v>
      </c>
      <c r="D61" s="61" t="s">
        <v>225</v>
      </c>
      <c r="E61" s="61" t="s">
        <v>237</v>
      </c>
      <c r="F61" s="61"/>
      <c r="G61" s="62"/>
      <c r="H61" s="61"/>
      <c r="I61" s="63" t="s">
        <v>227</v>
      </c>
      <c r="J61" s="63"/>
      <c r="K61" s="63">
        <v>1</v>
      </c>
      <c r="L61" s="63">
        <v>1</v>
      </c>
      <c r="M61" s="63" t="s">
        <v>232</v>
      </c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 t="s">
        <v>229</v>
      </c>
      <c r="AS61" s="64" t="s">
        <v>229</v>
      </c>
      <c r="AT61" s="64" t="s">
        <v>229</v>
      </c>
      <c r="AU61" s="64" t="s">
        <v>229</v>
      </c>
      <c r="AV61" s="64" t="s">
        <v>229</v>
      </c>
      <c r="AW61" s="64" t="s">
        <v>229</v>
      </c>
      <c r="AX61" s="64" t="s">
        <v>229</v>
      </c>
      <c r="AY61" s="64" t="s">
        <v>229</v>
      </c>
      <c r="AZ61" s="64" t="s">
        <v>229</v>
      </c>
      <c r="BA61" s="64" t="s">
        <v>229</v>
      </c>
      <c r="BB61" s="64" t="s">
        <v>229</v>
      </c>
      <c r="BC61" s="64" t="s">
        <v>229</v>
      </c>
      <c r="BD61" s="64" t="s">
        <v>229</v>
      </c>
      <c r="BE61" s="64" t="s">
        <v>229</v>
      </c>
      <c r="BF61" s="64" t="s">
        <v>229</v>
      </c>
      <c r="BG61" s="64" t="s">
        <v>229</v>
      </c>
      <c r="BH61" s="64" t="s">
        <v>229</v>
      </c>
      <c r="BI61" s="64" t="s">
        <v>229</v>
      </c>
      <c r="BJ61" s="64" t="s">
        <v>229</v>
      </c>
      <c r="BK61" s="64" t="s">
        <v>229</v>
      </c>
      <c r="BL61" s="64" t="s">
        <v>229</v>
      </c>
      <c r="BM61" s="64" t="s">
        <v>229</v>
      </c>
      <c r="BN61" s="64" t="s">
        <v>229</v>
      </c>
      <c r="BO61" s="64" t="s">
        <v>229</v>
      </c>
      <c r="BP61" s="64" t="s">
        <v>229</v>
      </c>
      <c r="BQ61" s="64" t="s">
        <v>229</v>
      </c>
      <c r="BR61" s="64" t="s">
        <v>229</v>
      </c>
      <c r="BS61" s="64" t="s">
        <v>229</v>
      </c>
      <c r="BT61" s="64" t="s">
        <v>229</v>
      </c>
      <c r="BU61" s="64" t="s">
        <v>229</v>
      </c>
      <c r="BV61" s="64" t="s">
        <v>229</v>
      </c>
      <c r="BW61" s="64" t="s">
        <v>229</v>
      </c>
      <c r="BX61" s="64" t="s">
        <v>229</v>
      </c>
      <c r="BY61" s="64" t="s">
        <v>229</v>
      </c>
      <c r="BZ61" s="64" t="s">
        <v>229</v>
      </c>
      <c r="CA61" s="64" t="s">
        <v>229</v>
      </c>
      <c r="CB61" s="64" t="s">
        <v>229</v>
      </c>
      <c r="CC61" s="64" t="s">
        <v>229</v>
      </c>
      <c r="CD61" s="64" t="s">
        <v>229</v>
      </c>
      <c r="CE61" s="64" t="s">
        <v>229</v>
      </c>
      <c r="CF61" s="64" t="s">
        <v>229</v>
      </c>
      <c r="CG61" s="64" t="s">
        <v>229</v>
      </c>
      <c r="CH61" s="64" t="s">
        <v>229</v>
      </c>
      <c r="CI61" s="64" t="s">
        <v>229</v>
      </c>
      <c r="CJ61" s="64" t="s">
        <v>229</v>
      </c>
      <c r="CK61" s="64" t="s">
        <v>229</v>
      </c>
      <c r="CL61" s="64" t="s">
        <v>229</v>
      </c>
      <c r="CM61" s="64" t="s">
        <v>229</v>
      </c>
      <c r="CN61" s="64" t="s">
        <v>229</v>
      </c>
      <c r="CO61" s="64" t="s">
        <v>229</v>
      </c>
      <c r="CP61" s="64" t="s">
        <v>229</v>
      </c>
      <c r="CQ61" s="64" t="s">
        <v>229</v>
      </c>
      <c r="CR61" s="64" t="s">
        <v>229</v>
      </c>
      <c r="CS61" s="64" t="s">
        <v>229</v>
      </c>
      <c r="CT61" s="64" t="s">
        <v>229</v>
      </c>
      <c r="CU61" s="64" t="s">
        <v>229</v>
      </c>
      <c r="CV61" s="64" t="s">
        <v>229</v>
      </c>
      <c r="CW61" s="64" t="s">
        <v>229</v>
      </c>
      <c r="CX61" s="64" t="s">
        <v>229</v>
      </c>
      <c r="CY61" s="64" t="s">
        <v>229</v>
      </c>
      <c r="CZ61" s="64" t="s">
        <v>229</v>
      </c>
      <c r="DA61" s="64" t="s">
        <v>229</v>
      </c>
      <c r="DB61" s="64" t="s">
        <v>229</v>
      </c>
      <c r="DC61" s="64" t="s">
        <v>229</v>
      </c>
      <c r="DD61" s="64"/>
      <c r="DE61" s="65"/>
    </row>
    <row r="62" spans="1:109" x14ac:dyDescent="0.2">
      <c r="A62" s="59">
        <v>2473</v>
      </c>
      <c r="B62" s="60" t="s">
        <v>292</v>
      </c>
      <c r="C62" s="61" t="s">
        <v>200</v>
      </c>
      <c r="D62" s="61" t="s">
        <v>225</v>
      </c>
      <c r="E62" s="61" t="s">
        <v>226</v>
      </c>
      <c r="F62" s="61"/>
      <c r="G62" s="62"/>
      <c r="H62" s="61"/>
      <c r="I62" s="63" t="s">
        <v>227</v>
      </c>
      <c r="J62" s="63"/>
      <c r="K62" s="63">
        <v>1</v>
      </c>
      <c r="L62" s="63">
        <v>1</v>
      </c>
      <c r="M62" s="63" t="s">
        <v>239</v>
      </c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 t="s">
        <v>229</v>
      </c>
      <c r="AS62" s="64" t="s">
        <v>229</v>
      </c>
      <c r="AT62" s="64" t="s">
        <v>229</v>
      </c>
      <c r="AU62" s="64" t="s">
        <v>229</v>
      </c>
      <c r="AV62" s="64" t="s">
        <v>229</v>
      </c>
      <c r="AW62" s="64" t="s">
        <v>229</v>
      </c>
      <c r="AX62" s="64" t="s">
        <v>229</v>
      </c>
      <c r="AY62" s="64" t="s">
        <v>229</v>
      </c>
      <c r="AZ62" s="64" t="s">
        <v>229</v>
      </c>
      <c r="BA62" s="64" t="s">
        <v>229</v>
      </c>
      <c r="BB62" s="64" t="s">
        <v>229</v>
      </c>
      <c r="BC62" s="64" t="s">
        <v>229</v>
      </c>
      <c r="BD62" s="64" t="s">
        <v>229</v>
      </c>
      <c r="BE62" s="64" t="s">
        <v>229</v>
      </c>
      <c r="BF62" s="64" t="s">
        <v>229</v>
      </c>
      <c r="BG62" s="64" t="s">
        <v>229</v>
      </c>
      <c r="BH62" s="64" t="s">
        <v>229</v>
      </c>
      <c r="BI62" s="64" t="s">
        <v>229</v>
      </c>
      <c r="BJ62" s="64" t="s">
        <v>229</v>
      </c>
      <c r="BK62" s="64" t="s">
        <v>229</v>
      </c>
      <c r="BL62" s="64" t="s">
        <v>229</v>
      </c>
      <c r="BM62" s="64" t="s">
        <v>229</v>
      </c>
      <c r="BN62" s="64" t="s">
        <v>229</v>
      </c>
      <c r="BO62" s="64" t="s">
        <v>229</v>
      </c>
      <c r="BP62" s="64" t="s">
        <v>229</v>
      </c>
      <c r="BQ62" s="64" t="s">
        <v>229</v>
      </c>
      <c r="BR62" s="64" t="s">
        <v>229</v>
      </c>
      <c r="BS62" s="64" t="s">
        <v>229</v>
      </c>
      <c r="BT62" s="64" t="s">
        <v>229</v>
      </c>
      <c r="BU62" s="64" t="s">
        <v>229</v>
      </c>
      <c r="BV62" s="64" t="s">
        <v>229</v>
      </c>
      <c r="BW62" s="64" t="s">
        <v>229</v>
      </c>
      <c r="BX62" s="64" t="s">
        <v>229</v>
      </c>
      <c r="BY62" s="64" t="s">
        <v>229</v>
      </c>
      <c r="BZ62" s="64" t="s">
        <v>229</v>
      </c>
      <c r="CA62" s="64" t="s">
        <v>229</v>
      </c>
      <c r="CB62" s="64" t="s">
        <v>229</v>
      </c>
      <c r="CC62" s="64" t="s">
        <v>229</v>
      </c>
      <c r="CD62" s="64" t="s">
        <v>229</v>
      </c>
      <c r="CE62" s="64" t="s">
        <v>229</v>
      </c>
      <c r="CF62" s="64" t="s">
        <v>229</v>
      </c>
      <c r="CG62" s="64" t="s">
        <v>229</v>
      </c>
      <c r="CH62" s="64" t="s">
        <v>229</v>
      </c>
      <c r="CI62" s="64" t="s">
        <v>229</v>
      </c>
      <c r="CJ62" s="64" t="s">
        <v>229</v>
      </c>
      <c r="CK62" s="64" t="s">
        <v>229</v>
      </c>
      <c r="CL62" s="64" t="s">
        <v>229</v>
      </c>
      <c r="CM62" s="64" t="s">
        <v>229</v>
      </c>
      <c r="CN62" s="64" t="s">
        <v>229</v>
      </c>
      <c r="CO62" s="64" t="s">
        <v>229</v>
      </c>
      <c r="CP62" s="64" t="s">
        <v>229</v>
      </c>
      <c r="CQ62" s="64" t="s">
        <v>229</v>
      </c>
      <c r="CR62" s="64" t="s">
        <v>229</v>
      </c>
      <c r="CS62" s="64" t="s">
        <v>229</v>
      </c>
      <c r="CT62" s="64" t="s">
        <v>229</v>
      </c>
      <c r="CU62" s="64" t="s">
        <v>229</v>
      </c>
      <c r="CV62" s="64" t="s">
        <v>229</v>
      </c>
      <c r="CW62" s="64" t="s">
        <v>229</v>
      </c>
      <c r="CX62" s="64" t="s">
        <v>229</v>
      </c>
      <c r="CY62" s="64" t="s">
        <v>229</v>
      </c>
      <c r="CZ62" s="64" t="s">
        <v>229</v>
      </c>
      <c r="DA62" s="64" t="s">
        <v>229</v>
      </c>
      <c r="DB62" s="64" t="s">
        <v>229</v>
      </c>
      <c r="DC62" s="64" t="s">
        <v>229</v>
      </c>
      <c r="DD62" s="64"/>
      <c r="DE62" s="65"/>
    </row>
    <row r="63" spans="1:109" x14ac:dyDescent="0.2">
      <c r="A63" s="59">
        <v>1623</v>
      </c>
      <c r="B63" s="60" t="s">
        <v>293</v>
      </c>
      <c r="C63" s="61" t="s">
        <v>200</v>
      </c>
      <c r="D63" s="61" t="s">
        <v>225</v>
      </c>
      <c r="E63" s="61" t="s">
        <v>226</v>
      </c>
      <c r="F63" s="61"/>
      <c r="G63" s="62"/>
      <c r="H63" s="61"/>
      <c r="I63" s="63" t="s">
        <v>238</v>
      </c>
      <c r="J63" s="63"/>
      <c r="K63" s="63">
        <v>1</v>
      </c>
      <c r="L63" s="63">
        <v>1</v>
      </c>
      <c r="M63" s="63" t="s">
        <v>232</v>
      </c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 t="s">
        <v>229</v>
      </c>
      <c r="AS63" s="64" t="s">
        <v>229</v>
      </c>
      <c r="AT63" s="64" t="s">
        <v>229</v>
      </c>
      <c r="AU63" s="64" t="s">
        <v>229</v>
      </c>
      <c r="AV63" s="64" t="s">
        <v>229</v>
      </c>
      <c r="AW63" s="64" t="s">
        <v>229</v>
      </c>
      <c r="AX63" s="64" t="s">
        <v>229</v>
      </c>
      <c r="AY63" s="64" t="s">
        <v>229</v>
      </c>
      <c r="AZ63" s="64" t="s">
        <v>229</v>
      </c>
      <c r="BA63" s="64" t="s">
        <v>229</v>
      </c>
      <c r="BB63" s="64" t="s">
        <v>229</v>
      </c>
      <c r="BC63" s="64" t="s">
        <v>229</v>
      </c>
      <c r="BD63" s="64" t="s">
        <v>229</v>
      </c>
      <c r="BE63" s="64" t="s">
        <v>229</v>
      </c>
      <c r="BF63" s="64" t="s">
        <v>229</v>
      </c>
      <c r="BG63" s="64" t="s">
        <v>229</v>
      </c>
      <c r="BH63" s="64" t="s">
        <v>229</v>
      </c>
      <c r="BI63" s="64" t="s">
        <v>229</v>
      </c>
      <c r="BJ63" s="64" t="s">
        <v>229</v>
      </c>
      <c r="BK63" s="64" t="s">
        <v>229</v>
      </c>
      <c r="BL63" s="64" t="s">
        <v>229</v>
      </c>
      <c r="BM63" s="64" t="s">
        <v>229</v>
      </c>
      <c r="BN63" s="64" t="s">
        <v>229</v>
      </c>
      <c r="BO63" s="64" t="s">
        <v>229</v>
      </c>
      <c r="BP63" s="64" t="s">
        <v>229</v>
      </c>
      <c r="BQ63" s="64" t="s">
        <v>229</v>
      </c>
      <c r="BR63" s="64" t="s">
        <v>229</v>
      </c>
      <c r="BS63" s="64" t="s">
        <v>229</v>
      </c>
      <c r="BT63" s="64" t="s">
        <v>229</v>
      </c>
      <c r="BU63" s="64" t="s">
        <v>229</v>
      </c>
      <c r="BV63" s="64" t="s">
        <v>229</v>
      </c>
      <c r="BW63" s="64" t="s">
        <v>229</v>
      </c>
      <c r="BX63" s="64" t="s">
        <v>229</v>
      </c>
      <c r="BY63" s="64" t="s">
        <v>229</v>
      </c>
      <c r="BZ63" s="64" t="s">
        <v>229</v>
      </c>
      <c r="CA63" s="64" t="s">
        <v>229</v>
      </c>
      <c r="CB63" s="64" t="s">
        <v>229</v>
      </c>
      <c r="CC63" s="64" t="s">
        <v>229</v>
      </c>
      <c r="CD63" s="64" t="s">
        <v>229</v>
      </c>
      <c r="CE63" s="64" t="s">
        <v>229</v>
      </c>
      <c r="CF63" s="64" t="s">
        <v>229</v>
      </c>
      <c r="CG63" s="64" t="s">
        <v>229</v>
      </c>
      <c r="CH63" s="64" t="s">
        <v>229</v>
      </c>
      <c r="CI63" s="64" t="s">
        <v>229</v>
      </c>
      <c r="CJ63" s="64" t="s">
        <v>229</v>
      </c>
      <c r="CK63" s="64" t="s">
        <v>229</v>
      </c>
      <c r="CL63" s="64" t="s">
        <v>229</v>
      </c>
      <c r="CM63" s="64" t="s">
        <v>229</v>
      </c>
      <c r="CN63" s="64" t="s">
        <v>229</v>
      </c>
      <c r="CO63" s="64" t="s">
        <v>229</v>
      </c>
      <c r="CP63" s="64" t="s">
        <v>229</v>
      </c>
      <c r="CQ63" s="64" t="s">
        <v>229</v>
      </c>
      <c r="CR63" s="64" t="s">
        <v>229</v>
      </c>
      <c r="CS63" s="64" t="s">
        <v>229</v>
      </c>
      <c r="CT63" s="64" t="s">
        <v>229</v>
      </c>
      <c r="CU63" s="64" t="s">
        <v>229</v>
      </c>
      <c r="CV63" s="64" t="s">
        <v>229</v>
      </c>
      <c r="CW63" s="64" t="s">
        <v>229</v>
      </c>
      <c r="CX63" s="64" t="s">
        <v>229</v>
      </c>
      <c r="CY63" s="64" t="s">
        <v>229</v>
      </c>
      <c r="CZ63" s="64" t="s">
        <v>229</v>
      </c>
      <c r="DA63" s="64" t="s">
        <v>229</v>
      </c>
      <c r="DB63" s="64" t="s">
        <v>229</v>
      </c>
      <c r="DC63" s="64" t="s">
        <v>229</v>
      </c>
      <c r="DD63" s="64" t="s">
        <v>229</v>
      </c>
      <c r="DE63" s="65"/>
    </row>
    <row r="64" spans="1:109" x14ac:dyDescent="0.2">
      <c r="A64" s="59">
        <v>1867</v>
      </c>
      <c r="B64" s="60" t="s">
        <v>294</v>
      </c>
      <c r="C64" s="61" t="s">
        <v>200</v>
      </c>
      <c r="D64" s="61" t="s">
        <v>225</v>
      </c>
      <c r="E64" s="61" t="s">
        <v>226</v>
      </c>
      <c r="F64" s="61"/>
      <c r="G64" s="62"/>
      <c r="H64" s="61"/>
      <c r="I64" s="63" t="s">
        <v>238</v>
      </c>
      <c r="J64" s="63"/>
      <c r="K64" s="63">
        <v>1</v>
      </c>
      <c r="L64" s="63">
        <v>1</v>
      </c>
      <c r="M64" s="63" t="s">
        <v>295</v>
      </c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 t="s">
        <v>229</v>
      </c>
      <c r="AS64" s="64" t="s">
        <v>229</v>
      </c>
      <c r="AT64" s="64" t="s">
        <v>229</v>
      </c>
      <c r="AU64" s="64" t="s">
        <v>229</v>
      </c>
      <c r="AV64" s="64" t="s">
        <v>229</v>
      </c>
      <c r="AW64" s="64" t="s">
        <v>229</v>
      </c>
      <c r="AX64" s="64" t="s">
        <v>229</v>
      </c>
      <c r="AY64" s="64" t="s">
        <v>229</v>
      </c>
      <c r="AZ64" s="64" t="s">
        <v>229</v>
      </c>
      <c r="BA64" s="64" t="s">
        <v>229</v>
      </c>
      <c r="BB64" s="64" t="s">
        <v>229</v>
      </c>
      <c r="BC64" s="64" t="s">
        <v>229</v>
      </c>
      <c r="BD64" s="64" t="s">
        <v>229</v>
      </c>
      <c r="BE64" s="64" t="s">
        <v>229</v>
      </c>
      <c r="BF64" s="64" t="s">
        <v>229</v>
      </c>
      <c r="BG64" s="64" t="s">
        <v>229</v>
      </c>
      <c r="BH64" s="64" t="s">
        <v>229</v>
      </c>
      <c r="BI64" s="64" t="s">
        <v>229</v>
      </c>
      <c r="BJ64" s="64" t="s">
        <v>229</v>
      </c>
      <c r="BK64" s="64" t="s">
        <v>229</v>
      </c>
      <c r="BL64" s="64" t="s">
        <v>229</v>
      </c>
      <c r="BM64" s="64" t="s">
        <v>229</v>
      </c>
      <c r="BN64" s="64" t="s">
        <v>229</v>
      </c>
      <c r="BO64" s="64" t="s">
        <v>229</v>
      </c>
      <c r="BP64" s="64" t="s">
        <v>229</v>
      </c>
      <c r="BQ64" s="64" t="s">
        <v>229</v>
      </c>
      <c r="BR64" s="64" t="s">
        <v>229</v>
      </c>
      <c r="BS64" s="64" t="s">
        <v>229</v>
      </c>
      <c r="BT64" s="64" t="s">
        <v>229</v>
      </c>
      <c r="BU64" s="64" t="s">
        <v>229</v>
      </c>
      <c r="BV64" s="64" t="s">
        <v>229</v>
      </c>
      <c r="BW64" s="64" t="s">
        <v>229</v>
      </c>
      <c r="BX64" s="64" t="s">
        <v>229</v>
      </c>
      <c r="BY64" s="64" t="s">
        <v>229</v>
      </c>
      <c r="BZ64" s="64" t="s">
        <v>229</v>
      </c>
      <c r="CA64" s="64" t="s">
        <v>229</v>
      </c>
      <c r="CB64" s="64" t="s">
        <v>229</v>
      </c>
      <c r="CC64" s="64" t="s">
        <v>229</v>
      </c>
      <c r="CD64" s="64" t="s">
        <v>229</v>
      </c>
      <c r="CE64" s="64" t="s">
        <v>229</v>
      </c>
      <c r="CF64" s="64" t="s">
        <v>229</v>
      </c>
      <c r="CG64" s="64" t="s">
        <v>229</v>
      </c>
      <c r="CH64" s="64" t="s">
        <v>229</v>
      </c>
      <c r="CI64" s="64" t="s">
        <v>229</v>
      </c>
      <c r="CJ64" s="64" t="s">
        <v>229</v>
      </c>
      <c r="CK64" s="64" t="s">
        <v>229</v>
      </c>
      <c r="CL64" s="64" t="s">
        <v>229</v>
      </c>
      <c r="CM64" s="64" t="s">
        <v>229</v>
      </c>
      <c r="CN64" s="64" t="s">
        <v>229</v>
      </c>
      <c r="CO64" s="64" t="s">
        <v>229</v>
      </c>
      <c r="CP64" s="64" t="s">
        <v>229</v>
      </c>
      <c r="CQ64" s="64" t="s">
        <v>229</v>
      </c>
      <c r="CR64" s="64" t="s">
        <v>229</v>
      </c>
      <c r="CS64" s="64" t="s">
        <v>229</v>
      </c>
      <c r="CT64" s="64" t="s">
        <v>229</v>
      </c>
      <c r="CU64" s="64" t="s">
        <v>229</v>
      </c>
      <c r="CV64" s="64" t="s">
        <v>229</v>
      </c>
      <c r="CW64" s="64" t="s">
        <v>229</v>
      </c>
      <c r="CX64" s="64" t="s">
        <v>229</v>
      </c>
      <c r="CY64" s="64" t="s">
        <v>229</v>
      </c>
      <c r="CZ64" s="64" t="s">
        <v>229</v>
      </c>
      <c r="DA64" s="64" t="s">
        <v>229</v>
      </c>
      <c r="DB64" s="64" t="s">
        <v>229</v>
      </c>
      <c r="DC64" s="64" t="s">
        <v>229</v>
      </c>
      <c r="DD64" s="64" t="s">
        <v>229</v>
      </c>
      <c r="DE64" s="65"/>
    </row>
    <row r="65" spans="1:109" x14ac:dyDescent="0.2">
      <c r="A65" s="59">
        <v>2001</v>
      </c>
      <c r="B65" s="60" t="s">
        <v>296</v>
      </c>
      <c r="C65" s="61" t="s">
        <v>203</v>
      </c>
      <c r="D65" s="61" t="s">
        <v>225</v>
      </c>
      <c r="E65" s="61" t="s">
        <v>226</v>
      </c>
      <c r="F65" s="61"/>
      <c r="G65" s="62"/>
      <c r="H65" s="61"/>
      <c r="I65" s="63" t="s">
        <v>238</v>
      </c>
      <c r="J65" s="63"/>
      <c r="K65" s="63"/>
      <c r="L65" s="63">
        <v>1</v>
      </c>
      <c r="M65" s="63" t="s">
        <v>241</v>
      </c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 t="s">
        <v>229</v>
      </c>
      <c r="BX65" s="64" t="s">
        <v>229</v>
      </c>
      <c r="BY65" s="64" t="s">
        <v>229</v>
      </c>
      <c r="BZ65" s="64" t="s">
        <v>229</v>
      </c>
      <c r="CA65" s="64" t="s">
        <v>229</v>
      </c>
      <c r="CB65" s="64" t="s">
        <v>229</v>
      </c>
      <c r="CC65" s="64" t="s">
        <v>229</v>
      </c>
      <c r="CD65" s="64" t="s">
        <v>229</v>
      </c>
      <c r="CE65" s="64" t="s">
        <v>229</v>
      </c>
      <c r="CF65" s="64" t="s">
        <v>229</v>
      </c>
      <c r="CG65" s="64" t="s">
        <v>229</v>
      </c>
      <c r="CH65" s="64" t="s">
        <v>229</v>
      </c>
      <c r="CI65" s="64" t="s">
        <v>229</v>
      </c>
      <c r="CJ65" s="64" t="s">
        <v>229</v>
      </c>
      <c r="CK65" s="64" t="s">
        <v>229</v>
      </c>
      <c r="CL65" s="64" t="s">
        <v>229</v>
      </c>
      <c r="CM65" s="64"/>
      <c r="CN65" s="64" t="s">
        <v>229</v>
      </c>
      <c r="CO65" s="64" t="s">
        <v>229</v>
      </c>
      <c r="CP65" s="64" t="s">
        <v>229</v>
      </c>
      <c r="CQ65" s="64" t="s">
        <v>229</v>
      </c>
      <c r="CR65" s="64" t="s">
        <v>229</v>
      </c>
      <c r="CS65" s="64" t="s">
        <v>229</v>
      </c>
      <c r="CT65" s="64" t="s">
        <v>229</v>
      </c>
      <c r="CU65" s="64" t="s">
        <v>229</v>
      </c>
      <c r="CV65" s="64" t="s">
        <v>229</v>
      </c>
      <c r="CW65" s="64" t="s">
        <v>229</v>
      </c>
      <c r="CX65" s="64" t="s">
        <v>229</v>
      </c>
      <c r="CY65" s="64" t="s">
        <v>229</v>
      </c>
      <c r="CZ65" s="64" t="s">
        <v>229</v>
      </c>
      <c r="DA65" s="64" t="s">
        <v>229</v>
      </c>
      <c r="DB65" s="64" t="s">
        <v>229</v>
      </c>
      <c r="DC65" s="64" t="s">
        <v>229</v>
      </c>
      <c r="DD65" s="64"/>
      <c r="DE65" s="65"/>
    </row>
    <row r="66" spans="1:109" x14ac:dyDescent="0.2">
      <c r="A66" s="59">
        <v>883</v>
      </c>
      <c r="B66" s="60" t="s">
        <v>297</v>
      </c>
      <c r="C66" s="61" t="s">
        <v>200</v>
      </c>
      <c r="D66" s="61" t="s">
        <v>225</v>
      </c>
      <c r="E66" s="61" t="s">
        <v>226</v>
      </c>
      <c r="F66" s="61"/>
      <c r="G66" s="62"/>
      <c r="H66" s="61"/>
      <c r="I66" s="63" t="s">
        <v>227</v>
      </c>
      <c r="J66" s="63"/>
      <c r="K66" s="63">
        <v>1</v>
      </c>
      <c r="L66" s="63">
        <v>1</v>
      </c>
      <c r="M66" s="63" t="s">
        <v>248</v>
      </c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 t="s">
        <v>229</v>
      </c>
      <c r="AS66" s="64" t="s">
        <v>229</v>
      </c>
      <c r="AT66" s="64" t="s">
        <v>229</v>
      </c>
      <c r="AU66" s="64" t="s">
        <v>229</v>
      </c>
      <c r="AV66" s="64" t="s">
        <v>229</v>
      </c>
      <c r="AW66" s="64" t="s">
        <v>229</v>
      </c>
      <c r="AX66" s="64" t="s">
        <v>229</v>
      </c>
      <c r="AY66" s="64" t="s">
        <v>229</v>
      </c>
      <c r="AZ66" s="64" t="s">
        <v>229</v>
      </c>
      <c r="BA66" s="64" t="s">
        <v>229</v>
      </c>
      <c r="BB66" s="64" t="s">
        <v>229</v>
      </c>
      <c r="BC66" s="64" t="s">
        <v>229</v>
      </c>
      <c r="BD66" s="64" t="s">
        <v>229</v>
      </c>
      <c r="BE66" s="64" t="s">
        <v>229</v>
      </c>
      <c r="BF66" s="64" t="s">
        <v>229</v>
      </c>
      <c r="BG66" s="64" t="s">
        <v>229</v>
      </c>
      <c r="BH66" s="64" t="s">
        <v>229</v>
      </c>
      <c r="BI66" s="64" t="s">
        <v>229</v>
      </c>
      <c r="BJ66" s="64" t="s">
        <v>229</v>
      </c>
      <c r="BK66" s="64" t="s">
        <v>229</v>
      </c>
      <c r="BL66" s="64" t="s">
        <v>229</v>
      </c>
      <c r="BM66" s="64" t="s">
        <v>229</v>
      </c>
      <c r="BN66" s="64" t="s">
        <v>229</v>
      </c>
      <c r="BO66" s="64" t="s">
        <v>229</v>
      </c>
      <c r="BP66" s="64" t="s">
        <v>229</v>
      </c>
      <c r="BQ66" s="64" t="s">
        <v>229</v>
      </c>
      <c r="BR66" s="64" t="s">
        <v>229</v>
      </c>
      <c r="BS66" s="64" t="s">
        <v>229</v>
      </c>
      <c r="BT66" s="64" t="s">
        <v>229</v>
      </c>
      <c r="BU66" s="64" t="s">
        <v>229</v>
      </c>
      <c r="BV66" s="64" t="s">
        <v>229</v>
      </c>
      <c r="BW66" s="64" t="s">
        <v>229</v>
      </c>
      <c r="BX66" s="64" t="s">
        <v>229</v>
      </c>
      <c r="BY66" s="64" t="s">
        <v>229</v>
      </c>
      <c r="BZ66" s="64" t="s">
        <v>229</v>
      </c>
      <c r="CA66" s="64" t="s">
        <v>229</v>
      </c>
      <c r="CB66" s="64" t="s">
        <v>229</v>
      </c>
      <c r="CC66" s="64" t="s">
        <v>229</v>
      </c>
      <c r="CD66" s="64" t="s">
        <v>229</v>
      </c>
      <c r="CE66" s="64" t="s">
        <v>229</v>
      </c>
      <c r="CF66" s="64" t="s">
        <v>229</v>
      </c>
      <c r="CG66" s="64" t="s">
        <v>229</v>
      </c>
      <c r="CH66" s="64" t="s">
        <v>229</v>
      </c>
      <c r="CI66" s="64" t="s">
        <v>229</v>
      </c>
      <c r="CJ66" s="64" t="s">
        <v>229</v>
      </c>
      <c r="CK66" s="64" t="s">
        <v>229</v>
      </c>
      <c r="CL66" s="64" t="s">
        <v>229</v>
      </c>
      <c r="CM66" s="64" t="s">
        <v>229</v>
      </c>
      <c r="CN66" s="64" t="s">
        <v>229</v>
      </c>
      <c r="CO66" s="64" t="s">
        <v>229</v>
      </c>
      <c r="CP66" s="64" t="s">
        <v>229</v>
      </c>
      <c r="CQ66" s="64" t="s">
        <v>229</v>
      </c>
      <c r="CR66" s="64" t="s">
        <v>229</v>
      </c>
      <c r="CS66" s="64" t="s">
        <v>229</v>
      </c>
      <c r="CT66" s="64" t="s">
        <v>229</v>
      </c>
      <c r="CU66" s="64" t="s">
        <v>229</v>
      </c>
      <c r="CV66" s="64" t="s">
        <v>229</v>
      </c>
      <c r="CW66" s="64" t="s">
        <v>229</v>
      </c>
      <c r="CX66" s="64" t="s">
        <v>229</v>
      </c>
      <c r="CY66" s="64" t="s">
        <v>229</v>
      </c>
      <c r="CZ66" s="64" t="s">
        <v>229</v>
      </c>
      <c r="DA66" s="64" t="s">
        <v>229</v>
      </c>
      <c r="DB66" s="64" t="s">
        <v>229</v>
      </c>
      <c r="DC66" s="64" t="s">
        <v>229</v>
      </c>
      <c r="DD66" s="64"/>
      <c r="DE66" s="65"/>
    </row>
    <row r="67" spans="1:109" x14ac:dyDescent="0.2">
      <c r="A67" s="59">
        <v>233</v>
      </c>
      <c r="B67" s="60" t="s">
        <v>298</v>
      </c>
      <c r="C67" s="61" t="s">
        <v>100</v>
      </c>
      <c r="D67" s="61" t="s">
        <v>225</v>
      </c>
      <c r="E67" s="61" t="s">
        <v>226</v>
      </c>
      <c r="F67" s="61"/>
      <c r="G67" s="62"/>
      <c r="H67" s="61"/>
      <c r="I67" s="63" t="s">
        <v>227</v>
      </c>
      <c r="J67" s="63">
        <v>2</v>
      </c>
      <c r="K67" s="63">
        <v>1</v>
      </c>
      <c r="L67" s="63">
        <v>1</v>
      </c>
      <c r="M67" s="63" t="s">
        <v>239</v>
      </c>
      <c r="N67" s="64" t="s">
        <v>229</v>
      </c>
      <c r="O67" s="64" t="s">
        <v>229</v>
      </c>
      <c r="P67" s="64" t="s">
        <v>229</v>
      </c>
      <c r="Q67" s="64" t="s">
        <v>229</v>
      </c>
      <c r="R67" s="64" t="s">
        <v>229</v>
      </c>
      <c r="S67" s="64" t="s">
        <v>229</v>
      </c>
      <c r="T67" s="64" t="s">
        <v>229</v>
      </c>
      <c r="U67" s="64" t="s">
        <v>229</v>
      </c>
      <c r="V67" s="64" t="s">
        <v>229</v>
      </c>
      <c r="W67" s="64" t="s">
        <v>229</v>
      </c>
      <c r="X67" s="64" t="s">
        <v>229</v>
      </c>
      <c r="Y67" s="64" t="s">
        <v>229</v>
      </c>
      <c r="Z67" s="64" t="s">
        <v>229</v>
      </c>
      <c r="AA67" s="64" t="s">
        <v>229</v>
      </c>
      <c r="AB67" s="64" t="s">
        <v>229</v>
      </c>
      <c r="AC67" s="64" t="s">
        <v>229</v>
      </c>
      <c r="AD67" s="64" t="s">
        <v>229</v>
      </c>
      <c r="AE67" s="64" t="s">
        <v>229</v>
      </c>
      <c r="AF67" s="64" t="s">
        <v>229</v>
      </c>
      <c r="AG67" s="64" t="s">
        <v>229</v>
      </c>
      <c r="AH67" s="64" t="s">
        <v>229</v>
      </c>
      <c r="AI67" s="64" t="s">
        <v>229</v>
      </c>
      <c r="AJ67" s="64" t="s">
        <v>229</v>
      </c>
      <c r="AK67" s="64" t="s">
        <v>229</v>
      </c>
      <c r="AL67" s="64" t="s">
        <v>229</v>
      </c>
      <c r="AM67" s="64" t="s">
        <v>229</v>
      </c>
      <c r="AN67" s="64" t="s">
        <v>229</v>
      </c>
      <c r="AO67" s="64" t="s">
        <v>229</v>
      </c>
      <c r="AP67" s="64" t="s">
        <v>229</v>
      </c>
      <c r="AQ67" s="64" t="s">
        <v>229</v>
      </c>
      <c r="AR67" s="64" t="s">
        <v>229</v>
      </c>
      <c r="AS67" s="64" t="s">
        <v>229</v>
      </c>
      <c r="AT67" s="64" t="s">
        <v>229</v>
      </c>
      <c r="AU67" s="64" t="s">
        <v>229</v>
      </c>
      <c r="AV67" s="64" t="s">
        <v>229</v>
      </c>
      <c r="AW67" s="64" t="s">
        <v>229</v>
      </c>
      <c r="AX67" s="64" t="s">
        <v>229</v>
      </c>
      <c r="AY67" s="64" t="s">
        <v>229</v>
      </c>
      <c r="AZ67" s="64" t="s">
        <v>229</v>
      </c>
      <c r="BA67" s="64" t="s">
        <v>229</v>
      </c>
      <c r="BB67" s="64" t="s">
        <v>229</v>
      </c>
      <c r="BC67" s="64" t="s">
        <v>229</v>
      </c>
      <c r="BD67" s="64" t="s">
        <v>229</v>
      </c>
      <c r="BE67" s="64" t="s">
        <v>229</v>
      </c>
      <c r="BF67" s="64" t="s">
        <v>229</v>
      </c>
      <c r="BG67" s="64" t="s">
        <v>229</v>
      </c>
      <c r="BH67" s="64" t="s">
        <v>229</v>
      </c>
      <c r="BI67" s="64" t="s">
        <v>229</v>
      </c>
      <c r="BJ67" s="64" t="s">
        <v>229</v>
      </c>
      <c r="BK67" s="64" t="s">
        <v>229</v>
      </c>
      <c r="BL67" s="64" t="s">
        <v>229</v>
      </c>
      <c r="BM67" s="64" t="s">
        <v>229</v>
      </c>
      <c r="BN67" s="64" t="s">
        <v>229</v>
      </c>
      <c r="BO67" s="64" t="s">
        <v>229</v>
      </c>
      <c r="BP67" s="64" t="s">
        <v>229</v>
      </c>
      <c r="BQ67" s="64" t="s">
        <v>229</v>
      </c>
      <c r="BR67" s="64" t="s">
        <v>229</v>
      </c>
      <c r="BS67" s="64" t="s">
        <v>229</v>
      </c>
      <c r="BT67" s="64" t="s">
        <v>229</v>
      </c>
      <c r="BU67" s="64" t="s">
        <v>229</v>
      </c>
      <c r="BV67" s="64" t="s">
        <v>229</v>
      </c>
      <c r="BW67" s="64" t="s">
        <v>229</v>
      </c>
      <c r="BX67" s="64" t="s">
        <v>229</v>
      </c>
      <c r="BY67" s="64" t="s">
        <v>229</v>
      </c>
      <c r="BZ67" s="64" t="s">
        <v>229</v>
      </c>
      <c r="CA67" s="64" t="s">
        <v>229</v>
      </c>
      <c r="CB67" s="64" t="s">
        <v>229</v>
      </c>
      <c r="CC67" s="64" t="s">
        <v>229</v>
      </c>
      <c r="CD67" s="64" t="s">
        <v>229</v>
      </c>
      <c r="CE67" s="64" t="s">
        <v>229</v>
      </c>
      <c r="CF67" s="64" t="s">
        <v>229</v>
      </c>
      <c r="CG67" s="64" t="s">
        <v>229</v>
      </c>
      <c r="CH67" s="64" t="s">
        <v>229</v>
      </c>
      <c r="CI67" s="64" t="s">
        <v>229</v>
      </c>
      <c r="CJ67" s="64" t="s">
        <v>229</v>
      </c>
      <c r="CK67" s="64" t="s">
        <v>229</v>
      </c>
      <c r="CL67" s="64" t="s">
        <v>229</v>
      </c>
      <c r="CM67" s="64" t="s">
        <v>229</v>
      </c>
      <c r="CN67" s="64" t="s">
        <v>229</v>
      </c>
      <c r="CO67" s="64" t="s">
        <v>229</v>
      </c>
      <c r="CP67" s="64" t="s">
        <v>229</v>
      </c>
      <c r="CQ67" s="64" t="s">
        <v>229</v>
      </c>
      <c r="CR67" s="64" t="s">
        <v>229</v>
      </c>
      <c r="CS67" s="64" t="s">
        <v>229</v>
      </c>
      <c r="CT67" s="64" t="s">
        <v>229</v>
      </c>
      <c r="CU67" s="64" t="s">
        <v>229</v>
      </c>
      <c r="CV67" s="64" t="s">
        <v>229</v>
      </c>
      <c r="CW67" s="64" t="s">
        <v>229</v>
      </c>
      <c r="CX67" s="64" t="s">
        <v>229</v>
      </c>
      <c r="CY67" s="64" t="s">
        <v>229</v>
      </c>
      <c r="CZ67" s="64" t="s">
        <v>229</v>
      </c>
      <c r="DA67" s="64" t="s">
        <v>229</v>
      </c>
      <c r="DB67" s="64" t="s">
        <v>229</v>
      </c>
      <c r="DC67" s="64" t="s">
        <v>229</v>
      </c>
      <c r="DD67" s="64"/>
      <c r="DE67" s="65"/>
    </row>
    <row r="68" spans="1:109" x14ac:dyDescent="0.2">
      <c r="A68" s="59">
        <v>1601</v>
      </c>
      <c r="B68" s="60" t="s">
        <v>299</v>
      </c>
      <c r="C68" s="61" t="s">
        <v>100</v>
      </c>
      <c r="D68" s="61" t="s">
        <v>225</v>
      </c>
      <c r="E68" s="61" t="s">
        <v>226</v>
      </c>
      <c r="F68" s="61"/>
      <c r="G68" s="62"/>
      <c r="H68" s="61"/>
      <c r="I68" s="63" t="s">
        <v>227</v>
      </c>
      <c r="J68" s="63">
        <v>1</v>
      </c>
      <c r="K68" s="63">
        <v>1</v>
      </c>
      <c r="L68" s="63">
        <v>1</v>
      </c>
      <c r="M68" s="63" t="s">
        <v>300</v>
      </c>
      <c r="N68" s="64" t="s">
        <v>229</v>
      </c>
      <c r="O68" s="64" t="s">
        <v>229</v>
      </c>
      <c r="P68" s="64" t="s">
        <v>229</v>
      </c>
      <c r="Q68" s="64" t="s">
        <v>229</v>
      </c>
      <c r="R68" s="64" t="s">
        <v>229</v>
      </c>
      <c r="S68" s="64" t="s">
        <v>229</v>
      </c>
      <c r="T68" s="64" t="s">
        <v>229</v>
      </c>
      <c r="U68" s="64" t="s">
        <v>229</v>
      </c>
      <c r="V68" s="64" t="s">
        <v>229</v>
      </c>
      <c r="W68" s="64" t="s">
        <v>229</v>
      </c>
      <c r="X68" s="64" t="s">
        <v>229</v>
      </c>
      <c r="Y68" s="64" t="s">
        <v>229</v>
      </c>
      <c r="Z68" s="64" t="s">
        <v>229</v>
      </c>
      <c r="AA68" s="64" t="s">
        <v>229</v>
      </c>
      <c r="AB68" s="64" t="s">
        <v>229</v>
      </c>
      <c r="AC68" s="64" t="s">
        <v>229</v>
      </c>
      <c r="AD68" s="64" t="s">
        <v>229</v>
      </c>
      <c r="AE68" s="64" t="s">
        <v>229</v>
      </c>
      <c r="AF68" s="64" t="s">
        <v>229</v>
      </c>
      <c r="AG68" s="64" t="s">
        <v>229</v>
      </c>
      <c r="AH68" s="64" t="s">
        <v>229</v>
      </c>
      <c r="AI68" s="64" t="s">
        <v>229</v>
      </c>
      <c r="AJ68" s="64" t="s">
        <v>229</v>
      </c>
      <c r="AK68" s="64" t="s">
        <v>229</v>
      </c>
      <c r="AL68" s="64" t="s">
        <v>229</v>
      </c>
      <c r="AM68" s="64" t="s">
        <v>229</v>
      </c>
      <c r="AN68" s="64" t="s">
        <v>229</v>
      </c>
      <c r="AO68" s="64" t="s">
        <v>229</v>
      </c>
      <c r="AP68" s="64" t="s">
        <v>229</v>
      </c>
      <c r="AQ68" s="64" t="s">
        <v>229</v>
      </c>
      <c r="AR68" s="64" t="s">
        <v>229</v>
      </c>
      <c r="AS68" s="64" t="s">
        <v>229</v>
      </c>
      <c r="AT68" s="64" t="s">
        <v>229</v>
      </c>
      <c r="AU68" s="64" t="s">
        <v>229</v>
      </c>
      <c r="AV68" s="64" t="s">
        <v>229</v>
      </c>
      <c r="AW68" s="64" t="s">
        <v>229</v>
      </c>
      <c r="AX68" s="64" t="s">
        <v>229</v>
      </c>
      <c r="AY68" s="64" t="s">
        <v>229</v>
      </c>
      <c r="AZ68" s="64" t="s">
        <v>229</v>
      </c>
      <c r="BA68" s="64" t="s">
        <v>229</v>
      </c>
      <c r="BB68" s="64" t="s">
        <v>229</v>
      </c>
      <c r="BC68" s="64" t="s">
        <v>229</v>
      </c>
      <c r="BD68" s="64" t="s">
        <v>229</v>
      </c>
      <c r="BE68" s="64" t="s">
        <v>229</v>
      </c>
      <c r="BF68" s="64" t="s">
        <v>229</v>
      </c>
      <c r="BG68" s="64" t="s">
        <v>229</v>
      </c>
      <c r="BH68" s="64" t="s">
        <v>229</v>
      </c>
      <c r="BI68" s="64" t="s">
        <v>229</v>
      </c>
      <c r="BJ68" s="64" t="s">
        <v>229</v>
      </c>
      <c r="BK68" s="64" t="s">
        <v>229</v>
      </c>
      <c r="BL68" s="64" t="s">
        <v>229</v>
      </c>
      <c r="BM68" s="64" t="s">
        <v>229</v>
      </c>
      <c r="BN68" s="64" t="s">
        <v>229</v>
      </c>
      <c r="BO68" s="64" t="s">
        <v>229</v>
      </c>
      <c r="BP68" s="64" t="s">
        <v>229</v>
      </c>
      <c r="BQ68" s="64" t="s">
        <v>229</v>
      </c>
      <c r="BR68" s="64" t="s">
        <v>229</v>
      </c>
      <c r="BS68" s="64" t="s">
        <v>229</v>
      </c>
      <c r="BT68" s="64" t="s">
        <v>229</v>
      </c>
      <c r="BU68" s="64" t="s">
        <v>229</v>
      </c>
      <c r="BV68" s="64" t="s">
        <v>229</v>
      </c>
      <c r="BW68" s="64" t="s">
        <v>229</v>
      </c>
      <c r="BX68" s="64" t="s">
        <v>229</v>
      </c>
      <c r="BY68" s="64" t="s">
        <v>229</v>
      </c>
      <c r="BZ68" s="64" t="s">
        <v>229</v>
      </c>
      <c r="CA68" s="64" t="s">
        <v>229</v>
      </c>
      <c r="CB68" s="64" t="s">
        <v>229</v>
      </c>
      <c r="CC68" s="64" t="s">
        <v>229</v>
      </c>
      <c r="CD68" s="64" t="s">
        <v>229</v>
      </c>
      <c r="CE68" s="64" t="s">
        <v>229</v>
      </c>
      <c r="CF68" s="64" t="s">
        <v>229</v>
      </c>
      <c r="CG68" s="64" t="s">
        <v>229</v>
      </c>
      <c r="CH68" s="64" t="s">
        <v>229</v>
      </c>
      <c r="CI68" s="64" t="s">
        <v>229</v>
      </c>
      <c r="CJ68" s="64" t="s">
        <v>229</v>
      </c>
      <c r="CK68" s="64" t="s">
        <v>229</v>
      </c>
      <c r="CL68" s="64" t="s">
        <v>229</v>
      </c>
      <c r="CM68" s="64" t="s">
        <v>229</v>
      </c>
      <c r="CN68" s="64" t="s">
        <v>229</v>
      </c>
      <c r="CO68" s="64" t="s">
        <v>229</v>
      </c>
      <c r="CP68" s="64" t="s">
        <v>229</v>
      </c>
      <c r="CQ68" s="64" t="s">
        <v>229</v>
      </c>
      <c r="CR68" s="64" t="s">
        <v>229</v>
      </c>
      <c r="CS68" s="64" t="s">
        <v>229</v>
      </c>
      <c r="CT68" s="64" t="s">
        <v>229</v>
      </c>
      <c r="CU68" s="64" t="s">
        <v>229</v>
      </c>
      <c r="CV68" s="64" t="s">
        <v>229</v>
      </c>
      <c r="CW68" s="64" t="s">
        <v>229</v>
      </c>
      <c r="CX68" s="64" t="s">
        <v>229</v>
      </c>
      <c r="CY68" s="64" t="s">
        <v>229</v>
      </c>
      <c r="CZ68" s="64" t="s">
        <v>229</v>
      </c>
      <c r="DA68" s="64" t="s">
        <v>229</v>
      </c>
      <c r="DB68" s="64" t="s">
        <v>229</v>
      </c>
      <c r="DC68" s="64" t="s">
        <v>229</v>
      </c>
      <c r="DD68" s="64"/>
      <c r="DE68" s="65"/>
    </row>
    <row r="69" spans="1:109" x14ac:dyDescent="0.2">
      <c r="A69" s="66">
        <v>1822</v>
      </c>
      <c r="B69" s="67" t="s">
        <v>301</v>
      </c>
      <c r="C69" s="68" t="s">
        <v>203</v>
      </c>
      <c r="D69" s="68" t="s">
        <v>231</v>
      </c>
      <c r="E69" s="68" t="s">
        <v>226</v>
      </c>
      <c r="F69" s="68"/>
      <c r="G69" s="69"/>
      <c r="H69" s="68"/>
      <c r="I69" s="66" t="s">
        <v>238</v>
      </c>
      <c r="J69" s="66"/>
      <c r="K69" s="66"/>
      <c r="L69" s="66"/>
      <c r="M69" s="66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 t="s">
        <v>229</v>
      </c>
      <c r="BX69" s="70" t="s">
        <v>229</v>
      </c>
      <c r="BY69" s="70" t="s">
        <v>229</v>
      </c>
      <c r="BZ69" s="70" t="s">
        <v>229</v>
      </c>
      <c r="CA69" s="70" t="s">
        <v>229</v>
      </c>
      <c r="CB69" s="70" t="s">
        <v>229</v>
      </c>
      <c r="CC69" s="70"/>
      <c r="CD69" s="70" t="s">
        <v>229</v>
      </c>
      <c r="CE69" s="70" t="s">
        <v>229</v>
      </c>
      <c r="CF69" s="70" t="s">
        <v>229</v>
      </c>
      <c r="CG69" s="70" t="s">
        <v>229</v>
      </c>
      <c r="CH69" s="70" t="s">
        <v>229</v>
      </c>
      <c r="CI69" s="70" t="s">
        <v>229</v>
      </c>
      <c r="CJ69" s="70" t="s">
        <v>229</v>
      </c>
      <c r="CK69" s="70"/>
      <c r="CL69" s="70"/>
      <c r="CM69" s="70"/>
      <c r="CN69" s="70" t="s">
        <v>229</v>
      </c>
      <c r="CO69" s="70" t="s">
        <v>229</v>
      </c>
      <c r="CP69" s="70" t="s">
        <v>229</v>
      </c>
      <c r="CQ69" s="70" t="s">
        <v>229</v>
      </c>
      <c r="CR69" s="70" t="s">
        <v>229</v>
      </c>
      <c r="CS69" s="70" t="s">
        <v>229</v>
      </c>
      <c r="CT69" s="70" t="s">
        <v>229</v>
      </c>
      <c r="CU69" s="70" t="s">
        <v>229</v>
      </c>
      <c r="CV69" s="70" t="s">
        <v>229</v>
      </c>
      <c r="CW69" s="70" t="s">
        <v>229</v>
      </c>
      <c r="CX69" s="70" t="s">
        <v>229</v>
      </c>
      <c r="CY69" s="70" t="s">
        <v>229</v>
      </c>
      <c r="CZ69" s="70"/>
      <c r="DA69" s="70" t="s">
        <v>229</v>
      </c>
      <c r="DB69" s="70"/>
      <c r="DC69" s="70"/>
      <c r="DD69" s="70"/>
      <c r="DE69" s="1"/>
    </row>
    <row r="70" spans="1:109" x14ac:dyDescent="0.2">
      <c r="A70" s="59">
        <v>1081</v>
      </c>
      <c r="B70" s="60" t="s">
        <v>302</v>
      </c>
      <c r="C70" s="61" t="s">
        <v>203</v>
      </c>
      <c r="D70" s="61" t="s">
        <v>231</v>
      </c>
      <c r="E70" s="61" t="s">
        <v>237</v>
      </c>
      <c r="F70" s="61"/>
      <c r="G70" s="62"/>
      <c r="H70" s="61"/>
      <c r="I70" s="63" t="s">
        <v>238</v>
      </c>
      <c r="J70" s="63"/>
      <c r="K70" s="63"/>
      <c r="L70" s="63">
        <v>1</v>
      </c>
      <c r="M70" s="63" t="s">
        <v>241</v>
      </c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 t="s">
        <v>229</v>
      </c>
      <c r="BX70" s="64" t="s">
        <v>229</v>
      </c>
      <c r="BY70" s="64" t="s">
        <v>229</v>
      </c>
      <c r="BZ70" s="64" t="s">
        <v>229</v>
      </c>
      <c r="CA70" s="64" t="s">
        <v>229</v>
      </c>
      <c r="CB70" s="64" t="s">
        <v>229</v>
      </c>
      <c r="CC70" s="64" t="s">
        <v>229</v>
      </c>
      <c r="CD70" s="64" t="s">
        <v>229</v>
      </c>
      <c r="CE70" s="64" t="s">
        <v>229</v>
      </c>
      <c r="CF70" s="64" t="s">
        <v>229</v>
      </c>
      <c r="CG70" s="64" t="s">
        <v>229</v>
      </c>
      <c r="CH70" s="64" t="s">
        <v>229</v>
      </c>
      <c r="CI70" s="64" t="s">
        <v>229</v>
      </c>
      <c r="CJ70" s="64"/>
      <c r="CK70" s="64" t="s">
        <v>229</v>
      </c>
      <c r="CL70" s="64" t="s">
        <v>229</v>
      </c>
      <c r="CM70" s="64"/>
      <c r="CN70" s="64" t="s">
        <v>229</v>
      </c>
      <c r="CO70" s="64"/>
      <c r="CP70" s="64" t="s">
        <v>229</v>
      </c>
      <c r="CQ70" s="64" t="s">
        <v>229</v>
      </c>
      <c r="CR70" s="64" t="s">
        <v>229</v>
      </c>
      <c r="CS70" s="64" t="s">
        <v>229</v>
      </c>
      <c r="CT70" s="64"/>
      <c r="CU70" s="64" t="s">
        <v>229</v>
      </c>
      <c r="CV70" s="64" t="s">
        <v>229</v>
      </c>
      <c r="CW70" s="64" t="s">
        <v>229</v>
      </c>
      <c r="CX70" s="64" t="s">
        <v>229</v>
      </c>
      <c r="CY70" s="64" t="s">
        <v>229</v>
      </c>
      <c r="CZ70" s="64" t="s">
        <v>229</v>
      </c>
      <c r="DA70" s="64" t="s">
        <v>229</v>
      </c>
      <c r="DB70" s="64" t="s">
        <v>229</v>
      </c>
      <c r="DC70" s="64" t="s">
        <v>229</v>
      </c>
      <c r="DD70" s="64"/>
      <c r="DE70" s="65"/>
    </row>
    <row r="71" spans="1:109" x14ac:dyDescent="0.2">
      <c r="A71" s="66">
        <v>1073</v>
      </c>
      <c r="B71" s="67" t="s">
        <v>303</v>
      </c>
      <c r="C71" s="68" t="s">
        <v>203</v>
      </c>
      <c r="D71" s="68" t="s">
        <v>231</v>
      </c>
      <c r="E71" s="68" t="s">
        <v>226</v>
      </c>
      <c r="F71" s="68"/>
      <c r="G71" s="69"/>
      <c r="H71" s="68"/>
      <c r="I71" s="66" t="s">
        <v>238</v>
      </c>
      <c r="J71" s="66"/>
      <c r="K71" s="66"/>
      <c r="L71" s="66">
        <v>1</v>
      </c>
      <c r="M71" s="66" t="s">
        <v>239</v>
      </c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 t="s">
        <v>229</v>
      </c>
      <c r="BX71" s="70" t="s">
        <v>229</v>
      </c>
      <c r="BY71" s="70" t="s">
        <v>229</v>
      </c>
      <c r="BZ71" s="70" t="s">
        <v>229</v>
      </c>
      <c r="CA71" s="70" t="s">
        <v>229</v>
      </c>
      <c r="CB71" s="70" t="s">
        <v>229</v>
      </c>
      <c r="CC71" s="70"/>
      <c r="CD71" s="70" t="s">
        <v>229</v>
      </c>
      <c r="CE71" s="70" t="s">
        <v>229</v>
      </c>
      <c r="CF71" s="70" t="s">
        <v>229</v>
      </c>
      <c r="CG71" s="70" t="s">
        <v>229</v>
      </c>
      <c r="CH71" s="70" t="s">
        <v>229</v>
      </c>
      <c r="CI71" s="70" t="s">
        <v>229</v>
      </c>
      <c r="CJ71" s="70" t="s">
        <v>229</v>
      </c>
      <c r="CK71" s="70"/>
      <c r="CL71" s="70"/>
      <c r="CM71" s="70"/>
      <c r="CN71" s="70" t="s">
        <v>229</v>
      </c>
      <c r="CO71" s="70" t="s">
        <v>229</v>
      </c>
      <c r="CP71" s="70" t="s">
        <v>229</v>
      </c>
      <c r="CQ71" s="70" t="s">
        <v>229</v>
      </c>
      <c r="CR71" s="70" t="s">
        <v>229</v>
      </c>
      <c r="CS71" s="70" t="s">
        <v>229</v>
      </c>
      <c r="CT71" s="70" t="s">
        <v>229</v>
      </c>
      <c r="CU71" s="70" t="s">
        <v>229</v>
      </c>
      <c r="CV71" s="70" t="s">
        <v>229</v>
      </c>
      <c r="CW71" s="70" t="s">
        <v>229</v>
      </c>
      <c r="CX71" s="70" t="s">
        <v>229</v>
      </c>
      <c r="CY71" s="70" t="s">
        <v>229</v>
      </c>
      <c r="CZ71" s="70"/>
      <c r="DA71" s="70" t="s">
        <v>229</v>
      </c>
      <c r="DB71" s="70"/>
      <c r="DC71" s="70"/>
      <c r="DD71" s="70"/>
      <c r="DE71" s="1"/>
    </row>
    <row r="72" spans="1:109" x14ac:dyDescent="0.2">
      <c r="A72" s="59">
        <v>1812</v>
      </c>
      <c r="B72" s="60" t="s">
        <v>304</v>
      </c>
      <c r="C72" s="61" t="s">
        <v>200</v>
      </c>
      <c r="D72" s="61" t="s">
        <v>225</v>
      </c>
      <c r="E72" s="61" t="s">
        <v>226</v>
      </c>
      <c r="F72" s="61"/>
      <c r="G72" s="62"/>
      <c r="H72" s="61"/>
      <c r="I72" s="63" t="s">
        <v>227</v>
      </c>
      <c r="J72" s="63"/>
      <c r="K72" s="63">
        <v>1</v>
      </c>
      <c r="L72" s="63">
        <v>1</v>
      </c>
      <c r="M72" s="63" t="s">
        <v>248</v>
      </c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 t="s">
        <v>229</v>
      </c>
      <c r="AS72" s="64" t="s">
        <v>229</v>
      </c>
      <c r="AT72" s="64" t="s">
        <v>229</v>
      </c>
      <c r="AU72" s="64" t="s">
        <v>229</v>
      </c>
      <c r="AV72" s="64" t="s">
        <v>229</v>
      </c>
      <c r="AW72" s="64" t="s">
        <v>229</v>
      </c>
      <c r="AX72" s="64" t="s">
        <v>229</v>
      </c>
      <c r="AY72" s="64" t="s">
        <v>229</v>
      </c>
      <c r="AZ72" s="64" t="s">
        <v>229</v>
      </c>
      <c r="BA72" s="64" t="s">
        <v>229</v>
      </c>
      <c r="BB72" s="64" t="s">
        <v>229</v>
      </c>
      <c r="BC72" s="64" t="s">
        <v>229</v>
      </c>
      <c r="BD72" s="64" t="s">
        <v>229</v>
      </c>
      <c r="BE72" s="64" t="s">
        <v>229</v>
      </c>
      <c r="BF72" s="64" t="s">
        <v>229</v>
      </c>
      <c r="BG72" s="64" t="s">
        <v>229</v>
      </c>
      <c r="BH72" s="64" t="s">
        <v>229</v>
      </c>
      <c r="BI72" s="64" t="s">
        <v>229</v>
      </c>
      <c r="BJ72" s="64" t="s">
        <v>229</v>
      </c>
      <c r="BK72" s="64" t="s">
        <v>229</v>
      </c>
      <c r="BL72" s="64" t="s">
        <v>229</v>
      </c>
      <c r="BM72" s="64" t="s">
        <v>229</v>
      </c>
      <c r="BN72" s="64" t="s">
        <v>229</v>
      </c>
      <c r="BO72" s="64" t="s">
        <v>229</v>
      </c>
      <c r="BP72" s="64" t="s">
        <v>229</v>
      </c>
      <c r="BQ72" s="64" t="s">
        <v>229</v>
      </c>
      <c r="BR72" s="64" t="s">
        <v>229</v>
      </c>
      <c r="BS72" s="64" t="s">
        <v>229</v>
      </c>
      <c r="BT72" s="64" t="s">
        <v>229</v>
      </c>
      <c r="BU72" s="64" t="s">
        <v>229</v>
      </c>
      <c r="BV72" s="64" t="s">
        <v>229</v>
      </c>
      <c r="BW72" s="64" t="s">
        <v>229</v>
      </c>
      <c r="BX72" s="64" t="s">
        <v>229</v>
      </c>
      <c r="BY72" s="64" t="s">
        <v>229</v>
      </c>
      <c r="BZ72" s="64" t="s">
        <v>229</v>
      </c>
      <c r="CA72" s="64" t="s">
        <v>229</v>
      </c>
      <c r="CB72" s="64" t="s">
        <v>229</v>
      </c>
      <c r="CC72" s="64" t="s">
        <v>229</v>
      </c>
      <c r="CD72" s="64" t="s">
        <v>229</v>
      </c>
      <c r="CE72" s="64" t="s">
        <v>229</v>
      </c>
      <c r="CF72" s="64" t="s">
        <v>229</v>
      </c>
      <c r="CG72" s="64" t="s">
        <v>229</v>
      </c>
      <c r="CH72" s="64" t="s">
        <v>229</v>
      </c>
      <c r="CI72" s="64" t="s">
        <v>229</v>
      </c>
      <c r="CJ72" s="64" t="s">
        <v>229</v>
      </c>
      <c r="CK72" s="64" t="s">
        <v>229</v>
      </c>
      <c r="CL72" s="64" t="s">
        <v>229</v>
      </c>
      <c r="CM72" s="64" t="s">
        <v>229</v>
      </c>
      <c r="CN72" s="64" t="s">
        <v>229</v>
      </c>
      <c r="CO72" s="64" t="s">
        <v>229</v>
      </c>
      <c r="CP72" s="64" t="s">
        <v>229</v>
      </c>
      <c r="CQ72" s="64" t="s">
        <v>229</v>
      </c>
      <c r="CR72" s="64" t="s">
        <v>229</v>
      </c>
      <c r="CS72" s="64" t="s">
        <v>229</v>
      </c>
      <c r="CT72" s="64" t="s">
        <v>229</v>
      </c>
      <c r="CU72" s="64" t="s">
        <v>229</v>
      </c>
      <c r="CV72" s="64" t="s">
        <v>229</v>
      </c>
      <c r="CW72" s="64" t="s">
        <v>229</v>
      </c>
      <c r="CX72" s="64" t="s">
        <v>229</v>
      </c>
      <c r="CY72" s="64" t="s">
        <v>229</v>
      </c>
      <c r="CZ72" s="64" t="s">
        <v>229</v>
      </c>
      <c r="DA72" s="64" t="s">
        <v>229</v>
      </c>
      <c r="DB72" s="64" t="s">
        <v>229</v>
      </c>
      <c r="DC72" s="64" t="s">
        <v>229</v>
      </c>
      <c r="DD72" s="64"/>
      <c r="DE72" s="65"/>
    </row>
    <row r="73" spans="1:109" x14ac:dyDescent="0.2">
      <c r="A73" s="59">
        <v>1156</v>
      </c>
      <c r="B73" s="60" t="s">
        <v>305</v>
      </c>
      <c r="C73" s="61" t="s">
        <v>200</v>
      </c>
      <c r="D73" s="61" t="s">
        <v>225</v>
      </c>
      <c r="E73" s="61" t="s">
        <v>226</v>
      </c>
      <c r="F73" s="61"/>
      <c r="G73" s="62"/>
      <c r="H73" s="61"/>
      <c r="I73" s="63" t="s">
        <v>227</v>
      </c>
      <c r="J73" s="63"/>
      <c r="K73" s="63">
        <v>1</v>
      </c>
      <c r="L73" s="63">
        <v>1</v>
      </c>
      <c r="M73" s="63" t="s">
        <v>232</v>
      </c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 t="s">
        <v>229</v>
      </c>
      <c r="AS73" s="64" t="s">
        <v>229</v>
      </c>
      <c r="AT73" s="64" t="s">
        <v>229</v>
      </c>
      <c r="AU73" s="64" t="s">
        <v>229</v>
      </c>
      <c r="AV73" s="64" t="s">
        <v>229</v>
      </c>
      <c r="AW73" s="64" t="s">
        <v>229</v>
      </c>
      <c r="AX73" s="64" t="s">
        <v>229</v>
      </c>
      <c r="AY73" s="64" t="s">
        <v>229</v>
      </c>
      <c r="AZ73" s="64" t="s">
        <v>229</v>
      </c>
      <c r="BA73" s="64" t="s">
        <v>229</v>
      </c>
      <c r="BB73" s="64" t="s">
        <v>229</v>
      </c>
      <c r="BC73" s="64" t="s">
        <v>229</v>
      </c>
      <c r="BD73" s="64" t="s">
        <v>229</v>
      </c>
      <c r="BE73" s="64" t="s">
        <v>229</v>
      </c>
      <c r="BF73" s="64" t="s">
        <v>229</v>
      </c>
      <c r="BG73" s="64" t="s">
        <v>229</v>
      </c>
      <c r="BH73" s="64" t="s">
        <v>229</v>
      </c>
      <c r="BI73" s="64" t="s">
        <v>229</v>
      </c>
      <c r="BJ73" s="64" t="s">
        <v>229</v>
      </c>
      <c r="BK73" s="64" t="s">
        <v>229</v>
      </c>
      <c r="BL73" s="64" t="s">
        <v>229</v>
      </c>
      <c r="BM73" s="64" t="s">
        <v>229</v>
      </c>
      <c r="BN73" s="64" t="s">
        <v>229</v>
      </c>
      <c r="BO73" s="64" t="s">
        <v>229</v>
      </c>
      <c r="BP73" s="64" t="s">
        <v>229</v>
      </c>
      <c r="BQ73" s="64" t="s">
        <v>229</v>
      </c>
      <c r="BR73" s="64" t="s">
        <v>229</v>
      </c>
      <c r="BS73" s="64" t="s">
        <v>229</v>
      </c>
      <c r="BT73" s="64" t="s">
        <v>229</v>
      </c>
      <c r="BU73" s="64" t="s">
        <v>229</v>
      </c>
      <c r="BV73" s="64" t="s">
        <v>229</v>
      </c>
      <c r="BW73" s="64" t="s">
        <v>229</v>
      </c>
      <c r="BX73" s="64" t="s">
        <v>229</v>
      </c>
      <c r="BY73" s="64" t="s">
        <v>229</v>
      </c>
      <c r="BZ73" s="64" t="s">
        <v>229</v>
      </c>
      <c r="CA73" s="64" t="s">
        <v>229</v>
      </c>
      <c r="CB73" s="64" t="s">
        <v>229</v>
      </c>
      <c r="CC73" s="64" t="s">
        <v>229</v>
      </c>
      <c r="CD73" s="64" t="s">
        <v>229</v>
      </c>
      <c r="CE73" s="64" t="s">
        <v>229</v>
      </c>
      <c r="CF73" s="64" t="s">
        <v>229</v>
      </c>
      <c r="CG73" s="64" t="s">
        <v>229</v>
      </c>
      <c r="CH73" s="64" t="s">
        <v>229</v>
      </c>
      <c r="CI73" s="64" t="s">
        <v>229</v>
      </c>
      <c r="CJ73" s="64" t="s">
        <v>229</v>
      </c>
      <c r="CK73" s="64" t="s">
        <v>229</v>
      </c>
      <c r="CL73" s="64" t="s">
        <v>229</v>
      </c>
      <c r="CM73" s="64" t="s">
        <v>229</v>
      </c>
      <c r="CN73" s="64" t="s">
        <v>229</v>
      </c>
      <c r="CO73" s="64" t="s">
        <v>229</v>
      </c>
      <c r="CP73" s="64" t="s">
        <v>229</v>
      </c>
      <c r="CQ73" s="64" t="s">
        <v>229</v>
      </c>
      <c r="CR73" s="64" t="s">
        <v>229</v>
      </c>
      <c r="CS73" s="64" t="s">
        <v>229</v>
      </c>
      <c r="CT73" s="64" t="s">
        <v>229</v>
      </c>
      <c r="CU73" s="64" t="s">
        <v>229</v>
      </c>
      <c r="CV73" s="64" t="s">
        <v>229</v>
      </c>
      <c r="CW73" s="64" t="s">
        <v>229</v>
      </c>
      <c r="CX73" s="64" t="s">
        <v>229</v>
      </c>
      <c r="CY73" s="64" t="s">
        <v>229</v>
      </c>
      <c r="CZ73" s="64" t="s">
        <v>229</v>
      </c>
      <c r="DA73" s="64" t="s">
        <v>229</v>
      </c>
      <c r="DB73" s="64" t="s">
        <v>229</v>
      </c>
      <c r="DC73" s="64" t="s">
        <v>229</v>
      </c>
      <c r="DD73" s="64"/>
      <c r="DE73" s="65"/>
    </row>
    <row r="74" spans="1:109" x14ac:dyDescent="0.2">
      <c r="A74" s="59">
        <v>2604</v>
      </c>
      <c r="B74" s="60" t="s">
        <v>306</v>
      </c>
      <c r="C74" s="61" t="s">
        <v>200</v>
      </c>
      <c r="D74" s="61" t="s">
        <v>225</v>
      </c>
      <c r="E74" s="61" t="s">
        <v>226</v>
      </c>
      <c r="F74" s="61"/>
      <c r="G74" s="62"/>
      <c r="H74" s="61"/>
      <c r="I74" s="63" t="s">
        <v>238</v>
      </c>
      <c r="J74" s="63"/>
      <c r="K74" s="63">
        <v>1</v>
      </c>
      <c r="L74" s="63">
        <v>1</v>
      </c>
      <c r="M74" s="63" t="s">
        <v>241</v>
      </c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 t="s">
        <v>229</v>
      </c>
      <c r="AS74" s="64" t="s">
        <v>229</v>
      </c>
      <c r="AT74" s="64" t="s">
        <v>229</v>
      </c>
      <c r="AU74" s="64" t="s">
        <v>229</v>
      </c>
      <c r="AV74" s="64" t="s">
        <v>229</v>
      </c>
      <c r="AW74" s="64" t="s">
        <v>229</v>
      </c>
      <c r="AX74" s="64" t="s">
        <v>229</v>
      </c>
      <c r="AY74" s="64" t="s">
        <v>229</v>
      </c>
      <c r="AZ74" s="64" t="s">
        <v>229</v>
      </c>
      <c r="BA74" s="64" t="s">
        <v>229</v>
      </c>
      <c r="BB74" s="64" t="s">
        <v>229</v>
      </c>
      <c r="BC74" s="64" t="s">
        <v>229</v>
      </c>
      <c r="BD74" s="64" t="s">
        <v>229</v>
      </c>
      <c r="BE74" s="64" t="s">
        <v>229</v>
      </c>
      <c r="BF74" s="64" t="s">
        <v>229</v>
      </c>
      <c r="BG74" s="64" t="s">
        <v>229</v>
      </c>
      <c r="BH74" s="64" t="s">
        <v>229</v>
      </c>
      <c r="BI74" s="64" t="s">
        <v>229</v>
      </c>
      <c r="BJ74" s="64" t="s">
        <v>229</v>
      </c>
      <c r="BK74" s="64" t="s">
        <v>229</v>
      </c>
      <c r="BL74" s="64" t="s">
        <v>229</v>
      </c>
      <c r="BM74" s="64" t="s">
        <v>229</v>
      </c>
      <c r="BN74" s="64" t="s">
        <v>229</v>
      </c>
      <c r="BO74" s="64" t="s">
        <v>229</v>
      </c>
      <c r="BP74" s="64" t="s">
        <v>229</v>
      </c>
      <c r="BQ74" s="64" t="s">
        <v>229</v>
      </c>
      <c r="BR74" s="64" t="s">
        <v>229</v>
      </c>
      <c r="BS74" s="64" t="s">
        <v>229</v>
      </c>
      <c r="BT74" s="64" t="s">
        <v>229</v>
      </c>
      <c r="BU74" s="64" t="s">
        <v>229</v>
      </c>
      <c r="BV74" s="64" t="s">
        <v>229</v>
      </c>
      <c r="BW74" s="64" t="s">
        <v>229</v>
      </c>
      <c r="BX74" s="64" t="s">
        <v>229</v>
      </c>
      <c r="BY74" s="64" t="s">
        <v>229</v>
      </c>
      <c r="BZ74" s="64" t="s">
        <v>229</v>
      </c>
      <c r="CA74" s="64" t="s">
        <v>229</v>
      </c>
      <c r="CB74" s="64" t="s">
        <v>229</v>
      </c>
      <c r="CC74" s="64" t="s">
        <v>229</v>
      </c>
      <c r="CD74" s="64" t="s">
        <v>229</v>
      </c>
      <c r="CE74" s="64" t="s">
        <v>229</v>
      </c>
      <c r="CF74" s="64" t="s">
        <v>229</v>
      </c>
      <c r="CG74" s="64" t="s">
        <v>229</v>
      </c>
      <c r="CH74" s="64" t="s">
        <v>229</v>
      </c>
      <c r="CI74" s="64" t="s">
        <v>229</v>
      </c>
      <c r="CJ74" s="64" t="s">
        <v>229</v>
      </c>
      <c r="CK74" s="64" t="s">
        <v>229</v>
      </c>
      <c r="CL74" s="64" t="s">
        <v>229</v>
      </c>
      <c r="CM74" s="64" t="s">
        <v>229</v>
      </c>
      <c r="CN74" s="64" t="s">
        <v>229</v>
      </c>
      <c r="CO74" s="64" t="s">
        <v>229</v>
      </c>
      <c r="CP74" s="64" t="s">
        <v>229</v>
      </c>
      <c r="CQ74" s="64" t="s">
        <v>229</v>
      </c>
      <c r="CR74" s="64" t="s">
        <v>229</v>
      </c>
      <c r="CS74" s="64" t="s">
        <v>229</v>
      </c>
      <c r="CT74" s="64" t="s">
        <v>229</v>
      </c>
      <c r="CU74" s="64" t="s">
        <v>229</v>
      </c>
      <c r="CV74" s="64" t="s">
        <v>229</v>
      </c>
      <c r="CW74" s="64" t="s">
        <v>229</v>
      </c>
      <c r="CX74" s="64" t="s">
        <v>229</v>
      </c>
      <c r="CY74" s="64" t="s">
        <v>229</v>
      </c>
      <c r="CZ74" s="64" t="s">
        <v>229</v>
      </c>
      <c r="DA74" s="64" t="s">
        <v>229</v>
      </c>
      <c r="DB74" s="64" t="s">
        <v>229</v>
      </c>
      <c r="DC74" s="64" t="s">
        <v>229</v>
      </c>
      <c r="DD74" s="64" t="s">
        <v>229</v>
      </c>
      <c r="DE74" s="65"/>
    </row>
    <row r="75" spans="1:109" x14ac:dyDescent="0.2">
      <c r="A75" s="59">
        <v>3351</v>
      </c>
      <c r="B75" s="60" t="s">
        <v>307</v>
      </c>
      <c r="C75" s="61" t="s">
        <v>203</v>
      </c>
      <c r="D75" s="61" t="s">
        <v>225</v>
      </c>
      <c r="E75" s="61" t="s">
        <v>226</v>
      </c>
      <c r="F75" s="61"/>
      <c r="G75" s="62"/>
      <c r="H75" s="61"/>
      <c r="I75" s="63" t="s">
        <v>238</v>
      </c>
      <c r="J75" s="63"/>
      <c r="K75" s="63"/>
      <c r="L75" s="63"/>
      <c r="M75" s="63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 t="s">
        <v>229</v>
      </c>
      <c r="BX75" s="64" t="s">
        <v>229</v>
      </c>
      <c r="BY75" s="64" t="s">
        <v>229</v>
      </c>
      <c r="BZ75" s="64" t="s">
        <v>229</v>
      </c>
      <c r="CA75" s="64" t="s">
        <v>229</v>
      </c>
      <c r="CB75" s="64" t="s">
        <v>229</v>
      </c>
      <c r="CC75" s="64" t="s">
        <v>229</v>
      </c>
      <c r="CD75" s="64" t="s">
        <v>229</v>
      </c>
      <c r="CE75" s="64" t="s">
        <v>229</v>
      </c>
      <c r="CF75" s="64" t="s">
        <v>229</v>
      </c>
      <c r="CG75" s="64" t="s">
        <v>229</v>
      </c>
      <c r="CH75" s="64" t="s">
        <v>229</v>
      </c>
      <c r="CI75" s="64" t="s">
        <v>229</v>
      </c>
      <c r="CJ75" s="64" t="s">
        <v>229</v>
      </c>
      <c r="CK75" s="64" t="s">
        <v>229</v>
      </c>
      <c r="CL75" s="64" t="s">
        <v>229</v>
      </c>
      <c r="CM75" s="64"/>
      <c r="CN75" s="64" t="s">
        <v>229</v>
      </c>
      <c r="CO75" s="64" t="s">
        <v>229</v>
      </c>
      <c r="CP75" s="64" t="s">
        <v>229</v>
      </c>
      <c r="CQ75" s="64" t="s">
        <v>229</v>
      </c>
      <c r="CR75" s="64" t="s">
        <v>229</v>
      </c>
      <c r="CS75" s="64" t="s">
        <v>229</v>
      </c>
      <c r="CT75" s="64" t="s">
        <v>229</v>
      </c>
      <c r="CU75" s="64" t="s">
        <v>229</v>
      </c>
      <c r="CV75" s="64" t="s">
        <v>229</v>
      </c>
      <c r="CW75" s="64" t="s">
        <v>229</v>
      </c>
      <c r="CX75" s="64" t="s">
        <v>229</v>
      </c>
      <c r="CY75" s="64" t="s">
        <v>229</v>
      </c>
      <c r="CZ75" s="64" t="s">
        <v>229</v>
      </c>
      <c r="DA75" s="64" t="s">
        <v>229</v>
      </c>
      <c r="DB75" s="64" t="s">
        <v>229</v>
      </c>
      <c r="DC75" s="64" t="s">
        <v>229</v>
      </c>
      <c r="DD75" s="64"/>
      <c r="DE75" s="65"/>
    </row>
    <row r="76" spans="1:109" x14ac:dyDescent="0.2">
      <c r="A76" s="59">
        <v>2242</v>
      </c>
      <c r="B76" s="60" t="s">
        <v>308</v>
      </c>
      <c r="C76" s="61" t="s">
        <v>100</v>
      </c>
      <c r="D76" s="61" t="s">
        <v>225</v>
      </c>
      <c r="E76" s="61" t="s">
        <v>237</v>
      </c>
      <c r="F76" s="61"/>
      <c r="G76" s="62"/>
      <c r="H76" s="61"/>
      <c r="I76" s="63" t="s">
        <v>227</v>
      </c>
      <c r="J76" s="63">
        <v>1</v>
      </c>
      <c r="K76" s="63">
        <v>1</v>
      </c>
      <c r="L76" s="63">
        <v>1</v>
      </c>
      <c r="M76" s="63" t="s">
        <v>232</v>
      </c>
      <c r="N76" s="64" t="s">
        <v>229</v>
      </c>
      <c r="O76" s="64" t="s">
        <v>229</v>
      </c>
      <c r="P76" s="64" t="s">
        <v>229</v>
      </c>
      <c r="Q76" s="64" t="s">
        <v>229</v>
      </c>
      <c r="R76" s="64" t="s">
        <v>229</v>
      </c>
      <c r="S76" s="64" t="s">
        <v>229</v>
      </c>
      <c r="T76" s="64" t="s">
        <v>229</v>
      </c>
      <c r="U76" s="64" t="s">
        <v>229</v>
      </c>
      <c r="V76" s="64" t="s">
        <v>229</v>
      </c>
      <c r="W76" s="64" t="s">
        <v>229</v>
      </c>
      <c r="X76" s="64" t="s">
        <v>229</v>
      </c>
      <c r="Y76" s="64" t="s">
        <v>229</v>
      </c>
      <c r="Z76" s="64" t="s">
        <v>229</v>
      </c>
      <c r="AA76" s="64" t="s">
        <v>229</v>
      </c>
      <c r="AB76" s="64" t="s">
        <v>229</v>
      </c>
      <c r="AC76" s="64" t="s">
        <v>229</v>
      </c>
      <c r="AD76" s="64" t="s">
        <v>229</v>
      </c>
      <c r="AE76" s="64" t="s">
        <v>229</v>
      </c>
      <c r="AF76" s="64" t="s">
        <v>229</v>
      </c>
      <c r="AG76" s="64" t="s">
        <v>229</v>
      </c>
      <c r="AH76" s="64" t="s">
        <v>229</v>
      </c>
      <c r="AI76" s="64" t="s">
        <v>229</v>
      </c>
      <c r="AJ76" s="64" t="s">
        <v>229</v>
      </c>
      <c r="AK76" s="64" t="s">
        <v>229</v>
      </c>
      <c r="AL76" s="64" t="s">
        <v>229</v>
      </c>
      <c r="AM76" s="64" t="s">
        <v>229</v>
      </c>
      <c r="AN76" s="64" t="s">
        <v>229</v>
      </c>
      <c r="AO76" s="64" t="s">
        <v>229</v>
      </c>
      <c r="AP76" s="64" t="s">
        <v>229</v>
      </c>
      <c r="AQ76" s="64" t="s">
        <v>229</v>
      </c>
      <c r="AR76" s="64" t="s">
        <v>229</v>
      </c>
      <c r="AS76" s="64" t="s">
        <v>229</v>
      </c>
      <c r="AT76" s="64" t="s">
        <v>229</v>
      </c>
      <c r="AU76" s="64" t="s">
        <v>229</v>
      </c>
      <c r="AV76" s="64" t="s">
        <v>229</v>
      </c>
      <c r="AW76" s="64" t="s">
        <v>229</v>
      </c>
      <c r="AX76" s="64" t="s">
        <v>229</v>
      </c>
      <c r="AY76" s="64" t="s">
        <v>229</v>
      </c>
      <c r="AZ76" s="64" t="s">
        <v>229</v>
      </c>
      <c r="BA76" s="64" t="s">
        <v>229</v>
      </c>
      <c r="BB76" s="64" t="s">
        <v>229</v>
      </c>
      <c r="BC76" s="64" t="s">
        <v>229</v>
      </c>
      <c r="BD76" s="64" t="s">
        <v>229</v>
      </c>
      <c r="BE76" s="64" t="s">
        <v>229</v>
      </c>
      <c r="BF76" s="64" t="s">
        <v>229</v>
      </c>
      <c r="BG76" s="64" t="s">
        <v>229</v>
      </c>
      <c r="BH76" s="64" t="s">
        <v>229</v>
      </c>
      <c r="BI76" s="64" t="s">
        <v>229</v>
      </c>
      <c r="BJ76" s="64" t="s">
        <v>229</v>
      </c>
      <c r="BK76" s="64" t="s">
        <v>229</v>
      </c>
      <c r="BL76" s="64" t="s">
        <v>229</v>
      </c>
      <c r="BM76" s="64" t="s">
        <v>229</v>
      </c>
      <c r="BN76" s="64" t="s">
        <v>229</v>
      </c>
      <c r="BO76" s="64" t="s">
        <v>229</v>
      </c>
      <c r="BP76" s="64" t="s">
        <v>229</v>
      </c>
      <c r="BQ76" s="64" t="s">
        <v>229</v>
      </c>
      <c r="BR76" s="64" t="s">
        <v>229</v>
      </c>
      <c r="BS76" s="64" t="s">
        <v>229</v>
      </c>
      <c r="BT76" s="64" t="s">
        <v>229</v>
      </c>
      <c r="BU76" s="64" t="s">
        <v>229</v>
      </c>
      <c r="BV76" s="64" t="s">
        <v>229</v>
      </c>
      <c r="BW76" s="64" t="s">
        <v>229</v>
      </c>
      <c r="BX76" s="64" t="s">
        <v>229</v>
      </c>
      <c r="BY76" s="64" t="s">
        <v>229</v>
      </c>
      <c r="BZ76" s="64" t="s">
        <v>229</v>
      </c>
      <c r="CA76" s="64" t="s">
        <v>229</v>
      </c>
      <c r="CB76" s="64" t="s">
        <v>229</v>
      </c>
      <c r="CC76" s="64" t="s">
        <v>229</v>
      </c>
      <c r="CD76" s="64" t="s">
        <v>229</v>
      </c>
      <c r="CE76" s="64" t="s">
        <v>229</v>
      </c>
      <c r="CF76" s="64" t="s">
        <v>229</v>
      </c>
      <c r="CG76" s="64" t="s">
        <v>229</v>
      </c>
      <c r="CH76" s="64" t="s">
        <v>229</v>
      </c>
      <c r="CI76" s="64" t="s">
        <v>229</v>
      </c>
      <c r="CJ76" s="64" t="s">
        <v>229</v>
      </c>
      <c r="CK76" s="64" t="s">
        <v>229</v>
      </c>
      <c r="CL76" s="64" t="s">
        <v>229</v>
      </c>
      <c r="CM76" s="64" t="s">
        <v>229</v>
      </c>
      <c r="CN76" s="64" t="s">
        <v>229</v>
      </c>
      <c r="CO76" s="64" t="s">
        <v>229</v>
      </c>
      <c r="CP76" s="64" t="s">
        <v>229</v>
      </c>
      <c r="CQ76" s="64" t="s">
        <v>229</v>
      </c>
      <c r="CR76" s="64" t="s">
        <v>229</v>
      </c>
      <c r="CS76" s="64" t="s">
        <v>229</v>
      </c>
      <c r="CT76" s="64" t="s">
        <v>229</v>
      </c>
      <c r="CU76" s="64" t="s">
        <v>229</v>
      </c>
      <c r="CV76" s="64" t="s">
        <v>229</v>
      </c>
      <c r="CW76" s="64" t="s">
        <v>229</v>
      </c>
      <c r="CX76" s="64" t="s">
        <v>229</v>
      </c>
      <c r="CY76" s="64" t="s">
        <v>229</v>
      </c>
      <c r="CZ76" s="64" t="s">
        <v>229</v>
      </c>
      <c r="DA76" s="64" t="s">
        <v>229</v>
      </c>
      <c r="DB76" s="64" t="s">
        <v>229</v>
      </c>
      <c r="DC76" s="64" t="s">
        <v>229</v>
      </c>
      <c r="DD76" s="64"/>
      <c r="DE76" s="65"/>
    </row>
    <row r="77" spans="1:109" x14ac:dyDescent="0.2">
      <c r="A77" s="59">
        <v>235</v>
      </c>
      <c r="B77" s="60" t="s">
        <v>309</v>
      </c>
      <c r="C77" s="61" t="s">
        <v>100</v>
      </c>
      <c r="D77" s="61" t="s">
        <v>225</v>
      </c>
      <c r="E77" s="61" t="s">
        <v>226</v>
      </c>
      <c r="F77" s="61"/>
      <c r="G77" s="62"/>
      <c r="H77" s="61"/>
      <c r="I77" s="63" t="s">
        <v>227</v>
      </c>
      <c r="J77" s="63">
        <v>1</v>
      </c>
      <c r="K77" s="63">
        <v>1</v>
      </c>
      <c r="L77" s="63">
        <v>1</v>
      </c>
      <c r="M77" s="63" t="s">
        <v>232</v>
      </c>
      <c r="N77" s="64" t="s">
        <v>229</v>
      </c>
      <c r="O77" s="64" t="s">
        <v>229</v>
      </c>
      <c r="P77" s="64" t="s">
        <v>229</v>
      </c>
      <c r="Q77" s="64" t="s">
        <v>229</v>
      </c>
      <c r="R77" s="64" t="s">
        <v>229</v>
      </c>
      <c r="S77" s="64" t="s">
        <v>229</v>
      </c>
      <c r="T77" s="64" t="s">
        <v>229</v>
      </c>
      <c r="U77" s="64" t="s">
        <v>229</v>
      </c>
      <c r="V77" s="64" t="s">
        <v>229</v>
      </c>
      <c r="W77" s="64" t="s">
        <v>229</v>
      </c>
      <c r="X77" s="64" t="s">
        <v>229</v>
      </c>
      <c r="Y77" s="64" t="s">
        <v>229</v>
      </c>
      <c r="Z77" s="64" t="s">
        <v>229</v>
      </c>
      <c r="AA77" s="64" t="s">
        <v>229</v>
      </c>
      <c r="AB77" s="64" t="s">
        <v>229</v>
      </c>
      <c r="AC77" s="64" t="s">
        <v>229</v>
      </c>
      <c r="AD77" s="64" t="s">
        <v>229</v>
      </c>
      <c r="AE77" s="64" t="s">
        <v>229</v>
      </c>
      <c r="AF77" s="64" t="s">
        <v>229</v>
      </c>
      <c r="AG77" s="64" t="s">
        <v>229</v>
      </c>
      <c r="AH77" s="64" t="s">
        <v>229</v>
      </c>
      <c r="AI77" s="64" t="s">
        <v>229</v>
      </c>
      <c r="AJ77" s="64" t="s">
        <v>229</v>
      </c>
      <c r="AK77" s="64" t="s">
        <v>229</v>
      </c>
      <c r="AL77" s="64" t="s">
        <v>229</v>
      </c>
      <c r="AM77" s="64" t="s">
        <v>229</v>
      </c>
      <c r="AN77" s="64" t="s">
        <v>229</v>
      </c>
      <c r="AO77" s="64" t="s">
        <v>229</v>
      </c>
      <c r="AP77" s="64" t="s">
        <v>229</v>
      </c>
      <c r="AQ77" s="64" t="s">
        <v>229</v>
      </c>
      <c r="AR77" s="64" t="s">
        <v>229</v>
      </c>
      <c r="AS77" s="64" t="s">
        <v>229</v>
      </c>
      <c r="AT77" s="64" t="s">
        <v>229</v>
      </c>
      <c r="AU77" s="64" t="s">
        <v>229</v>
      </c>
      <c r="AV77" s="64" t="s">
        <v>229</v>
      </c>
      <c r="AW77" s="64" t="s">
        <v>229</v>
      </c>
      <c r="AX77" s="64" t="s">
        <v>229</v>
      </c>
      <c r="AY77" s="64" t="s">
        <v>229</v>
      </c>
      <c r="AZ77" s="64" t="s">
        <v>229</v>
      </c>
      <c r="BA77" s="64" t="s">
        <v>229</v>
      </c>
      <c r="BB77" s="64" t="s">
        <v>229</v>
      </c>
      <c r="BC77" s="64" t="s">
        <v>229</v>
      </c>
      <c r="BD77" s="64" t="s">
        <v>229</v>
      </c>
      <c r="BE77" s="64" t="s">
        <v>229</v>
      </c>
      <c r="BF77" s="64" t="s">
        <v>229</v>
      </c>
      <c r="BG77" s="64" t="s">
        <v>229</v>
      </c>
      <c r="BH77" s="64" t="s">
        <v>229</v>
      </c>
      <c r="BI77" s="64" t="s">
        <v>229</v>
      </c>
      <c r="BJ77" s="64" t="s">
        <v>229</v>
      </c>
      <c r="BK77" s="64" t="s">
        <v>229</v>
      </c>
      <c r="BL77" s="64" t="s">
        <v>229</v>
      </c>
      <c r="BM77" s="64" t="s">
        <v>229</v>
      </c>
      <c r="BN77" s="64" t="s">
        <v>229</v>
      </c>
      <c r="BO77" s="64" t="s">
        <v>229</v>
      </c>
      <c r="BP77" s="64" t="s">
        <v>229</v>
      </c>
      <c r="BQ77" s="64" t="s">
        <v>229</v>
      </c>
      <c r="BR77" s="64" t="s">
        <v>229</v>
      </c>
      <c r="BS77" s="64" t="s">
        <v>229</v>
      </c>
      <c r="BT77" s="64" t="s">
        <v>229</v>
      </c>
      <c r="BU77" s="64" t="s">
        <v>229</v>
      </c>
      <c r="BV77" s="64" t="s">
        <v>229</v>
      </c>
      <c r="BW77" s="64" t="s">
        <v>229</v>
      </c>
      <c r="BX77" s="64" t="s">
        <v>229</v>
      </c>
      <c r="BY77" s="64" t="s">
        <v>229</v>
      </c>
      <c r="BZ77" s="64" t="s">
        <v>229</v>
      </c>
      <c r="CA77" s="64" t="s">
        <v>229</v>
      </c>
      <c r="CB77" s="64" t="s">
        <v>229</v>
      </c>
      <c r="CC77" s="64" t="s">
        <v>229</v>
      </c>
      <c r="CD77" s="64" t="s">
        <v>229</v>
      </c>
      <c r="CE77" s="64" t="s">
        <v>229</v>
      </c>
      <c r="CF77" s="64" t="s">
        <v>229</v>
      </c>
      <c r="CG77" s="64" t="s">
        <v>229</v>
      </c>
      <c r="CH77" s="64" t="s">
        <v>229</v>
      </c>
      <c r="CI77" s="64" t="s">
        <v>229</v>
      </c>
      <c r="CJ77" s="64" t="s">
        <v>229</v>
      </c>
      <c r="CK77" s="64" t="s">
        <v>229</v>
      </c>
      <c r="CL77" s="64" t="s">
        <v>229</v>
      </c>
      <c r="CM77" s="64" t="s">
        <v>229</v>
      </c>
      <c r="CN77" s="64" t="s">
        <v>229</v>
      </c>
      <c r="CO77" s="64" t="s">
        <v>229</v>
      </c>
      <c r="CP77" s="64" t="s">
        <v>229</v>
      </c>
      <c r="CQ77" s="64" t="s">
        <v>229</v>
      </c>
      <c r="CR77" s="64" t="s">
        <v>229</v>
      </c>
      <c r="CS77" s="64" t="s">
        <v>229</v>
      </c>
      <c r="CT77" s="64" t="s">
        <v>229</v>
      </c>
      <c r="CU77" s="64" t="s">
        <v>229</v>
      </c>
      <c r="CV77" s="64" t="s">
        <v>229</v>
      </c>
      <c r="CW77" s="64" t="s">
        <v>229</v>
      </c>
      <c r="CX77" s="64" t="s">
        <v>229</v>
      </c>
      <c r="CY77" s="64" t="s">
        <v>229</v>
      </c>
      <c r="CZ77" s="64" t="s">
        <v>229</v>
      </c>
      <c r="DA77" s="64" t="s">
        <v>229</v>
      </c>
      <c r="DB77" s="64" t="s">
        <v>229</v>
      </c>
      <c r="DC77" s="64" t="s">
        <v>229</v>
      </c>
      <c r="DD77" s="64" t="s">
        <v>229</v>
      </c>
      <c r="DE77" s="65"/>
    </row>
    <row r="78" spans="1:109" x14ac:dyDescent="0.2">
      <c r="A78" s="59">
        <v>1085</v>
      </c>
      <c r="B78" s="60" t="s">
        <v>310</v>
      </c>
      <c r="C78" s="61" t="s">
        <v>200</v>
      </c>
      <c r="D78" s="61" t="s">
        <v>225</v>
      </c>
      <c r="E78" s="61" t="s">
        <v>226</v>
      </c>
      <c r="F78" s="61"/>
      <c r="G78" s="62"/>
      <c r="H78" s="61"/>
      <c r="I78" s="63" t="s">
        <v>238</v>
      </c>
      <c r="J78" s="63"/>
      <c r="K78" s="63">
        <v>1</v>
      </c>
      <c r="L78" s="63">
        <v>1</v>
      </c>
      <c r="M78" s="63" t="s">
        <v>241</v>
      </c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 t="s">
        <v>229</v>
      </c>
      <c r="AS78" s="64" t="s">
        <v>229</v>
      </c>
      <c r="AT78" s="64" t="s">
        <v>229</v>
      </c>
      <c r="AU78" s="64" t="s">
        <v>229</v>
      </c>
      <c r="AV78" s="64" t="s">
        <v>229</v>
      </c>
      <c r="AW78" s="64" t="s">
        <v>229</v>
      </c>
      <c r="AX78" s="64" t="s">
        <v>229</v>
      </c>
      <c r="AY78" s="64" t="s">
        <v>229</v>
      </c>
      <c r="AZ78" s="64" t="s">
        <v>229</v>
      </c>
      <c r="BA78" s="64" t="s">
        <v>229</v>
      </c>
      <c r="BB78" s="64" t="s">
        <v>229</v>
      </c>
      <c r="BC78" s="64" t="s">
        <v>229</v>
      </c>
      <c r="BD78" s="64" t="s">
        <v>229</v>
      </c>
      <c r="BE78" s="64" t="s">
        <v>229</v>
      </c>
      <c r="BF78" s="64" t="s">
        <v>229</v>
      </c>
      <c r="BG78" s="64" t="s">
        <v>229</v>
      </c>
      <c r="BH78" s="64" t="s">
        <v>229</v>
      </c>
      <c r="BI78" s="64" t="s">
        <v>229</v>
      </c>
      <c r="BJ78" s="64" t="s">
        <v>229</v>
      </c>
      <c r="BK78" s="64" t="s">
        <v>229</v>
      </c>
      <c r="BL78" s="64" t="s">
        <v>229</v>
      </c>
      <c r="BM78" s="64" t="s">
        <v>229</v>
      </c>
      <c r="BN78" s="64" t="s">
        <v>229</v>
      </c>
      <c r="BO78" s="64" t="s">
        <v>229</v>
      </c>
      <c r="BP78" s="64" t="s">
        <v>229</v>
      </c>
      <c r="BQ78" s="64" t="s">
        <v>229</v>
      </c>
      <c r="BR78" s="64" t="s">
        <v>229</v>
      </c>
      <c r="BS78" s="64" t="s">
        <v>229</v>
      </c>
      <c r="BT78" s="64" t="s">
        <v>229</v>
      </c>
      <c r="BU78" s="64" t="s">
        <v>229</v>
      </c>
      <c r="BV78" s="64" t="s">
        <v>229</v>
      </c>
      <c r="BW78" s="64" t="s">
        <v>229</v>
      </c>
      <c r="BX78" s="64" t="s">
        <v>229</v>
      </c>
      <c r="BY78" s="64" t="s">
        <v>229</v>
      </c>
      <c r="BZ78" s="64" t="s">
        <v>229</v>
      </c>
      <c r="CA78" s="64" t="s">
        <v>229</v>
      </c>
      <c r="CB78" s="64" t="s">
        <v>229</v>
      </c>
      <c r="CC78" s="64" t="s">
        <v>229</v>
      </c>
      <c r="CD78" s="64" t="s">
        <v>229</v>
      </c>
      <c r="CE78" s="64" t="s">
        <v>229</v>
      </c>
      <c r="CF78" s="64" t="s">
        <v>229</v>
      </c>
      <c r="CG78" s="64" t="s">
        <v>229</v>
      </c>
      <c r="CH78" s="64" t="s">
        <v>229</v>
      </c>
      <c r="CI78" s="64" t="s">
        <v>229</v>
      </c>
      <c r="CJ78" s="64" t="s">
        <v>229</v>
      </c>
      <c r="CK78" s="64" t="s">
        <v>229</v>
      </c>
      <c r="CL78" s="64" t="s">
        <v>229</v>
      </c>
      <c r="CM78" s="64" t="s">
        <v>229</v>
      </c>
      <c r="CN78" s="64" t="s">
        <v>229</v>
      </c>
      <c r="CO78" s="64" t="s">
        <v>229</v>
      </c>
      <c r="CP78" s="64" t="s">
        <v>229</v>
      </c>
      <c r="CQ78" s="64" t="s">
        <v>229</v>
      </c>
      <c r="CR78" s="64" t="s">
        <v>229</v>
      </c>
      <c r="CS78" s="64" t="s">
        <v>229</v>
      </c>
      <c r="CT78" s="64" t="s">
        <v>229</v>
      </c>
      <c r="CU78" s="64" t="s">
        <v>229</v>
      </c>
      <c r="CV78" s="64" t="s">
        <v>229</v>
      </c>
      <c r="CW78" s="64" t="s">
        <v>229</v>
      </c>
      <c r="CX78" s="64" t="s">
        <v>229</v>
      </c>
      <c r="CY78" s="64" t="s">
        <v>229</v>
      </c>
      <c r="CZ78" s="64" t="s">
        <v>229</v>
      </c>
      <c r="DA78" s="64" t="s">
        <v>229</v>
      </c>
      <c r="DB78" s="64" t="s">
        <v>229</v>
      </c>
      <c r="DC78" s="64" t="s">
        <v>229</v>
      </c>
      <c r="DD78" s="64" t="s">
        <v>229</v>
      </c>
      <c r="DE78" s="65"/>
    </row>
    <row r="79" spans="1:109" x14ac:dyDescent="0.2">
      <c r="A79" s="59">
        <v>1813</v>
      </c>
      <c r="B79" s="60" t="s">
        <v>311</v>
      </c>
      <c r="C79" s="61" t="s">
        <v>203</v>
      </c>
      <c r="D79" s="61" t="s">
        <v>225</v>
      </c>
      <c r="E79" s="61" t="s">
        <v>226</v>
      </c>
      <c r="F79" s="61"/>
      <c r="G79" s="62"/>
      <c r="H79" s="61"/>
      <c r="I79" s="63" t="s">
        <v>238</v>
      </c>
      <c r="J79" s="63"/>
      <c r="K79" s="63"/>
      <c r="L79" s="63">
        <v>1</v>
      </c>
      <c r="M79" s="63" t="s">
        <v>239</v>
      </c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 t="s">
        <v>229</v>
      </c>
      <c r="BX79" s="64" t="s">
        <v>229</v>
      </c>
      <c r="BY79" s="64" t="s">
        <v>229</v>
      </c>
      <c r="BZ79" s="64" t="s">
        <v>229</v>
      </c>
      <c r="CA79" s="64" t="s">
        <v>229</v>
      </c>
      <c r="CB79" s="64" t="s">
        <v>229</v>
      </c>
      <c r="CC79" s="64" t="s">
        <v>229</v>
      </c>
      <c r="CD79" s="64" t="s">
        <v>229</v>
      </c>
      <c r="CE79" s="64" t="s">
        <v>229</v>
      </c>
      <c r="CF79" s="64" t="s">
        <v>229</v>
      </c>
      <c r="CG79" s="64" t="s">
        <v>229</v>
      </c>
      <c r="CH79" s="64" t="s">
        <v>229</v>
      </c>
      <c r="CI79" s="64" t="s">
        <v>229</v>
      </c>
      <c r="CJ79" s="64" t="s">
        <v>229</v>
      </c>
      <c r="CK79" s="64" t="s">
        <v>229</v>
      </c>
      <c r="CL79" s="64" t="s">
        <v>229</v>
      </c>
      <c r="CM79" s="64"/>
      <c r="CN79" s="64" t="s">
        <v>229</v>
      </c>
      <c r="CO79" s="64" t="s">
        <v>229</v>
      </c>
      <c r="CP79" s="64" t="s">
        <v>229</v>
      </c>
      <c r="CQ79" s="64" t="s">
        <v>229</v>
      </c>
      <c r="CR79" s="64" t="s">
        <v>229</v>
      </c>
      <c r="CS79" s="64" t="s">
        <v>229</v>
      </c>
      <c r="CT79" s="64" t="s">
        <v>229</v>
      </c>
      <c r="CU79" s="64" t="s">
        <v>229</v>
      </c>
      <c r="CV79" s="64" t="s">
        <v>229</v>
      </c>
      <c r="CW79" s="64" t="s">
        <v>229</v>
      </c>
      <c r="CX79" s="64" t="s">
        <v>229</v>
      </c>
      <c r="CY79" s="64" t="s">
        <v>229</v>
      </c>
      <c r="CZ79" s="64" t="s">
        <v>229</v>
      </c>
      <c r="DA79" s="64" t="s">
        <v>229</v>
      </c>
      <c r="DB79" s="64" t="s">
        <v>229</v>
      </c>
      <c r="DC79" s="64" t="s">
        <v>229</v>
      </c>
      <c r="DD79" s="64"/>
      <c r="DE79" s="65"/>
    </row>
    <row r="80" spans="1:109" x14ac:dyDescent="0.2">
      <c r="A80" s="66">
        <v>2471</v>
      </c>
      <c r="B80" s="67" t="s">
        <v>312</v>
      </c>
      <c r="C80" s="68" t="s">
        <v>203</v>
      </c>
      <c r="D80" s="68" t="s">
        <v>231</v>
      </c>
      <c r="E80" s="68" t="s">
        <v>226</v>
      </c>
      <c r="F80" s="68"/>
      <c r="G80" s="69"/>
      <c r="H80" s="68"/>
      <c r="I80" s="66" t="s">
        <v>238</v>
      </c>
      <c r="J80" s="66"/>
      <c r="K80" s="66"/>
      <c r="L80" s="66">
        <v>1</v>
      </c>
      <c r="M80" s="66" t="s">
        <v>239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 t="s">
        <v>229</v>
      </c>
      <c r="BX80" s="70" t="s">
        <v>229</v>
      </c>
      <c r="BY80" s="70" t="s">
        <v>229</v>
      </c>
      <c r="BZ80" s="70" t="s">
        <v>229</v>
      </c>
      <c r="CA80" s="70" t="s">
        <v>229</v>
      </c>
      <c r="CB80" s="70" t="s">
        <v>229</v>
      </c>
      <c r="CC80" s="70"/>
      <c r="CD80" s="70" t="s">
        <v>229</v>
      </c>
      <c r="CE80" s="70" t="s">
        <v>229</v>
      </c>
      <c r="CF80" s="70" t="s">
        <v>229</v>
      </c>
      <c r="CG80" s="70" t="s">
        <v>229</v>
      </c>
      <c r="CH80" s="70" t="s">
        <v>229</v>
      </c>
      <c r="CI80" s="70" t="s">
        <v>229</v>
      </c>
      <c r="CJ80" s="70" t="s">
        <v>229</v>
      </c>
      <c r="CK80" s="70"/>
      <c r="CL80" s="70"/>
      <c r="CM80" s="70"/>
      <c r="CN80" s="70" t="s">
        <v>229</v>
      </c>
      <c r="CO80" s="70" t="s">
        <v>229</v>
      </c>
      <c r="CP80" s="70" t="s">
        <v>229</v>
      </c>
      <c r="CQ80" s="70" t="s">
        <v>229</v>
      </c>
      <c r="CR80" s="70" t="s">
        <v>229</v>
      </c>
      <c r="CS80" s="70" t="s">
        <v>229</v>
      </c>
      <c r="CT80" s="70" t="s">
        <v>229</v>
      </c>
      <c r="CU80" s="70" t="s">
        <v>229</v>
      </c>
      <c r="CV80" s="70" t="s">
        <v>229</v>
      </c>
      <c r="CW80" s="70" t="s">
        <v>229</v>
      </c>
      <c r="CX80" s="70" t="s">
        <v>229</v>
      </c>
      <c r="CY80" s="70" t="s">
        <v>229</v>
      </c>
      <c r="CZ80" s="70"/>
      <c r="DA80" s="70" t="s">
        <v>229</v>
      </c>
      <c r="DB80" s="70"/>
      <c r="DC80" s="70"/>
      <c r="DD80" s="70"/>
      <c r="DE80" s="1"/>
    </row>
    <row r="81" spans="1:109" x14ac:dyDescent="0.2">
      <c r="A81" s="59">
        <v>1510</v>
      </c>
      <c r="B81" s="60" t="s">
        <v>313</v>
      </c>
      <c r="C81" s="61" t="s">
        <v>100</v>
      </c>
      <c r="D81" s="61" t="s">
        <v>225</v>
      </c>
      <c r="E81" s="61" t="s">
        <v>226</v>
      </c>
      <c r="F81" s="61"/>
      <c r="G81" s="62"/>
      <c r="H81" s="61"/>
      <c r="I81" s="63" t="s">
        <v>238</v>
      </c>
      <c r="J81" s="63">
        <v>1</v>
      </c>
      <c r="K81" s="63">
        <v>1</v>
      </c>
      <c r="L81" s="63">
        <v>1</v>
      </c>
      <c r="M81" s="63" t="s">
        <v>239</v>
      </c>
      <c r="N81" s="64" t="s">
        <v>229</v>
      </c>
      <c r="O81" s="64" t="s">
        <v>229</v>
      </c>
      <c r="P81" s="64" t="s">
        <v>229</v>
      </c>
      <c r="Q81" s="64" t="s">
        <v>229</v>
      </c>
      <c r="R81" s="64" t="s">
        <v>229</v>
      </c>
      <c r="S81" s="64" t="s">
        <v>229</v>
      </c>
      <c r="T81" s="64" t="s">
        <v>229</v>
      </c>
      <c r="U81" s="64" t="s">
        <v>229</v>
      </c>
      <c r="V81" s="64" t="s">
        <v>229</v>
      </c>
      <c r="W81" s="64" t="s">
        <v>229</v>
      </c>
      <c r="X81" s="64" t="s">
        <v>229</v>
      </c>
      <c r="Y81" s="64" t="s">
        <v>229</v>
      </c>
      <c r="Z81" s="64" t="s">
        <v>229</v>
      </c>
      <c r="AA81" s="64" t="s">
        <v>229</v>
      </c>
      <c r="AB81" s="64" t="s">
        <v>229</v>
      </c>
      <c r="AC81" s="64" t="s">
        <v>229</v>
      </c>
      <c r="AD81" s="64" t="s">
        <v>229</v>
      </c>
      <c r="AE81" s="64" t="s">
        <v>229</v>
      </c>
      <c r="AF81" s="64" t="s">
        <v>229</v>
      </c>
      <c r="AG81" s="64" t="s">
        <v>229</v>
      </c>
      <c r="AH81" s="64" t="s">
        <v>229</v>
      </c>
      <c r="AI81" s="64" t="s">
        <v>229</v>
      </c>
      <c r="AJ81" s="64" t="s">
        <v>229</v>
      </c>
      <c r="AK81" s="64" t="s">
        <v>229</v>
      </c>
      <c r="AL81" s="64" t="s">
        <v>229</v>
      </c>
      <c r="AM81" s="64" t="s">
        <v>229</v>
      </c>
      <c r="AN81" s="64" t="s">
        <v>229</v>
      </c>
      <c r="AO81" s="64" t="s">
        <v>229</v>
      </c>
      <c r="AP81" s="64" t="s">
        <v>229</v>
      </c>
      <c r="AQ81" s="64" t="s">
        <v>229</v>
      </c>
      <c r="AR81" s="64" t="s">
        <v>229</v>
      </c>
      <c r="AS81" s="64" t="s">
        <v>229</v>
      </c>
      <c r="AT81" s="64" t="s">
        <v>229</v>
      </c>
      <c r="AU81" s="64" t="s">
        <v>229</v>
      </c>
      <c r="AV81" s="64" t="s">
        <v>229</v>
      </c>
      <c r="AW81" s="64" t="s">
        <v>229</v>
      </c>
      <c r="AX81" s="64" t="s">
        <v>229</v>
      </c>
      <c r="AY81" s="64" t="s">
        <v>229</v>
      </c>
      <c r="AZ81" s="64" t="s">
        <v>229</v>
      </c>
      <c r="BA81" s="64" t="s">
        <v>229</v>
      </c>
      <c r="BB81" s="64" t="s">
        <v>229</v>
      </c>
      <c r="BC81" s="64" t="s">
        <v>229</v>
      </c>
      <c r="BD81" s="64" t="s">
        <v>229</v>
      </c>
      <c r="BE81" s="64" t="s">
        <v>229</v>
      </c>
      <c r="BF81" s="64" t="s">
        <v>229</v>
      </c>
      <c r="BG81" s="64" t="s">
        <v>229</v>
      </c>
      <c r="BH81" s="64" t="s">
        <v>229</v>
      </c>
      <c r="BI81" s="64" t="s">
        <v>229</v>
      </c>
      <c r="BJ81" s="64" t="s">
        <v>229</v>
      </c>
      <c r="BK81" s="64" t="s">
        <v>229</v>
      </c>
      <c r="BL81" s="64" t="s">
        <v>229</v>
      </c>
      <c r="BM81" s="64" t="s">
        <v>229</v>
      </c>
      <c r="BN81" s="64" t="s">
        <v>229</v>
      </c>
      <c r="BO81" s="64" t="s">
        <v>229</v>
      </c>
      <c r="BP81" s="64" t="s">
        <v>229</v>
      </c>
      <c r="BQ81" s="64" t="s">
        <v>229</v>
      </c>
      <c r="BR81" s="64" t="s">
        <v>229</v>
      </c>
      <c r="BS81" s="64" t="s">
        <v>229</v>
      </c>
      <c r="BT81" s="64" t="s">
        <v>229</v>
      </c>
      <c r="BU81" s="64" t="s">
        <v>229</v>
      </c>
      <c r="BV81" s="64" t="s">
        <v>229</v>
      </c>
      <c r="BW81" s="64" t="s">
        <v>229</v>
      </c>
      <c r="BX81" s="64" t="s">
        <v>229</v>
      </c>
      <c r="BY81" s="64" t="s">
        <v>229</v>
      </c>
      <c r="BZ81" s="64" t="s">
        <v>229</v>
      </c>
      <c r="CA81" s="64" t="s">
        <v>229</v>
      </c>
      <c r="CB81" s="64" t="s">
        <v>229</v>
      </c>
      <c r="CC81" s="64" t="s">
        <v>229</v>
      </c>
      <c r="CD81" s="64" t="s">
        <v>229</v>
      </c>
      <c r="CE81" s="64" t="s">
        <v>229</v>
      </c>
      <c r="CF81" s="64" t="s">
        <v>229</v>
      </c>
      <c r="CG81" s="64" t="s">
        <v>229</v>
      </c>
      <c r="CH81" s="64" t="s">
        <v>229</v>
      </c>
      <c r="CI81" s="64" t="s">
        <v>229</v>
      </c>
      <c r="CJ81" s="64" t="s">
        <v>229</v>
      </c>
      <c r="CK81" s="64" t="s">
        <v>229</v>
      </c>
      <c r="CL81" s="64" t="s">
        <v>229</v>
      </c>
      <c r="CM81" s="64" t="s">
        <v>229</v>
      </c>
      <c r="CN81" s="64" t="s">
        <v>229</v>
      </c>
      <c r="CO81" s="64" t="s">
        <v>229</v>
      </c>
      <c r="CP81" s="64" t="s">
        <v>229</v>
      </c>
      <c r="CQ81" s="64" t="s">
        <v>229</v>
      </c>
      <c r="CR81" s="64" t="s">
        <v>229</v>
      </c>
      <c r="CS81" s="64" t="s">
        <v>229</v>
      </c>
      <c r="CT81" s="64" t="s">
        <v>229</v>
      </c>
      <c r="CU81" s="64" t="s">
        <v>229</v>
      </c>
      <c r="CV81" s="64" t="s">
        <v>229</v>
      </c>
      <c r="CW81" s="64" t="s">
        <v>229</v>
      </c>
      <c r="CX81" s="64" t="s">
        <v>229</v>
      </c>
      <c r="CY81" s="64" t="s">
        <v>229</v>
      </c>
      <c r="CZ81" s="64" t="s">
        <v>229</v>
      </c>
      <c r="DA81" s="64" t="s">
        <v>229</v>
      </c>
      <c r="DB81" s="64" t="s">
        <v>229</v>
      </c>
      <c r="DC81" s="64" t="s">
        <v>229</v>
      </c>
      <c r="DD81" s="64" t="s">
        <v>229</v>
      </c>
      <c r="DE81" s="65"/>
    </row>
    <row r="82" spans="1:109" x14ac:dyDescent="0.2">
      <c r="A82" s="59">
        <v>1562</v>
      </c>
      <c r="B82" s="60" t="s">
        <v>314</v>
      </c>
      <c r="C82" s="61" t="s">
        <v>200</v>
      </c>
      <c r="D82" s="61" t="s">
        <v>225</v>
      </c>
      <c r="E82" s="61" t="s">
        <v>226</v>
      </c>
      <c r="F82" s="61"/>
      <c r="G82" s="62"/>
      <c r="H82" s="61"/>
      <c r="I82" s="63" t="s">
        <v>238</v>
      </c>
      <c r="J82" s="63"/>
      <c r="K82" s="63"/>
      <c r="L82" s="63">
        <v>1</v>
      </c>
      <c r="M82" s="63" t="s">
        <v>239</v>
      </c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 t="s">
        <v>229</v>
      </c>
      <c r="AS82" s="64" t="s">
        <v>229</v>
      </c>
      <c r="AT82" s="64" t="s">
        <v>229</v>
      </c>
      <c r="AU82" s="64" t="s">
        <v>229</v>
      </c>
      <c r="AV82" s="64" t="s">
        <v>229</v>
      </c>
      <c r="AW82" s="64" t="s">
        <v>229</v>
      </c>
      <c r="AX82" s="64" t="s">
        <v>229</v>
      </c>
      <c r="AY82" s="64" t="s">
        <v>229</v>
      </c>
      <c r="AZ82" s="64" t="s">
        <v>229</v>
      </c>
      <c r="BA82" s="64" t="s">
        <v>229</v>
      </c>
      <c r="BB82" s="64" t="s">
        <v>229</v>
      </c>
      <c r="BC82" s="64" t="s">
        <v>229</v>
      </c>
      <c r="BD82" s="64" t="s">
        <v>229</v>
      </c>
      <c r="BE82" s="64" t="s">
        <v>229</v>
      </c>
      <c r="BF82" s="64" t="s">
        <v>229</v>
      </c>
      <c r="BG82" s="64" t="s">
        <v>229</v>
      </c>
      <c r="BH82" s="64" t="s">
        <v>229</v>
      </c>
      <c r="BI82" s="64" t="s">
        <v>229</v>
      </c>
      <c r="BJ82" s="64" t="s">
        <v>229</v>
      </c>
      <c r="BK82" s="64" t="s">
        <v>229</v>
      </c>
      <c r="BL82" s="64" t="s">
        <v>229</v>
      </c>
      <c r="BM82" s="64" t="s">
        <v>229</v>
      </c>
      <c r="BN82" s="64" t="s">
        <v>229</v>
      </c>
      <c r="BO82" s="64" t="s">
        <v>229</v>
      </c>
      <c r="BP82" s="64" t="s">
        <v>229</v>
      </c>
      <c r="BQ82" s="64" t="s">
        <v>229</v>
      </c>
      <c r="BR82" s="64" t="s">
        <v>229</v>
      </c>
      <c r="BS82" s="64" t="s">
        <v>229</v>
      </c>
      <c r="BT82" s="64" t="s">
        <v>229</v>
      </c>
      <c r="BU82" s="64" t="s">
        <v>229</v>
      </c>
      <c r="BV82" s="64" t="s">
        <v>229</v>
      </c>
      <c r="BW82" s="64" t="s">
        <v>229</v>
      </c>
      <c r="BX82" s="64" t="s">
        <v>229</v>
      </c>
      <c r="BY82" s="64" t="s">
        <v>229</v>
      </c>
      <c r="BZ82" s="64" t="s">
        <v>229</v>
      </c>
      <c r="CA82" s="64" t="s">
        <v>229</v>
      </c>
      <c r="CB82" s="64" t="s">
        <v>229</v>
      </c>
      <c r="CC82" s="64" t="s">
        <v>229</v>
      </c>
      <c r="CD82" s="64" t="s">
        <v>229</v>
      </c>
      <c r="CE82" s="64" t="s">
        <v>229</v>
      </c>
      <c r="CF82" s="64" t="s">
        <v>229</v>
      </c>
      <c r="CG82" s="64" t="s">
        <v>229</v>
      </c>
      <c r="CH82" s="64" t="s">
        <v>229</v>
      </c>
      <c r="CI82" s="64" t="s">
        <v>229</v>
      </c>
      <c r="CJ82" s="64" t="s">
        <v>229</v>
      </c>
      <c r="CK82" s="64" t="s">
        <v>229</v>
      </c>
      <c r="CL82" s="64" t="s">
        <v>229</v>
      </c>
      <c r="CM82" s="64" t="s">
        <v>229</v>
      </c>
      <c r="CN82" s="64" t="s">
        <v>229</v>
      </c>
      <c r="CO82" s="64" t="s">
        <v>229</v>
      </c>
      <c r="CP82" s="64" t="s">
        <v>229</v>
      </c>
      <c r="CQ82" s="64" t="s">
        <v>229</v>
      </c>
      <c r="CR82" s="64" t="s">
        <v>229</v>
      </c>
      <c r="CS82" s="64" t="s">
        <v>229</v>
      </c>
      <c r="CT82" s="64" t="s">
        <v>229</v>
      </c>
      <c r="CU82" s="64" t="s">
        <v>229</v>
      </c>
      <c r="CV82" s="64" t="s">
        <v>229</v>
      </c>
      <c r="CW82" s="64" t="s">
        <v>229</v>
      </c>
      <c r="CX82" s="64" t="s">
        <v>229</v>
      </c>
      <c r="CY82" s="64" t="s">
        <v>229</v>
      </c>
      <c r="CZ82" s="64" t="s">
        <v>229</v>
      </c>
      <c r="DA82" s="64" t="s">
        <v>229</v>
      </c>
      <c r="DB82" s="64" t="s">
        <v>229</v>
      </c>
      <c r="DC82" s="64" t="s">
        <v>229</v>
      </c>
      <c r="DD82" s="64"/>
      <c r="DE82" s="65"/>
    </row>
    <row r="83" spans="1:109" x14ac:dyDescent="0.2">
      <c r="A83" s="59">
        <v>238</v>
      </c>
      <c r="B83" s="60" t="s">
        <v>315</v>
      </c>
      <c r="C83" s="61" t="s">
        <v>100</v>
      </c>
      <c r="D83" s="61" t="s">
        <v>225</v>
      </c>
      <c r="E83" s="61" t="s">
        <v>237</v>
      </c>
      <c r="F83" s="61"/>
      <c r="G83" s="62"/>
      <c r="H83" s="61"/>
      <c r="I83" s="63" t="s">
        <v>238</v>
      </c>
      <c r="J83" s="63">
        <v>1</v>
      </c>
      <c r="K83" s="63">
        <v>1</v>
      </c>
      <c r="L83" s="63">
        <v>1</v>
      </c>
      <c r="M83" s="63" t="s">
        <v>232</v>
      </c>
      <c r="N83" s="64" t="s">
        <v>229</v>
      </c>
      <c r="O83" s="64" t="s">
        <v>229</v>
      </c>
      <c r="P83" s="64" t="s">
        <v>229</v>
      </c>
      <c r="Q83" s="64" t="s">
        <v>229</v>
      </c>
      <c r="R83" s="64" t="s">
        <v>229</v>
      </c>
      <c r="S83" s="64" t="s">
        <v>229</v>
      </c>
      <c r="T83" s="64" t="s">
        <v>229</v>
      </c>
      <c r="U83" s="64" t="s">
        <v>229</v>
      </c>
      <c r="V83" s="64" t="s">
        <v>229</v>
      </c>
      <c r="W83" s="64" t="s">
        <v>229</v>
      </c>
      <c r="X83" s="64" t="s">
        <v>229</v>
      </c>
      <c r="Y83" s="64" t="s">
        <v>229</v>
      </c>
      <c r="Z83" s="64" t="s">
        <v>229</v>
      </c>
      <c r="AA83" s="64" t="s">
        <v>229</v>
      </c>
      <c r="AB83" s="64" t="s">
        <v>229</v>
      </c>
      <c r="AC83" s="64" t="s">
        <v>229</v>
      </c>
      <c r="AD83" s="64" t="s">
        <v>229</v>
      </c>
      <c r="AE83" s="64" t="s">
        <v>229</v>
      </c>
      <c r="AF83" s="64" t="s">
        <v>229</v>
      </c>
      <c r="AG83" s="64" t="s">
        <v>229</v>
      </c>
      <c r="AH83" s="64" t="s">
        <v>229</v>
      </c>
      <c r="AI83" s="64" t="s">
        <v>229</v>
      </c>
      <c r="AJ83" s="64" t="s">
        <v>229</v>
      </c>
      <c r="AK83" s="64" t="s">
        <v>229</v>
      </c>
      <c r="AL83" s="64" t="s">
        <v>229</v>
      </c>
      <c r="AM83" s="64" t="s">
        <v>229</v>
      </c>
      <c r="AN83" s="64" t="s">
        <v>229</v>
      </c>
      <c r="AO83" s="64" t="s">
        <v>229</v>
      </c>
      <c r="AP83" s="64" t="s">
        <v>229</v>
      </c>
      <c r="AQ83" s="64" t="s">
        <v>229</v>
      </c>
      <c r="AR83" s="64" t="s">
        <v>229</v>
      </c>
      <c r="AS83" s="64" t="s">
        <v>229</v>
      </c>
      <c r="AT83" s="64" t="s">
        <v>229</v>
      </c>
      <c r="AU83" s="64" t="s">
        <v>229</v>
      </c>
      <c r="AV83" s="64" t="s">
        <v>229</v>
      </c>
      <c r="AW83" s="64" t="s">
        <v>229</v>
      </c>
      <c r="AX83" s="64" t="s">
        <v>229</v>
      </c>
      <c r="AY83" s="64" t="s">
        <v>229</v>
      </c>
      <c r="AZ83" s="64" t="s">
        <v>229</v>
      </c>
      <c r="BA83" s="64" t="s">
        <v>229</v>
      </c>
      <c r="BB83" s="64" t="s">
        <v>229</v>
      </c>
      <c r="BC83" s="64" t="s">
        <v>229</v>
      </c>
      <c r="BD83" s="64" t="s">
        <v>229</v>
      </c>
      <c r="BE83" s="64" t="s">
        <v>229</v>
      </c>
      <c r="BF83" s="64" t="s">
        <v>229</v>
      </c>
      <c r="BG83" s="64" t="s">
        <v>229</v>
      </c>
      <c r="BH83" s="64" t="s">
        <v>229</v>
      </c>
      <c r="BI83" s="64" t="s">
        <v>229</v>
      </c>
      <c r="BJ83" s="64" t="s">
        <v>229</v>
      </c>
      <c r="BK83" s="64" t="s">
        <v>229</v>
      </c>
      <c r="BL83" s="64" t="s">
        <v>229</v>
      </c>
      <c r="BM83" s="64" t="s">
        <v>229</v>
      </c>
      <c r="BN83" s="64" t="s">
        <v>229</v>
      </c>
      <c r="BO83" s="64" t="s">
        <v>229</v>
      </c>
      <c r="BP83" s="64" t="s">
        <v>229</v>
      </c>
      <c r="BQ83" s="64" t="s">
        <v>229</v>
      </c>
      <c r="BR83" s="64" t="s">
        <v>229</v>
      </c>
      <c r="BS83" s="64" t="s">
        <v>229</v>
      </c>
      <c r="BT83" s="64" t="s">
        <v>229</v>
      </c>
      <c r="BU83" s="64" t="s">
        <v>229</v>
      </c>
      <c r="BV83" s="64" t="s">
        <v>229</v>
      </c>
      <c r="BW83" s="64" t="s">
        <v>229</v>
      </c>
      <c r="BX83" s="64" t="s">
        <v>229</v>
      </c>
      <c r="BY83" s="64" t="s">
        <v>229</v>
      </c>
      <c r="BZ83" s="64" t="s">
        <v>229</v>
      </c>
      <c r="CA83" s="64" t="s">
        <v>229</v>
      </c>
      <c r="CB83" s="64" t="s">
        <v>229</v>
      </c>
      <c r="CC83" s="64" t="s">
        <v>229</v>
      </c>
      <c r="CD83" s="64" t="s">
        <v>229</v>
      </c>
      <c r="CE83" s="64" t="s">
        <v>229</v>
      </c>
      <c r="CF83" s="64" t="s">
        <v>229</v>
      </c>
      <c r="CG83" s="64" t="s">
        <v>229</v>
      </c>
      <c r="CH83" s="64" t="s">
        <v>229</v>
      </c>
      <c r="CI83" s="64" t="s">
        <v>229</v>
      </c>
      <c r="CJ83" s="64" t="s">
        <v>229</v>
      </c>
      <c r="CK83" s="64" t="s">
        <v>229</v>
      </c>
      <c r="CL83" s="64" t="s">
        <v>229</v>
      </c>
      <c r="CM83" s="64" t="s">
        <v>229</v>
      </c>
      <c r="CN83" s="64" t="s">
        <v>229</v>
      </c>
      <c r="CO83" s="64" t="s">
        <v>229</v>
      </c>
      <c r="CP83" s="64" t="s">
        <v>229</v>
      </c>
      <c r="CQ83" s="64" t="s">
        <v>229</v>
      </c>
      <c r="CR83" s="64" t="s">
        <v>229</v>
      </c>
      <c r="CS83" s="64" t="s">
        <v>229</v>
      </c>
      <c r="CT83" s="64" t="s">
        <v>229</v>
      </c>
      <c r="CU83" s="64" t="s">
        <v>229</v>
      </c>
      <c r="CV83" s="64" t="s">
        <v>229</v>
      </c>
      <c r="CW83" s="64" t="s">
        <v>229</v>
      </c>
      <c r="CX83" s="64" t="s">
        <v>229</v>
      </c>
      <c r="CY83" s="64" t="s">
        <v>229</v>
      </c>
      <c r="CZ83" s="64" t="s">
        <v>229</v>
      </c>
      <c r="DA83" s="64" t="s">
        <v>229</v>
      </c>
      <c r="DB83" s="64" t="s">
        <v>229</v>
      </c>
      <c r="DC83" s="64" t="s">
        <v>229</v>
      </c>
      <c r="DD83" s="64" t="s">
        <v>229</v>
      </c>
      <c r="DE83" s="65"/>
    </row>
    <row r="84" spans="1:109" x14ac:dyDescent="0.2">
      <c r="A84" s="59">
        <v>2248</v>
      </c>
      <c r="B84" s="60" t="s">
        <v>316</v>
      </c>
      <c r="C84" s="61" t="s">
        <v>100</v>
      </c>
      <c r="D84" s="61" t="s">
        <v>225</v>
      </c>
      <c r="E84" s="61" t="s">
        <v>226</v>
      </c>
      <c r="F84" s="61"/>
      <c r="G84" s="62"/>
      <c r="H84" s="61"/>
      <c r="I84" s="63" t="s">
        <v>238</v>
      </c>
      <c r="J84" s="63">
        <v>1</v>
      </c>
      <c r="K84" s="63">
        <v>1</v>
      </c>
      <c r="L84" s="63">
        <v>1</v>
      </c>
      <c r="M84" s="63" t="s">
        <v>232</v>
      </c>
      <c r="N84" s="64" t="s">
        <v>229</v>
      </c>
      <c r="O84" s="64" t="s">
        <v>229</v>
      </c>
      <c r="P84" s="64" t="s">
        <v>229</v>
      </c>
      <c r="Q84" s="64" t="s">
        <v>229</v>
      </c>
      <c r="R84" s="64" t="s">
        <v>229</v>
      </c>
      <c r="S84" s="64" t="s">
        <v>229</v>
      </c>
      <c r="T84" s="64" t="s">
        <v>229</v>
      </c>
      <c r="U84" s="64" t="s">
        <v>229</v>
      </c>
      <c r="V84" s="64" t="s">
        <v>229</v>
      </c>
      <c r="W84" s="64" t="s">
        <v>229</v>
      </c>
      <c r="X84" s="64" t="s">
        <v>229</v>
      </c>
      <c r="Y84" s="64" t="s">
        <v>229</v>
      </c>
      <c r="Z84" s="64" t="s">
        <v>229</v>
      </c>
      <c r="AA84" s="64" t="s">
        <v>229</v>
      </c>
      <c r="AB84" s="64" t="s">
        <v>229</v>
      </c>
      <c r="AC84" s="64" t="s">
        <v>229</v>
      </c>
      <c r="AD84" s="64" t="s">
        <v>229</v>
      </c>
      <c r="AE84" s="64" t="s">
        <v>229</v>
      </c>
      <c r="AF84" s="64" t="s">
        <v>229</v>
      </c>
      <c r="AG84" s="64" t="s">
        <v>229</v>
      </c>
      <c r="AH84" s="64" t="s">
        <v>229</v>
      </c>
      <c r="AI84" s="64" t="s">
        <v>229</v>
      </c>
      <c r="AJ84" s="64" t="s">
        <v>229</v>
      </c>
      <c r="AK84" s="64" t="s">
        <v>229</v>
      </c>
      <c r="AL84" s="64" t="s">
        <v>229</v>
      </c>
      <c r="AM84" s="64" t="s">
        <v>229</v>
      </c>
      <c r="AN84" s="64" t="s">
        <v>229</v>
      </c>
      <c r="AO84" s="64" t="s">
        <v>229</v>
      </c>
      <c r="AP84" s="64" t="s">
        <v>229</v>
      </c>
      <c r="AQ84" s="64" t="s">
        <v>229</v>
      </c>
      <c r="AR84" s="64" t="s">
        <v>229</v>
      </c>
      <c r="AS84" s="64" t="s">
        <v>229</v>
      </c>
      <c r="AT84" s="64" t="s">
        <v>229</v>
      </c>
      <c r="AU84" s="64" t="s">
        <v>229</v>
      </c>
      <c r="AV84" s="64" t="s">
        <v>229</v>
      </c>
      <c r="AW84" s="64" t="s">
        <v>229</v>
      </c>
      <c r="AX84" s="64" t="s">
        <v>229</v>
      </c>
      <c r="AY84" s="64" t="s">
        <v>229</v>
      </c>
      <c r="AZ84" s="64" t="s">
        <v>229</v>
      </c>
      <c r="BA84" s="64" t="s">
        <v>229</v>
      </c>
      <c r="BB84" s="64" t="s">
        <v>229</v>
      </c>
      <c r="BC84" s="64" t="s">
        <v>229</v>
      </c>
      <c r="BD84" s="64" t="s">
        <v>229</v>
      </c>
      <c r="BE84" s="64" t="s">
        <v>229</v>
      </c>
      <c r="BF84" s="64" t="s">
        <v>229</v>
      </c>
      <c r="BG84" s="64" t="s">
        <v>229</v>
      </c>
      <c r="BH84" s="64" t="s">
        <v>229</v>
      </c>
      <c r="BI84" s="64" t="s">
        <v>229</v>
      </c>
      <c r="BJ84" s="64" t="s">
        <v>229</v>
      </c>
      <c r="BK84" s="64" t="s">
        <v>229</v>
      </c>
      <c r="BL84" s="64" t="s">
        <v>229</v>
      </c>
      <c r="BM84" s="64" t="s">
        <v>229</v>
      </c>
      <c r="BN84" s="64" t="s">
        <v>229</v>
      </c>
      <c r="BO84" s="64" t="s">
        <v>229</v>
      </c>
      <c r="BP84" s="64" t="s">
        <v>229</v>
      </c>
      <c r="BQ84" s="64" t="s">
        <v>229</v>
      </c>
      <c r="BR84" s="64" t="s">
        <v>229</v>
      </c>
      <c r="BS84" s="64" t="s">
        <v>229</v>
      </c>
      <c r="BT84" s="64" t="s">
        <v>229</v>
      </c>
      <c r="BU84" s="64" t="s">
        <v>229</v>
      </c>
      <c r="BV84" s="64" t="s">
        <v>229</v>
      </c>
      <c r="BW84" s="64" t="s">
        <v>229</v>
      </c>
      <c r="BX84" s="64" t="s">
        <v>229</v>
      </c>
      <c r="BY84" s="64" t="s">
        <v>229</v>
      </c>
      <c r="BZ84" s="64" t="s">
        <v>229</v>
      </c>
      <c r="CA84" s="64" t="s">
        <v>229</v>
      </c>
      <c r="CB84" s="64" t="s">
        <v>229</v>
      </c>
      <c r="CC84" s="64" t="s">
        <v>229</v>
      </c>
      <c r="CD84" s="64" t="s">
        <v>229</v>
      </c>
      <c r="CE84" s="64" t="s">
        <v>229</v>
      </c>
      <c r="CF84" s="64" t="s">
        <v>229</v>
      </c>
      <c r="CG84" s="64" t="s">
        <v>229</v>
      </c>
      <c r="CH84" s="64" t="s">
        <v>229</v>
      </c>
      <c r="CI84" s="64" t="s">
        <v>229</v>
      </c>
      <c r="CJ84" s="64" t="s">
        <v>229</v>
      </c>
      <c r="CK84" s="64" t="s">
        <v>229</v>
      </c>
      <c r="CL84" s="64" t="s">
        <v>229</v>
      </c>
      <c r="CM84" s="64" t="s">
        <v>229</v>
      </c>
      <c r="CN84" s="64" t="s">
        <v>229</v>
      </c>
      <c r="CO84" s="64" t="s">
        <v>229</v>
      </c>
      <c r="CP84" s="64" t="s">
        <v>229</v>
      </c>
      <c r="CQ84" s="64" t="s">
        <v>229</v>
      </c>
      <c r="CR84" s="64" t="s">
        <v>229</v>
      </c>
      <c r="CS84" s="64" t="s">
        <v>229</v>
      </c>
      <c r="CT84" s="64" t="s">
        <v>229</v>
      </c>
      <c r="CU84" s="64" t="s">
        <v>229</v>
      </c>
      <c r="CV84" s="64" t="s">
        <v>229</v>
      </c>
      <c r="CW84" s="64" t="s">
        <v>229</v>
      </c>
      <c r="CX84" s="64" t="s">
        <v>229</v>
      </c>
      <c r="CY84" s="64" t="s">
        <v>229</v>
      </c>
      <c r="CZ84" s="64" t="s">
        <v>229</v>
      </c>
      <c r="DA84" s="64" t="s">
        <v>229</v>
      </c>
      <c r="DB84" s="64" t="s">
        <v>229</v>
      </c>
      <c r="DC84" s="64" t="s">
        <v>229</v>
      </c>
      <c r="DD84" s="64"/>
      <c r="DE84" s="65"/>
    </row>
    <row r="85" spans="1:109" x14ac:dyDescent="0.2">
      <c r="A85" s="59">
        <v>1818</v>
      </c>
      <c r="B85" s="60" t="s">
        <v>317</v>
      </c>
      <c r="C85" s="61" t="s">
        <v>203</v>
      </c>
      <c r="D85" s="61" t="s">
        <v>231</v>
      </c>
      <c r="E85" s="61" t="s">
        <v>237</v>
      </c>
      <c r="F85" s="61"/>
      <c r="G85" s="62"/>
      <c r="H85" s="61"/>
      <c r="I85" s="63" t="s">
        <v>238</v>
      </c>
      <c r="J85" s="63"/>
      <c r="K85" s="63"/>
      <c r="L85" s="63">
        <v>1</v>
      </c>
      <c r="M85" s="63" t="s">
        <v>248</v>
      </c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 t="s">
        <v>229</v>
      </c>
      <c r="BX85" s="64" t="s">
        <v>229</v>
      </c>
      <c r="BY85" s="64" t="s">
        <v>229</v>
      </c>
      <c r="BZ85" s="64" t="s">
        <v>229</v>
      </c>
      <c r="CA85" s="64" t="s">
        <v>229</v>
      </c>
      <c r="CB85" s="64" t="s">
        <v>229</v>
      </c>
      <c r="CC85" s="64" t="s">
        <v>229</v>
      </c>
      <c r="CD85" s="64" t="s">
        <v>229</v>
      </c>
      <c r="CE85" s="64" t="s">
        <v>229</v>
      </c>
      <c r="CF85" s="64" t="s">
        <v>229</v>
      </c>
      <c r="CG85" s="64" t="s">
        <v>229</v>
      </c>
      <c r="CH85" s="64" t="s">
        <v>229</v>
      </c>
      <c r="CI85" s="64" t="s">
        <v>229</v>
      </c>
      <c r="CJ85" s="64"/>
      <c r="CK85" s="64" t="s">
        <v>229</v>
      </c>
      <c r="CL85" s="64" t="s">
        <v>229</v>
      </c>
      <c r="CM85" s="64"/>
      <c r="CN85" s="64" t="s">
        <v>229</v>
      </c>
      <c r="CO85" s="64"/>
      <c r="CP85" s="64" t="s">
        <v>229</v>
      </c>
      <c r="CQ85" s="64" t="s">
        <v>229</v>
      </c>
      <c r="CR85" s="64" t="s">
        <v>229</v>
      </c>
      <c r="CS85" s="64" t="s">
        <v>229</v>
      </c>
      <c r="CT85" s="64"/>
      <c r="CU85" s="64" t="s">
        <v>229</v>
      </c>
      <c r="CV85" s="64" t="s">
        <v>229</v>
      </c>
      <c r="CW85" s="64" t="s">
        <v>229</v>
      </c>
      <c r="CX85" s="64" t="s">
        <v>229</v>
      </c>
      <c r="CY85" s="64" t="s">
        <v>229</v>
      </c>
      <c r="CZ85" s="64" t="s">
        <v>229</v>
      </c>
      <c r="DA85" s="64" t="s">
        <v>229</v>
      </c>
      <c r="DB85" s="64" t="s">
        <v>229</v>
      </c>
      <c r="DC85" s="64" t="s">
        <v>229</v>
      </c>
      <c r="DD85" s="64"/>
    </row>
    <row r="86" spans="1:109" x14ac:dyDescent="0.2">
      <c r="A86" s="59">
        <v>1817</v>
      </c>
      <c r="B86" s="60" t="s">
        <v>318</v>
      </c>
      <c r="C86" s="61" t="s">
        <v>203</v>
      </c>
      <c r="D86" s="61" t="s">
        <v>231</v>
      </c>
      <c r="E86" s="61" t="s">
        <v>237</v>
      </c>
      <c r="F86" s="61"/>
      <c r="G86" s="62"/>
      <c r="H86" s="61"/>
      <c r="I86" s="63" t="s">
        <v>238</v>
      </c>
      <c r="J86" s="63"/>
      <c r="K86" s="63"/>
      <c r="L86" s="63">
        <v>1</v>
      </c>
      <c r="M86" s="63" t="s">
        <v>248</v>
      </c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 t="s">
        <v>229</v>
      </c>
      <c r="BX86" s="64" t="s">
        <v>229</v>
      </c>
      <c r="BY86" s="64" t="s">
        <v>229</v>
      </c>
      <c r="BZ86" s="64" t="s">
        <v>229</v>
      </c>
      <c r="CA86" s="64" t="s">
        <v>229</v>
      </c>
      <c r="CB86" s="64" t="s">
        <v>229</v>
      </c>
      <c r="CC86" s="64" t="s">
        <v>229</v>
      </c>
      <c r="CD86" s="64" t="s">
        <v>229</v>
      </c>
      <c r="CE86" s="64" t="s">
        <v>229</v>
      </c>
      <c r="CF86" s="64" t="s">
        <v>229</v>
      </c>
      <c r="CG86" s="64" t="s">
        <v>229</v>
      </c>
      <c r="CH86" s="64" t="s">
        <v>229</v>
      </c>
      <c r="CI86" s="64" t="s">
        <v>229</v>
      </c>
      <c r="CJ86" s="64"/>
      <c r="CK86" s="64" t="s">
        <v>229</v>
      </c>
      <c r="CL86" s="64" t="s">
        <v>229</v>
      </c>
      <c r="CM86" s="64"/>
      <c r="CN86" s="64" t="s">
        <v>229</v>
      </c>
      <c r="CO86" s="64"/>
      <c r="CP86" s="64" t="s">
        <v>229</v>
      </c>
      <c r="CQ86" s="64" t="s">
        <v>229</v>
      </c>
      <c r="CR86" s="64" t="s">
        <v>229</v>
      </c>
      <c r="CS86" s="64" t="s">
        <v>229</v>
      </c>
      <c r="CT86" s="64"/>
      <c r="CU86" s="64" t="s">
        <v>229</v>
      </c>
      <c r="CV86" s="64" t="s">
        <v>229</v>
      </c>
      <c r="CW86" s="64" t="s">
        <v>229</v>
      </c>
      <c r="CX86" s="64" t="s">
        <v>229</v>
      </c>
      <c r="CY86" s="64" t="s">
        <v>229</v>
      </c>
      <c r="CZ86" s="64" t="s">
        <v>229</v>
      </c>
      <c r="DA86" s="64" t="s">
        <v>229</v>
      </c>
      <c r="DB86" s="64" t="s">
        <v>229</v>
      </c>
      <c r="DC86" s="64" t="s">
        <v>229</v>
      </c>
      <c r="DD86" s="64"/>
      <c r="DE86" s="65"/>
    </row>
    <row r="87" spans="1:10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</row>
    <row r="88" spans="1:10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</row>
    <row r="89" spans="1:10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</row>
    <row r="90" spans="1:10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</row>
    <row r="91" spans="1:10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</row>
    <row r="92" spans="1:10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</row>
    <row r="93" spans="1:10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</row>
    <row r="94" spans="1:10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</row>
    <row r="95" spans="1:10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</row>
    <row r="96" spans="1:10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</row>
    <row r="97" spans="1:10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</row>
    <row r="98" spans="1:10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</row>
    <row r="99" spans="1:10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</row>
    <row r="100" spans="1:10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</row>
    <row r="101" spans="1:10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</row>
    <row r="102" spans="1:10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</row>
    <row r="103" spans="1:10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</row>
    <row r="104" spans="1:10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</row>
    <row r="105" spans="1:10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</row>
    <row r="106" spans="1:10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</row>
    <row r="107" spans="1:10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</row>
    <row r="108" spans="1:10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</row>
    <row r="109" spans="1:10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</row>
    <row r="110" spans="1:10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</row>
    <row r="111" spans="1:10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</row>
    <row r="112" spans="1:109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</row>
    <row r="113" spans="1:109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</row>
    <row r="114" spans="1:109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</row>
    <row r="115" spans="1:109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</row>
    <row r="116" spans="1:109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</row>
    <row r="117" spans="1:109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</row>
    <row r="118" spans="1:109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</row>
    <row r="119" spans="1:109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</row>
    <row r="120" spans="1:109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</row>
    <row r="121" spans="1:10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</row>
    <row r="122" spans="1:109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</row>
    <row r="123" spans="1:109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</row>
    <row r="124" spans="1:10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</row>
    <row r="125" spans="1:109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</row>
    <row r="126" spans="1:109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</row>
    <row r="127" spans="1:109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</row>
    <row r="128" spans="1:109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</row>
    <row r="129" spans="1:109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</row>
    <row r="130" spans="1:109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</row>
    <row r="131" spans="1:109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</row>
    <row r="132" spans="1:10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</row>
    <row r="133" spans="1:109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</row>
    <row r="134" spans="1:109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</row>
    <row r="135" spans="1:109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</row>
    <row r="136" spans="1:109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</row>
    <row r="137" spans="1:10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</row>
    <row r="138" spans="1:10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</row>
    <row r="139" spans="1:10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</row>
    <row r="140" spans="1:10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</row>
    <row r="141" spans="1:10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</row>
    <row r="142" spans="1:10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</row>
    <row r="143" spans="1:10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</row>
    <row r="144" spans="1:10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</row>
    <row r="145" spans="1:10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</row>
    <row r="146" spans="1:10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</row>
    <row r="147" spans="1:10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</row>
    <row r="148" spans="1:10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</row>
    <row r="149" spans="1:10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</row>
    <row r="150" spans="1:10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</row>
    <row r="151" spans="1:10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</row>
    <row r="152" spans="1:10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</row>
    <row r="153" spans="1:10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</row>
    <row r="154" spans="1:10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</row>
    <row r="155" spans="1:10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</row>
    <row r="156" spans="1:10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</row>
    <row r="157" spans="1:10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</row>
    <row r="158" spans="1:10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</row>
    <row r="159" spans="1:10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</row>
    <row r="160" spans="1:10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</row>
    <row r="161" spans="1:10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</row>
    <row r="162" spans="1:10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</row>
    <row r="163" spans="1:10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</row>
    <row r="164" spans="1:10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</row>
    <row r="165" spans="1:10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</row>
    <row r="166" spans="1:10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</row>
    <row r="167" spans="1:10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</row>
    <row r="168" spans="1:10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</row>
    <row r="169" spans="1:10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</row>
    <row r="170" spans="1:10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</row>
    <row r="171" spans="1:10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</row>
    <row r="172" spans="1:10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</row>
    <row r="173" spans="1:10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</row>
    <row r="174" spans="1:10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</row>
    <row r="175" spans="1:10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</row>
    <row r="176" spans="1:10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</row>
    <row r="177" spans="1:10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</row>
    <row r="178" spans="1:10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</row>
    <row r="179" spans="1:10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</row>
    <row r="180" spans="1:10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</row>
    <row r="181" spans="1:10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</row>
    <row r="182" spans="1:10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</row>
    <row r="183" spans="1:10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</row>
    <row r="184" spans="1:10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</row>
    <row r="185" spans="1:109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</row>
    <row r="186" spans="1:109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</row>
    <row r="187" spans="1:109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</row>
    <row r="188" spans="1:109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</row>
    <row r="189" spans="1:109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</row>
    <row r="190" spans="1:109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</row>
    <row r="191" spans="1:109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</row>
    <row r="192" spans="1:109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</row>
    <row r="193" spans="1:10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</row>
    <row r="194" spans="1:109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</row>
    <row r="195" spans="1:109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</row>
    <row r="196" spans="1:109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</row>
    <row r="197" spans="1:10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</row>
    <row r="198" spans="1:109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</row>
    <row r="199" spans="1:10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</row>
    <row r="200" spans="1:10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</row>
    <row r="201" spans="1:109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</row>
    <row r="202" spans="1:109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</row>
    <row r="203" spans="1:109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</row>
    <row r="204" spans="1:109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</row>
    <row r="205" spans="1:109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</row>
    <row r="206" spans="1:109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</row>
    <row r="207" spans="1:109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</row>
    <row r="208" spans="1:109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</row>
    <row r="209" spans="1:109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</row>
    <row r="210" spans="1:10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</row>
    <row r="211" spans="1:109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</row>
    <row r="212" spans="1:109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</row>
    <row r="213" spans="1:109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</row>
    <row r="214" spans="1:109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</row>
    <row r="215" spans="1:109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</row>
    <row r="216" spans="1:109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</row>
    <row r="217" spans="1:109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</row>
    <row r="218" spans="1:109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</row>
    <row r="219" spans="1:109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</row>
    <row r="220" spans="1:109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</row>
    <row r="221" spans="1:109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</row>
    <row r="222" spans="1:109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</row>
    <row r="223" spans="1:109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</row>
    <row r="224" spans="1:109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</row>
    <row r="225" spans="1:109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</row>
    <row r="226" spans="1:109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</row>
    <row r="227" spans="1:109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</row>
    <row r="228" spans="1:109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</row>
    <row r="229" spans="1:109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</row>
    <row r="230" spans="1:109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</row>
    <row r="231" spans="1:109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</row>
    <row r="232" spans="1:109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</row>
    <row r="233" spans="1:109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</row>
    <row r="234" spans="1:109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</row>
    <row r="235" spans="1:109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</row>
    <row r="236" spans="1:109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</row>
    <row r="237" spans="1:109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</row>
    <row r="238" spans="1:109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</row>
    <row r="239" spans="1:109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</row>
    <row r="240" spans="1:109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</row>
    <row r="241" spans="1:109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</row>
    <row r="242" spans="1:109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</row>
    <row r="243" spans="1:109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</row>
    <row r="244" spans="1:109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</row>
    <row r="245" spans="1:109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</row>
    <row r="246" spans="1:109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</row>
    <row r="247" spans="1:10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</row>
    <row r="248" spans="1:109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</row>
    <row r="249" spans="1:109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</row>
    <row r="250" spans="1:109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</row>
    <row r="251" spans="1:109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</row>
    <row r="252" spans="1:109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</row>
    <row r="253" spans="1:109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</row>
    <row r="254" spans="1:109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</row>
    <row r="255" spans="1:109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</row>
    <row r="256" spans="1:109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</row>
    <row r="257" spans="1:109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</row>
    <row r="258" spans="1:109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</row>
    <row r="259" spans="1:109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</row>
    <row r="260" spans="1:109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</row>
    <row r="261" spans="1:109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</row>
    <row r="262" spans="1:109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</row>
    <row r="263" spans="1:109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</row>
    <row r="264" spans="1:109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</row>
    <row r="265" spans="1:109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</row>
    <row r="266" spans="1:109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</row>
    <row r="267" spans="1:109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</row>
    <row r="268" spans="1:109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</row>
    <row r="269" spans="1:109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</row>
    <row r="270" spans="1:109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</row>
    <row r="271" spans="1:109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</row>
    <row r="272" spans="1:109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</row>
    <row r="273" spans="1:109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</row>
    <row r="274" spans="1:109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</row>
    <row r="275" spans="1:109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</row>
    <row r="276" spans="1:109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</row>
    <row r="277" spans="1:109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</row>
    <row r="278" spans="1:109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</row>
    <row r="279" spans="1:109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</row>
    <row r="280" spans="1:109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</row>
    <row r="281" spans="1:109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</row>
    <row r="282" spans="1:109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</row>
    <row r="283" spans="1:109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</row>
    <row r="284" spans="1:109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</row>
    <row r="285" spans="1:109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</row>
    <row r="286" spans="1:109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</row>
    <row r="287" spans="1:109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</row>
    <row r="288" spans="1:109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</row>
    <row r="289" spans="1:109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</row>
    <row r="290" spans="1:109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</row>
    <row r="291" spans="1:109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</row>
    <row r="292" spans="1:109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</row>
    <row r="293" spans="1:109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</row>
    <row r="294" spans="1:109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</row>
    <row r="295" spans="1:109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</row>
    <row r="296" spans="1:10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</row>
    <row r="297" spans="1:109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</row>
    <row r="298" spans="1:109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</row>
    <row r="299" spans="1:109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</row>
    <row r="300" spans="1:109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</row>
    <row r="301" spans="1:109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</row>
    <row r="302" spans="1:109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</row>
    <row r="303" spans="1:109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</row>
    <row r="304" spans="1:109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</row>
    <row r="305" spans="1:109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</row>
    <row r="306" spans="1:109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</row>
    <row r="307" spans="1:109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</row>
    <row r="308" spans="1:109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</row>
    <row r="309" spans="1:109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</row>
    <row r="310" spans="1:109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</row>
    <row r="311" spans="1:109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</row>
    <row r="312" spans="1:109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</row>
    <row r="313" spans="1:109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</row>
    <row r="314" spans="1:109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</row>
    <row r="315" spans="1:109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</row>
    <row r="316" spans="1:109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</row>
    <row r="317" spans="1:109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</row>
    <row r="318" spans="1:109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</row>
    <row r="319" spans="1:109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</row>
    <row r="320" spans="1:109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</row>
    <row r="321" spans="1:109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</row>
    <row r="322" spans="1:109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</row>
    <row r="323" spans="1:109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</row>
    <row r="324" spans="1:109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</row>
    <row r="325" spans="1:109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</row>
    <row r="326" spans="1:109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</row>
    <row r="327" spans="1:109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</row>
    <row r="328" spans="1:109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</row>
    <row r="329" spans="1:109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</row>
    <row r="330" spans="1:109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</row>
    <row r="331" spans="1:109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</row>
    <row r="332" spans="1:109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</row>
    <row r="333" spans="1:109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</row>
    <row r="334" spans="1:109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</row>
    <row r="335" spans="1:109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</row>
    <row r="336" spans="1:109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</row>
    <row r="337" spans="1:109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</row>
    <row r="338" spans="1:109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</row>
    <row r="339" spans="1:109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</row>
    <row r="340" spans="1:109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</row>
    <row r="341" spans="1:109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</row>
    <row r="342" spans="1:109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</row>
    <row r="343" spans="1:109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</row>
    <row r="344" spans="1:109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</row>
    <row r="345" spans="1:109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</row>
    <row r="346" spans="1:109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</row>
    <row r="347" spans="1:109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</row>
    <row r="348" spans="1:109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</row>
    <row r="349" spans="1:109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</row>
    <row r="350" spans="1:109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</row>
    <row r="351" spans="1:109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</row>
    <row r="352" spans="1:109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</row>
    <row r="353" spans="1:109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</row>
    <row r="354" spans="1:109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</row>
    <row r="355" spans="1:109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</row>
    <row r="356" spans="1:109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</row>
    <row r="357" spans="1:109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</row>
    <row r="358" spans="1:109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</row>
    <row r="359" spans="1:109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</row>
    <row r="360" spans="1:109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</row>
    <row r="361" spans="1:109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</row>
    <row r="362" spans="1:109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</row>
    <row r="363" spans="1:109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</row>
    <row r="364" spans="1:109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</row>
    <row r="365" spans="1:109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</row>
    <row r="366" spans="1:109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</row>
    <row r="367" spans="1:109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</row>
    <row r="368" spans="1:109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</row>
    <row r="369" spans="1:109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</row>
    <row r="370" spans="1:109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</row>
    <row r="371" spans="1:109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</row>
    <row r="372" spans="1:109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</row>
    <row r="373" spans="1:109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</row>
    <row r="374" spans="1:109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</row>
    <row r="375" spans="1:109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</row>
    <row r="376" spans="1:109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</row>
    <row r="377" spans="1:109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</row>
    <row r="378" spans="1:109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</row>
    <row r="379" spans="1:109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</row>
    <row r="380" spans="1:109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</row>
    <row r="381" spans="1:109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</row>
    <row r="382" spans="1:109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</row>
    <row r="383" spans="1:109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</row>
    <row r="384" spans="1:109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</row>
    <row r="385" spans="1:109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</row>
    <row r="386" spans="1:109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</row>
    <row r="387" spans="1:109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</row>
    <row r="388" spans="1:109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</row>
    <row r="389" spans="1:109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</row>
    <row r="390" spans="1:109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</row>
    <row r="391" spans="1:109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</row>
    <row r="392" spans="1:109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</row>
    <row r="393" spans="1:109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</row>
    <row r="394" spans="1:109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</row>
    <row r="395" spans="1:109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</row>
    <row r="396" spans="1:109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</row>
    <row r="397" spans="1:109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</row>
    <row r="398" spans="1:109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</row>
    <row r="399" spans="1:109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</row>
    <row r="400" spans="1:109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</row>
    <row r="401" spans="1:109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</row>
    <row r="402" spans="1:109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</row>
    <row r="403" spans="1:109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</row>
    <row r="404" spans="1:109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</row>
    <row r="405" spans="1:109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</row>
    <row r="406" spans="1:109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</row>
    <row r="407" spans="1:109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</row>
    <row r="408" spans="1:109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</row>
    <row r="409" spans="1:109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</row>
    <row r="410" spans="1:109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</row>
    <row r="411" spans="1:109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</row>
    <row r="412" spans="1:109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</row>
    <row r="413" spans="1:109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</row>
    <row r="414" spans="1:109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</row>
    <row r="415" spans="1:109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</row>
    <row r="416" spans="1:109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</row>
    <row r="417" spans="1:109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</row>
    <row r="418" spans="1:109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</row>
    <row r="419" spans="1:109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</row>
    <row r="420" spans="1:109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</row>
    <row r="421" spans="1:109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</row>
    <row r="422" spans="1:109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</row>
    <row r="423" spans="1:109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</row>
    <row r="424" spans="1:109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</row>
    <row r="425" spans="1:109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</row>
    <row r="426" spans="1:109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</row>
    <row r="427" spans="1:109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</row>
    <row r="428" spans="1:109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</row>
    <row r="429" spans="1:109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</row>
    <row r="430" spans="1:109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</row>
    <row r="431" spans="1:109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</row>
    <row r="432" spans="1:109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</row>
    <row r="433" spans="1:109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</row>
    <row r="434" spans="1:109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</row>
    <row r="435" spans="1:109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</row>
    <row r="436" spans="1:109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</row>
    <row r="437" spans="1:109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</row>
    <row r="438" spans="1:109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</row>
    <row r="439" spans="1:109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</row>
    <row r="440" spans="1:109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</row>
    <row r="441" spans="1:109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</row>
    <row r="442" spans="1:109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</row>
    <row r="443" spans="1:109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</row>
    <row r="444" spans="1:109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</row>
    <row r="445" spans="1:109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</row>
    <row r="446" spans="1:109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</row>
    <row r="447" spans="1:109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</row>
    <row r="448" spans="1:109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</row>
    <row r="449" spans="1:109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</row>
    <row r="450" spans="1:109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</row>
    <row r="451" spans="1:109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</row>
    <row r="452" spans="1:109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</row>
    <row r="453" spans="1:109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</row>
    <row r="454" spans="1:109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</row>
    <row r="455" spans="1:109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</row>
    <row r="456" spans="1:109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</row>
    <row r="457" spans="1:109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</row>
    <row r="458" spans="1:109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</row>
    <row r="459" spans="1:109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</row>
    <row r="460" spans="1:109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</row>
    <row r="461" spans="1:109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</row>
    <row r="462" spans="1:109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</row>
    <row r="463" spans="1:109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</row>
    <row r="464" spans="1:109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</row>
    <row r="465" spans="1:109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</row>
    <row r="466" spans="1:109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</row>
    <row r="467" spans="1:109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</row>
    <row r="468" spans="1:109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</row>
    <row r="469" spans="1:109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</row>
    <row r="470" spans="1:109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</row>
    <row r="471" spans="1:109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</row>
    <row r="472" spans="1:109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</row>
    <row r="473" spans="1:109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</row>
    <row r="474" spans="1:109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</row>
    <row r="475" spans="1:109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</row>
    <row r="476" spans="1:109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</row>
    <row r="477" spans="1:109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</row>
    <row r="478" spans="1:109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</row>
    <row r="479" spans="1:109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</row>
    <row r="480" spans="1:109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</row>
    <row r="481" spans="1:109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</row>
    <row r="482" spans="1:109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</row>
    <row r="483" spans="1:109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</row>
    <row r="484" spans="1:109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</row>
    <row r="485" spans="1:109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</row>
    <row r="486" spans="1:109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</row>
    <row r="487" spans="1:109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</row>
    <row r="488" spans="1:109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</row>
    <row r="489" spans="1:109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</row>
    <row r="490" spans="1:109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</row>
    <row r="491" spans="1:109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</row>
    <row r="492" spans="1:109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</row>
    <row r="493" spans="1:109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</row>
    <row r="494" spans="1:109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</row>
    <row r="495" spans="1:109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</row>
    <row r="496" spans="1:109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</row>
    <row r="497" spans="1:109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</row>
    <row r="498" spans="1:109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</row>
    <row r="499" spans="1:109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</row>
    <row r="500" spans="1:109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</row>
    <row r="501" spans="1:109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</row>
    <row r="502" spans="1:109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</row>
    <row r="503" spans="1:109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</row>
    <row r="504" spans="1:109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</row>
    <row r="505" spans="1:109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</row>
    <row r="506" spans="1:109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</row>
    <row r="507" spans="1:109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</row>
    <row r="508" spans="1:109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</row>
    <row r="509" spans="1:109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</row>
    <row r="510" spans="1:109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</row>
    <row r="511" spans="1:109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</row>
    <row r="512" spans="1:109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</row>
    <row r="513" spans="1:109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</row>
    <row r="514" spans="1:109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</row>
    <row r="515" spans="1:109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</row>
    <row r="516" spans="1:109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</row>
    <row r="517" spans="1:109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</row>
    <row r="518" spans="1:109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</row>
    <row r="519" spans="1:109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</row>
    <row r="520" spans="1:109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</row>
    <row r="521" spans="1:109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</row>
    <row r="522" spans="1:109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</row>
    <row r="523" spans="1:109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</row>
    <row r="524" spans="1:109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</row>
    <row r="525" spans="1:109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</row>
    <row r="526" spans="1:109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</row>
    <row r="527" spans="1:109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</row>
    <row r="528" spans="1:109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</row>
    <row r="529" spans="1:109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</row>
    <row r="530" spans="1:109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</row>
    <row r="531" spans="1:109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</row>
    <row r="532" spans="1:109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</row>
    <row r="533" spans="1:109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</row>
    <row r="534" spans="1:109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</row>
    <row r="535" spans="1:109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</row>
    <row r="536" spans="1:109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</row>
    <row r="537" spans="1:109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</row>
    <row r="538" spans="1:109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</row>
    <row r="539" spans="1:109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</row>
    <row r="540" spans="1:109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</row>
    <row r="541" spans="1:109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</row>
    <row r="542" spans="1:109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</row>
    <row r="543" spans="1:109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</row>
    <row r="544" spans="1:109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</row>
    <row r="545" spans="1:109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</row>
    <row r="546" spans="1:109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</row>
    <row r="547" spans="1:109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</row>
    <row r="548" spans="1:109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</row>
    <row r="549" spans="1:109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</row>
    <row r="550" spans="1:109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</row>
    <row r="551" spans="1:109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</row>
    <row r="552" spans="1:109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</row>
    <row r="553" spans="1:109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</row>
    <row r="554" spans="1:109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</row>
    <row r="555" spans="1:109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</row>
    <row r="556" spans="1:109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</row>
    <row r="557" spans="1:109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</row>
    <row r="558" spans="1:109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</row>
    <row r="559" spans="1:109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</row>
    <row r="560" spans="1:109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</row>
    <row r="561" spans="1:109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</row>
    <row r="562" spans="1:109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</row>
    <row r="563" spans="1:109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</row>
    <row r="564" spans="1:109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</row>
    <row r="565" spans="1:109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</row>
    <row r="566" spans="1:109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</row>
    <row r="567" spans="1:109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</row>
    <row r="568" spans="1:109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</row>
    <row r="569" spans="1:109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</row>
    <row r="570" spans="1:109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</row>
    <row r="571" spans="1:109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</row>
    <row r="572" spans="1:109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</row>
    <row r="573" spans="1:109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</row>
    <row r="574" spans="1:109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</row>
    <row r="575" spans="1:109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</row>
    <row r="576" spans="1:109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</row>
    <row r="577" spans="1:109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</row>
    <row r="578" spans="1:109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</row>
    <row r="579" spans="1:109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</row>
    <row r="580" spans="1:109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</row>
    <row r="581" spans="1:109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</row>
    <row r="582" spans="1:109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</row>
    <row r="583" spans="1:109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</row>
    <row r="584" spans="1:109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</row>
    <row r="585" spans="1:109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</row>
    <row r="586" spans="1:109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</row>
    <row r="587" spans="1:109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</row>
    <row r="588" spans="1:109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</row>
    <row r="589" spans="1:109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</row>
    <row r="590" spans="1:109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</row>
    <row r="591" spans="1:109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</row>
    <row r="592" spans="1:109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</row>
    <row r="593" spans="1:109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</row>
    <row r="594" spans="1:109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</row>
    <row r="595" spans="1:109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</row>
    <row r="596" spans="1:109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</row>
    <row r="597" spans="1:109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</row>
    <row r="598" spans="1:109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</row>
    <row r="599" spans="1:109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</row>
    <row r="600" spans="1:109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</row>
    <row r="601" spans="1:109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</row>
    <row r="602" spans="1:109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</row>
    <row r="603" spans="1:109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</row>
    <row r="604" spans="1:109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</row>
    <row r="605" spans="1:109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</row>
    <row r="606" spans="1:109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</row>
    <row r="607" spans="1:109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</row>
    <row r="608" spans="1:109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</row>
    <row r="609" spans="1:109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</row>
    <row r="610" spans="1:109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</row>
    <row r="611" spans="1:109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</row>
    <row r="612" spans="1:109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</row>
    <row r="613" spans="1:109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</row>
    <row r="614" spans="1:109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</row>
    <row r="615" spans="1:109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</row>
    <row r="616" spans="1:109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</row>
    <row r="617" spans="1:109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</row>
    <row r="618" spans="1:109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</row>
    <row r="619" spans="1:109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</row>
    <row r="620" spans="1:109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</row>
    <row r="621" spans="1:109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</row>
    <row r="622" spans="1:109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</row>
    <row r="623" spans="1:109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</row>
    <row r="624" spans="1:109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</row>
    <row r="625" spans="1:109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</row>
    <row r="626" spans="1:109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</row>
    <row r="627" spans="1:109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</row>
    <row r="628" spans="1:109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</row>
    <row r="629" spans="1:109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</row>
    <row r="630" spans="1:109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</row>
    <row r="631" spans="1:109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</row>
    <row r="632" spans="1:109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</row>
    <row r="633" spans="1:109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</row>
    <row r="634" spans="1:109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</row>
    <row r="635" spans="1:109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</row>
    <row r="636" spans="1:109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</row>
    <row r="637" spans="1:109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</row>
    <row r="638" spans="1:109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</row>
    <row r="639" spans="1:109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</row>
    <row r="640" spans="1:109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</row>
    <row r="641" spans="1:109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</row>
    <row r="642" spans="1:109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</row>
    <row r="643" spans="1:109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</row>
    <row r="644" spans="1:109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</row>
    <row r="645" spans="1:109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</row>
    <row r="646" spans="1:109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</row>
    <row r="647" spans="1:109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</row>
    <row r="648" spans="1:109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</row>
    <row r="649" spans="1:109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</row>
    <row r="650" spans="1:109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</row>
    <row r="651" spans="1:109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</row>
    <row r="652" spans="1:109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</row>
    <row r="653" spans="1:109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</row>
    <row r="654" spans="1:109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</row>
    <row r="655" spans="1:109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</row>
    <row r="656" spans="1:109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</row>
    <row r="657" spans="1:109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</row>
    <row r="658" spans="1:109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</row>
    <row r="659" spans="1:109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</row>
    <row r="660" spans="1:109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</row>
    <row r="661" spans="1:109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</row>
    <row r="662" spans="1:109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</row>
    <row r="663" spans="1:109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</row>
    <row r="664" spans="1:109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</row>
    <row r="665" spans="1:109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</row>
    <row r="666" spans="1:109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</row>
    <row r="667" spans="1:109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</row>
    <row r="668" spans="1:109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</row>
    <row r="669" spans="1:109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</row>
    <row r="670" spans="1:109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</row>
    <row r="671" spans="1:109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</row>
    <row r="672" spans="1:109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</row>
    <row r="673" spans="1:109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</row>
    <row r="674" spans="1:109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</row>
    <row r="675" spans="1:109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</row>
    <row r="676" spans="1:109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</row>
    <row r="677" spans="1:109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</row>
    <row r="678" spans="1:109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</row>
    <row r="679" spans="1:109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</row>
    <row r="680" spans="1:109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</row>
    <row r="681" spans="1:109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</row>
    <row r="682" spans="1:109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</row>
    <row r="683" spans="1:109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</row>
    <row r="684" spans="1:109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</row>
    <row r="685" spans="1:109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</row>
    <row r="686" spans="1:109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</row>
    <row r="687" spans="1:109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</row>
    <row r="688" spans="1:109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</row>
    <row r="689" spans="1:109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</row>
    <row r="690" spans="1:109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</row>
    <row r="691" spans="1:109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</row>
    <row r="692" spans="1:109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</row>
    <row r="693" spans="1:109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</row>
    <row r="694" spans="1:109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</row>
    <row r="695" spans="1:109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</row>
    <row r="696" spans="1:109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</row>
    <row r="697" spans="1:109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</row>
    <row r="698" spans="1:109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</row>
    <row r="699" spans="1:109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</row>
    <row r="700" spans="1:109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</row>
    <row r="701" spans="1:109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</row>
    <row r="702" spans="1:109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</row>
    <row r="703" spans="1:109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</row>
    <row r="704" spans="1:109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</row>
    <row r="705" spans="1:109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</row>
    <row r="706" spans="1:109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</row>
    <row r="707" spans="1:109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</row>
    <row r="708" spans="1:109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</row>
    <row r="709" spans="1:109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</row>
    <row r="710" spans="1:109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</row>
    <row r="711" spans="1:109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</row>
    <row r="712" spans="1:109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</row>
    <row r="713" spans="1:109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</row>
    <row r="714" spans="1:109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</row>
    <row r="715" spans="1:109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</row>
    <row r="716" spans="1:109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</row>
    <row r="717" spans="1:109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</row>
    <row r="718" spans="1:109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</row>
    <row r="719" spans="1:109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</row>
    <row r="720" spans="1:109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</row>
    <row r="721" spans="1:109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</row>
    <row r="722" spans="1:109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</row>
    <row r="723" spans="1:109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</row>
    <row r="724" spans="1:109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</row>
    <row r="725" spans="1:109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</row>
    <row r="726" spans="1:109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</row>
    <row r="727" spans="1:109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</row>
    <row r="728" spans="1:109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</row>
    <row r="729" spans="1:109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</row>
    <row r="730" spans="1:109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</row>
    <row r="731" spans="1:109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</row>
    <row r="732" spans="1:109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</row>
    <row r="733" spans="1:109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</row>
    <row r="734" spans="1:109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</row>
    <row r="735" spans="1:109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</row>
    <row r="736" spans="1:109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</row>
    <row r="737" spans="1:109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</row>
    <row r="738" spans="1:109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</row>
    <row r="739" spans="1:109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</row>
    <row r="740" spans="1:109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</row>
    <row r="741" spans="1:109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</row>
    <row r="742" spans="1:109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</row>
    <row r="743" spans="1:109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</row>
    <row r="744" spans="1:109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</row>
    <row r="745" spans="1:109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</row>
    <row r="746" spans="1:109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</row>
    <row r="747" spans="1:109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</row>
    <row r="748" spans="1:109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</row>
    <row r="749" spans="1:109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</row>
    <row r="750" spans="1:109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</row>
    <row r="751" spans="1:109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</row>
    <row r="752" spans="1:109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</row>
    <row r="753" spans="1:109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</row>
    <row r="754" spans="1:109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</row>
    <row r="755" spans="1:109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</row>
    <row r="756" spans="1:109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</row>
    <row r="757" spans="1:109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</row>
    <row r="758" spans="1:109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</row>
    <row r="759" spans="1:109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</row>
    <row r="760" spans="1:109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</row>
    <row r="761" spans="1:109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</row>
    <row r="762" spans="1:109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</row>
    <row r="763" spans="1:109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</row>
    <row r="764" spans="1:109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</row>
    <row r="765" spans="1:109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</row>
    <row r="766" spans="1:109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</row>
    <row r="767" spans="1:109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</row>
    <row r="768" spans="1:109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</row>
    <row r="769" spans="1:109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</row>
    <row r="770" spans="1:109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</row>
    <row r="771" spans="1:109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</row>
    <row r="772" spans="1:109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</row>
    <row r="773" spans="1:109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</row>
    <row r="774" spans="1:109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</row>
    <row r="775" spans="1:109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</row>
    <row r="776" spans="1:109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</row>
    <row r="777" spans="1:109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</row>
    <row r="778" spans="1:109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</row>
    <row r="779" spans="1:109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</row>
    <row r="780" spans="1:109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</row>
    <row r="781" spans="1:109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</row>
    <row r="782" spans="1:109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</row>
    <row r="783" spans="1:109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</row>
    <row r="784" spans="1:109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</row>
    <row r="785" spans="1:109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</row>
    <row r="786" spans="1:109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</row>
    <row r="787" spans="1:109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</row>
    <row r="788" spans="1:109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</row>
    <row r="789" spans="1:109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</row>
    <row r="790" spans="1:109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</row>
    <row r="791" spans="1:109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</row>
    <row r="792" spans="1:109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</row>
    <row r="793" spans="1:109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</row>
    <row r="794" spans="1:109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</row>
    <row r="795" spans="1:109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</row>
    <row r="796" spans="1:109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</row>
    <row r="797" spans="1:109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</row>
    <row r="798" spans="1:109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</row>
    <row r="799" spans="1:109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</row>
    <row r="800" spans="1:109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</row>
    <row r="801" spans="1:109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</row>
    <row r="802" spans="1:109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</row>
    <row r="803" spans="1:109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</row>
    <row r="804" spans="1:109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</row>
    <row r="805" spans="1:109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</row>
    <row r="806" spans="1:109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</row>
    <row r="807" spans="1:109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</row>
    <row r="808" spans="1:109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</row>
    <row r="809" spans="1:109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</row>
    <row r="810" spans="1:109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</row>
    <row r="811" spans="1:109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</row>
    <row r="812" spans="1:109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</row>
    <row r="813" spans="1:109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</row>
    <row r="814" spans="1:109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</row>
    <row r="815" spans="1:109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</row>
    <row r="816" spans="1:109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</row>
    <row r="817" spans="1:109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</row>
    <row r="818" spans="1:109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</row>
    <row r="819" spans="1:109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</row>
    <row r="820" spans="1:109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</row>
    <row r="821" spans="1:109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</row>
    <row r="822" spans="1:109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</row>
    <row r="823" spans="1:109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</row>
    <row r="824" spans="1:109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</row>
    <row r="825" spans="1:109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</row>
    <row r="826" spans="1:109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</row>
    <row r="827" spans="1:109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</row>
    <row r="828" spans="1:109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</row>
    <row r="829" spans="1:109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</row>
    <row r="830" spans="1:109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</row>
    <row r="831" spans="1:109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</row>
    <row r="832" spans="1:109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</row>
    <row r="833" spans="1:109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</row>
    <row r="834" spans="1:109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</row>
    <row r="835" spans="1:109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</row>
    <row r="836" spans="1:109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</row>
    <row r="837" spans="1:109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</row>
    <row r="838" spans="1:109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</row>
    <row r="839" spans="1:109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</row>
    <row r="840" spans="1:109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</row>
    <row r="841" spans="1:109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</row>
    <row r="842" spans="1:109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</row>
    <row r="843" spans="1:109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</row>
    <row r="844" spans="1:109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</row>
    <row r="845" spans="1:109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</row>
    <row r="846" spans="1:109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</row>
    <row r="847" spans="1:109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</row>
    <row r="848" spans="1:109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</row>
    <row r="849" spans="1:109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</row>
    <row r="850" spans="1:109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</row>
    <row r="851" spans="1:109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</row>
    <row r="852" spans="1:109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</row>
    <row r="853" spans="1:109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</row>
    <row r="854" spans="1:109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</row>
    <row r="855" spans="1:109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</row>
    <row r="856" spans="1:109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</row>
    <row r="857" spans="1:109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</row>
    <row r="858" spans="1:109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</row>
    <row r="859" spans="1:109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</row>
    <row r="860" spans="1:109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</row>
    <row r="861" spans="1:109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</row>
    <row r="862" spans="1:109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</row>
    <row r="863" spans="1:109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</row>
    <row r="864" spans="1:109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</row>
    <row r="865" spans="1:109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</row>
    <row r="866" spans="1:109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</row>
    <row r="867" spans="1:109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</row>
    <row r="868" spans="1:109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</row>
    <row r="869" spans="1:109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</row>
    <row r="870" spans="1:109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</row>
    <row r="871" spans="1:109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</row>
    <row r="872" spans="1:109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</row>
    <row r="873" spans="1:109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</row>
    <row r="874" spans="1:109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</row>
    <row r="875" spans="1:109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</row>
    <row r="876" spans="1:109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</row>
    <row r="877" spans="1:109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</row>
    <row r="878" spans="1:109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</row>
    <row r="879" spans="1:109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</row>
    <row r="880" spans="1:109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</row>
    <row r="881" spans="1:109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</row>
    <row r="882" spans="1:109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</row>
    <row r="883" spans="1:109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</row>
    <row r="884" spans="1:109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</row>
    <row r="885" spans="1:109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</row>
    <row r="886" spans="1:109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</row>
    <row r="887" spans="1:109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</row>
    <row r="888" spans="1:109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</row>
    <row r="889" spans="1:109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</row>
    <row r="890" spans="1:109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</row>
    <row r="891" spans="1:109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</row>
    <row r="892" spans="1:109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</row>
    <row r="893" spans="1:109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</row>
    <row r="894" spans="1:109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</row>
    <row r="895" spans="1:109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</row>
    <row r="896" spans="1:109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</row>
    <row r="897" spans="1:109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</row>
    <row r="898" spans="1:109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</row>
    <row r="899" spans="1:109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</row>
    <row r="900" spans="1:109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</row>
    <row r="901" spans="1:109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</row>
    <row r="902" spans="1:109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</row>
    <row r="903" spans="1:109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</row>
    <row r="904" spans="1:109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</row>
    <row r="905" spans="1:109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</row>
    <row r="906" spans="1:109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</row>
    <row r="907" spans="1:109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</row>
    <row r="908" spans="1:109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</row>
    <row r="909" spans="1:109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</row>
    <row r="910" spans="1:109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</row>
    <row r="911" spans="1:109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</row>
    <row r="912" spans="1:109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</row>
    <row r="913" spans="1:109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</row>
    <row r="914" spans="1:109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</row>
    <row r="915" spans="1:109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</row>
    <row r="916" spans="1:109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</row>
    <row r="917" spans="1:109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</row>
    <row r="918" spans="1:109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</row>
    <row r="919" spans="1:109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</row>
    <row r="920" spans="1:109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</row>
    <row r="921" spans="1:109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</row>
    <row r="922" spans="1:109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</row>
    <row r="923" spans="1:109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</row>
    <row r="924" spans="1:109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</row>
    <row r="925" spans="1:109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</row>
    <row r="926" spans="1:109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</row>
    <row r="927" spans="1:109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</row>
    <row r="928" spans="1:109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</row>
    <row r="929" spans="1:109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</row>
    <row r="930" spans="1:109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</row>
    <row r="931" spans="1:109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</row>
    <row r="932" spans="1:109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</row>
    <row r="933" spans="1:109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</row>
    <row r="934" spans="1:109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</row>
    <row r="935" spans="1:109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</row>
    <row r="936" spans="1:109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</row>
    <row r="937" spans="1:109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</row>
    <row r="938" spans="1:109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</row>
    <row r="939" spans="1:109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</row>
    <row r="940" spans="1:109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</row>
    <row r="941" spans="1:109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</row>
    <row r="942" spans="1:109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</row>
    <row r="943" spans="1:109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</row>
    <row r="944" spans="1:109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</row>
    <row r="945" spans="1:109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</row>
    <row r="946" spans="1:109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</row>
    <row r="947" spans="1:109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</row>
    <row r="948" spans="1:109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</row>
    <row r="949" spans="1:109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</row>
    <row r="950" spans="1:109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</row>
    <row r="951" spans="1:109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</row>
    <row r="952" spans="1:109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</row>
    <row r="953" spans="1:109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</row>
    <row r="954" spans="1:109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</row>
    <row r="955" spans="1:109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</row>
    <row r="956" spans="1:109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</row>
    <row r="957" spans="1:109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</row>
    <row r="958" spans="1:109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</row>
    <row r="959" spans="1:109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</row>
    <row r="960" spans="1:109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</row>
    <row r="961" spans="1:109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</row>
    <row r="962" spans="1:109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</row>
    <row r="963" spans="1:109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</row>
    <row r="964" spans="1:109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</row>
    <row r="965" spans="1:109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</row>
    <row r="966" spans="1:109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</row>
    <row r="967" spans="1:109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</row>
    <row r="968" spans="1:109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</row>
    <row r="969" spans="1:109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</row>
    <row r="970" spans="1:109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</row>
    <row r="971" spans="1:109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</row>
    <row r="972" spans="1:109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</row>
    <row r="973" spans="1:109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</row>
    <row r="974" spans="1:109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</row>
    <row r="975" spans="1:109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</row>
    <row r="976" spans="1:109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</row>
    <row r="977" spans="1:109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</row>
    <row r="978" spans="1:109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</row>
    <row r="979" spans="1:109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</row>
    <row r="980" spans="1:109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</row>
    <row r="981" spans="1:109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</row>
    <row r="982" spans="1:109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</row>
    <row r="983" spans="1:109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</row>
    <row r="984" spans="1:109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</row>
    <row r="985" spans="1:109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</row>
    <row r="986" spans="1:109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</row>
    <row r="987" spans="1:109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</row>
    <row r="988" spans="1:109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</row>
    <row r="989" spans="1:109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</row>
    <row r="990" spans="1:109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</row>
    <row r="991" spans="1:109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</row>
    <row r="992" spans="1:109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</row>
    <row r="993" spans="1:109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</row>
    <row r="994" spans="1:109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</row>
    <row r="995" spans="1:109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</row>
    <row r="996" spans="1:109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</row>
    <row r="997" spans="1:109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</row>
    <row r="998" spans="1:109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</row>
    <row r="999" spans="1:109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</row>
    <row r="1000" spans="1:109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</row>
    <row r="1001" spans="1:109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</row>
    <row r="1002" spans="1:109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</row>
    <row r="1003" spans="1:109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</row>
    <row r="1004" spans="1:109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</row>
    <row r="1005" spans="1:109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</row>
    <row r="1006" spans="1:109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</row>
    <row r="1007" spans="1:109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</row>
  </sheetData>
  <autoFilter ref="A9:DE8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168"/>
  <sheetViews>
    <sheetView workbookViewId="0"/>
  </sheetViews>
  <sheetFormatPr baseColWidth="10" defaultColWidth="12.5703125" defaultRowHeight="15.75" customHeight="1" x14ac:dyDescent="0.2"/>
  <sheetData>
    <row r="1" spans="1:13" ht="15.75" customHeight="1" x14ac:dyDescent="0.25">
      <c r="A1" s="65" t="s">
        <v>345</v>
      </c>
      <c r="B1" s="65" t="s">
        <v>346</v>
      </c>
      <c r="C1" s="73" t="s">
        <v>453</v>
      </c>
      <c r="F1" s="74" t="s">
        <v>4</v>
      </c>
      <c r="G1" s="75" t="s">
        <v>101</v>
      </c>
      <c r="H1" s="76" t="s">
        <v>197</v>
      </c>
      <c r="I1" s="75" t="s">
        <v>207</v>
      </c>
      <c r="L1" s="65" t="s">
        <v>454</v>
      </c>
      <c r="M1" s="65" t="s">
        <v>2</v>
      </c>
    </row>
    <row r="2" spans="1:13" ht="15.75" customHeight="1" x14ac:dyDescent="0.25">
      <c r="A2" s="65" t="s">
        <v>455</v>
      </c>
      <c r="B2" s="65" t="s">
        <v>456</v>
      </c>
      <c r="C2" s="77">
        <v>44981</v>
      </c>
      <c r="F2" s="78" t="s">
        <v>5</v>
      </c>
      <c r="G2" s="79" t="s">
        <v>102</v>
      </c>
      <c r="H2" s="80">
        <v>3</v>
      </c>
      <c r="I2" s="81" t="s">
        <v>208</v>
      </c>
      <c r="L2" s="65" t="s">
        <v>35</v>
      </c>
      <c r="M2" s="65" t="s">
        <v>457</v>
      </c>
    </row>
    <row r="3" spans="1:13" ht="15.75" customHeight="1" x14ac:dyDescent="0.25">
      <c r="A3" s="65" t="s">
        <v>458</v>
      </c>
      <c r="B3" s="65" t="s">
        <v>459</v>
      </c>
      <c r="C3" s="77">
        <v>45016</v>
      </c>
      <c r="F3" s="78" t="s">
        <v>35</v>
      </c>
      <c r="G3" s="79" t="s">
        <v>132</v>
      </c>
      <c r="H3" s="80">
        <v>2</v>
      </c>
      <c r="I3" s="81" t="s">
        <v>208</v>
      </c>
      <c r="L3" s="65" t="s">
        <v>66</v>
      </c>
      <c r="M3" s="65" t="s">
        <v>163</v>
      </c>
    </row>
    <row r="4" spans="1:13" ht="15.75" customHeight="1" x14ac:dyDescent="0.25">
      <c r="A4" s="65" t="s">
        <v>460</v>
      </c>
      <c r="B4" s="65" t="s">
        <v>461</v>
      </c>
      <c r="C4" s="77">
        <v>45002</v>
      </c>
      <c r="F4" s="78" t="s">
        <v>372</v>
      </c>
      <c r="G4" s="79" t="s">
        <v>462</v>
      </c>
      <c r="H4" s="80">
        <v>3</v>
      </c>
      <c r="I4" s="81" t="s">
        <v>208</v>
      </c>
      <c r="L4" s="65" t="s">
        <v>67</v>
      </c>
      <c r="M4" s="65" t="s">
        <v>164</v>
      </c>
    </row>
    <row r="5" spans="1:13" ht="15.75" customHeight="1" x14ac:dyDescent="0.25">
      <c r="A5" s="65" t="s">
        <v>463</v>
      </c>
      <c r="B5" s="65" t="s">
        <v>464</v>
      </c>
      <c r="C5" s="77">
        <v>44981</v>
      </c>
      <c r="F5" s="78" t="s">
        <v>7</v>
      </c>
      <c r="G5" s="79" t="s">
        <v>104</v>
      </c>
      <c r="H5" s="80">
        <v>2</v>
      </c>
      <c r="I5" s="81" t="s">
        <v>208</v>
      </c>
      <c r="L5" s="65" t="s">
        <v>68</v>
      </c>
      <c r="M5" s="65" t="s">
        <v>165</v>
      </c>
    </row>
    <row r="6" spans="1:13" ht="15.75" customHeight="1" x14ac:dyDescent="0.25">
      <c r="A6" s="65" t="s">
        <v>465</v>
      </c>
      <c r="B6" s="65" t="s">
        <v>466</v>
      </c>
      <c r="C6" s="77">
        <v>44992</v>
      </c>
      <c r="F6" s="78" t="s">
        <v>8</v>
      </c>
      <c r="G6" s="79" t="s">
        <v>105</v>
      </c>
      <c r="H6" s="80">
        <v>2</v>
      </c>
      <c r="I6" s="81" t="s">
        <v>208</v>
      </c>
      <c r="L6" s="65" t="s">
        <v>7</v>
      </c>
      <c r="M6" s="65" t="s">
        <v>104</v>
      </c>
    </row>
    <row r="7" spans="1:13" ht="15.75" customHeight="1" x14ac:dyDescent="0.25">
      <c r="A7" s="65" t="s">
        <v>467</v>
      </c>
      <c r="B7" s="65" t="s">
        <v>468</v>
      </c>
      <c r="C7" s="77">
        <v>45022</v>
      </c>
      <c r="F7" s="78" t="s">
        <v>9</v>
      </c>
      <c r="G7" s="79" t="s">
        <v>106</v>
      </c>
      <c r="H7" s="80">
        <v>2</v>
      </c>
      <c r="I7" s="81" t="s">
        <v>208</v>
      </c>
      <c r="L7" s="65" t="s">
        <v>69</v>
      </c>
      <c r="M7" s="65" t="s">
        <v>166</v>
      </c>
    </row>
    <row r="8" spans="1:13" ht="15.75" customHeight="1" x14ac:dyDescent="0.25">
      <c r="A8" s="65" t="s">
        <v>469</v>
      </c>
      <c r="B8" s="65" t="s">
        <v>470</v>
      </c>
      <c r="C8" s="77">
        <v>45043</v>
      </c>
      <c r="F8" s="78" t="s">
        <v>10</v>
      </c>
      <c r="G8" s="79" t="s">
        <v>107</v>
      </c>
      <c r="H8" s="80">
        <v>2</v>
      </c>
      <c r="I8" s="81" t="s">
        <v>208</v>
      </c>
      <c r="L8" s="65" t="s">
        <v>36</v>
      </c>
      <c r="M8" s="65" t="s">
        <v>133</v>
      </c>
    </row>
    <row r="9" spans="1:13" ht="15.75" customHeight="1" x14ac:dyDescent="0.25">
      <c r="A9" s="65" t="s">
        <v>471</v>
      </c>
      <c r="B9" s="65" t="s">
        <v>472</v>
      </c>
      <c r="C9" s="77">
        <v>45043</v>
      </c>
      <c r="F9" s="78" t="s">
        <v>11</v>
      </c>
      <c r="G9" s="79" t="s">
        <v>108</v>
      </c>
      <c r="H9" s="80">
        <v>3</v>
      </c>
      <c r="I9" s="81" t="s">
        <v>208</v>
      </c>
      <c r="L9" s="65" t="s">
        <v>37</v>
      </c>
      <c r="M9" s="65" t="s">
        <v>134</v>
      </c>
    </row>
    <row r="10" spans="1:13" ht="15.75" customHeight="1" x14ac:dyDescent="0.25">
      <c r="A10" s="65" t="s">
        <v>473</v>
      </c>
      <c r="B10" s="65" t="s">
        <v>474</v>
      </c>
      <c r="C10" s="77">
        <v>45000</v>
      </c>
      <c r="F10" s="78" t="s">
        <v>41</v>
      </c>
      <c r="G10" s="79" t="s">
        <v>138</v>
      </c>
      <c r="H10" s="80">
        <v>3</v>
      </c>
      <c r="I10" s="81" t="s">
        <v>208</v>
      </c>
      <c r="L10" s="65" t="s">
        <v>71</v>
      </c>
      <c r="M10" s="65" t="s">
        <v>168</v>
      </c>
    </row>
    <row r="11" spans="1:13" ht="15.75" customHeight="1" x14ac:dyDescent="0.25">
      <c r="A11" s="65" t="s">
        <v>475</v>
      </c>
      <c r="B11" s="65" t="s">
        <v>476</v>
      </c>
      <c r="C11" s="77">
        <v>45077</v>
      </c>
      <c r="F11" s="78" t="s">
        <v>12</v>
      </c>
      <c r="G11" s="79" t="s">
        <v>109</v>
      </c>
      <c r="H11" s="80">
        <v>2</v>
      </c>
      <c r="I11" s="81" t="s">
        <v>208</v>
      </c>
      <c r="L11" s="65" t="s">
        <v>39</v>
      </c>
      <c r="M11" s="65" t="s">
        <v>136</v>
      </c>
    </row>
    <row r="12" spans="1:13" ht="15.75" customHeight="1" x14ac:dyDescent="0.25">
      <c r="A12" s="65" t="s">
        <v>477</v>
      </c>
      <c r="B12" s="65" t="s">
        <v>478</v>
      </c>
      <c r="C12" s="77">
        <v>44985</v>
      </c>
      <c r="F12" s="78" t="s">
        <v>13</v>
      </c>
      <c r="G12" s="79" t="s">
        <v>110</v>
      </c>
      <c r="H12" s="80">
        <v>2</v>
      </c>
      <c r="I12" s="81" t="s">
        <v>208</v>
      </c>
      <c r="L12" s="65" t="s">
        <v>40</v>
      </c>
      <c r="M12" s="65" t="s">
        <v>137</v>
      </c>
    </row>
    <row r="13" spans="1:13" ht="15.75" customHeight="1" x14ac:dyDescent="0.25">
      <c r="A13" s="65" t="s">
        <v>479</v>
      </c>
      <c r="B13" s="65" t="s">
        <v>480</v>
      </c>
      <c r="C13" s="77">
        <v>45017</v>
      </c>
      <c r="F13" s="78" t="s">
        <v>14</v>
      </c>
      <c r="G13" s="79" t="s">
        <v>111</v>
      </c>
      <c r="H13" s="80">
        <v>2</v>
      </c>
      <c r="I13" s="81" t="s">
        <v>208</v>
      </c>
      <c r="L13" s="65" t="s">
        <v>72</v>
      </c>
      <c r="M13" s="65" t="s">
        <v>169</v>
      </c>
    </row>
    <row r="14" spans="1:13" ht="15.75" customHeight="1" x14ac:dyDescent="0.25">
      <c r="A14" s="65" t="s">
        <v>481</v>
      </c>
      <c r="B14" s="65" t="s">
        <v>482</v>
      </c>
      <c r="C14" s="77">
        <v>44984</v>
      </c>
      <c r="F14" s="78" t="s">
        <v>15</v>
      </c>
      <c r="G14" s="79" t="s">
        <v>112</v>
      </c>
      <c r="H14" s="80">
        <v>2</v>
      </c>
      <c r="I14" s="81" t="s">
        <v>208</v>
      </c>
      <c r="L14" s="65" t="s">
        <v>11</v>
      </c>
      <c r="M14" s="65" t="s">
        <v>108</v>
      </c>
    </row>
    <row r="15" spans="1:13" ht="15.75" customHeight="1" x14ac:dyDescent="0.25">
      <c r="A15" s="65" t="s">
        <v>483</v>
      </c>
      <c r="B15" s="65" t="s">
        <v>484</v>
      </c>
      <c r="C15" s="77">
        <v>45082</v>
      </c>
      <c r="F15" s="78" t="s">
        <v>48</v>
      </c>
      <c r="G15" s="79" t="s">
        <v>145</v>
      </c>
      <c r="H15" s="80">
        <v>3</v>
      </c>
      <c r="I15" s="81" t="s">
        <v>208</v>
      </c>
      <c r="L15" s="65" t="s">
        <v>73</v>
      </c>
      <c r="M15" s="65" t="s">
        <v>170</v>
      </c>
    </row>
    <row r="16" spans="1:13" ht="15.75" customHeight="1" x14ac:dyDescent="0.25">
      <c r="A16" s="65" t="s">
        <v>485</v>
      </c>
      <c r="B16" s="65" t="s">
        <v>486</v>
      </c>
      <c r="C16" s="77">
        <v>45050</v>
      </c>
      <c r="F16" s="78" t="s">
        <v>49</v>
      </c>
      <c r="G16" s="79" t="s">
        <v>146</v>
      </c>
      <c r="H16" s="80">
        <v>2</v>
      </c>
      <c r="I16" s="81" t="s">
        <v>208</v>
      </c>
      <c r="L16" s="65" t="s">
        <v>74</v>
      </c>
      <c r="M16" s="65" t="s">
        <v>171</v>
      </c>
    </row>
    <row r="17" spans="1:13" ht="15.75" customHeight="1" x14ac:dyDescent="0.25">
      <c r="A17" s="65" t="s">
        <v>487</v>
      </c>
      <c r="B17" s="65" t="s">
        <v>488</v>
      </c>
      <c r="C17" s="77">
        <v>45002</v>
      </c>
      <c r="F17" s="78" t="s">
        <v>16</v>
      </c>
      <c r="G17" s="79" t="s">
        <v>113</v>
      </c>
      <c r="H17" s="80">
        <v>2</v>
      </c>
      <c r="I17" s="81" t="s">
        <v>208</v>
      </c>
      <c r="L17" s="65" t="s">
        <v>75</v>
      </c>
      <c r="M17" s="65" t="s">
        <v>172</v>
      </c>
    </row>
    <row r="18" spans="1:13" ht="15.75" customHeight="1" x14ac:dyDescent="0.25">
      <c r="A18" s="65" t="s">
        <v>489</v>
      </c>
      <c r="B18" s="65" t="s">
        <v>490</v>
      </c>
      <c r="C18" s="77">
        <v>45066</v>
      </c>
      <c r="F18" s="78" t="s">
        <v>54</v>
      </c>
      <c r="G18" s="79" t="s">
        <v>151</v>
      </c>
      <c r="H18" s="80">
        <v>3</v>
      </c>
      <c r="I18" s="81" t="s">
        <v>208</v>
      </c>
      <c r="L18" s="65" t="s">
        <v>13</v>
      </c>
      <c r="M18" s="65" t="s">
        <v>110</v>
      </c>
    </row>
    <row r="19" spans="1:13" ht="15.75" customHeight="1" x14ac:dyDescent="0.25">
      <c r="A19" s="65" t="s">
        <v>491</v>
      </c>
      <c r="B19" s="65" t="s">
        <v>492</v>
      </c>
      <c r="C19" s="77">
        <v>45192</v>
      </c>
      <c r="F19" s="78" t="s">
        <v>21</v>
      </c>
      <c r="G19" s="79" t="s">
        <v>118</v>
      </c>
      <c r="H19" s="80">
        <v>2</v>
      </c>
      <c r="I19" s="81" t="s">
        <v>208</v>
      </c>
      <c r="L19" s="65" t="s">
        <v>76</v>
      </c>
      <c r="M19" s="65" t="s">
        <v>173</v>
      </c>
    </row>
    <row r="20" spans="1:13" ht="15.75" customHeight="1" x14ac:dyDescent="0.25">
      <c r="A20" s="65" t="s">
        <v>493</v>
      </c>
      <c r="B20" s="65" t="s">
        <v>494</v>
      </c>
      <c r="C20" s="77">
        <v>45503</v>
      </c>
      <c r="F20" s="78" t="s">
        <v>22</v>
      </c>
      <c r="G20" s="79" t="s">
        <v>119</v>
      </c>
      <c r="H20" s="80">
        <v>4</v>
      </c>
      <c r="I20" s="81" t="s">
        <v>208</v>
      </c>
      <c r="L20" s="65" t="s">
        <v>77</v>
      </c>
      <c r="M20" s="65" t="s">
        <v>174</v>
      </c>
    </row>
    <row r="21" spans="1:13" ht="22.5" x14ac:dyDescent="0.25">
      <c r="A21" s="65" t="s">
        <v>495</v>
      </c>
      <c r="B21" s="65" t="s">
        <v>496</v>
      </c>
      <c r="C21" s="77">
        <v>44970</v>
      </c>
      <c r="F21" s="78" t="s">
        <v>23</v>
      </c>
      <c r="G21" s="79" t="s">
        <v>120</v>
      </c>
      <c r="H21" s="80">
        <v>3</v>
      </c>
      <c r="I21" s="81" t="s">
        <v>208</v>
      </c>
      <c r="L21" s="65" t="s">
        <v>78</v>
      </c>
      <c r="M21" s="65" t="s">
        <v>175</v>
      </c>
    </row>
    <row r="22" spans="1:13" ht="22.5" x14ac:dyDescent="0.25">
      <c r="A22" s="65" t="s">
        <v>497</v>
      </c>
      <c r="B22" s="65" t="s">
        <v>498</v>
      </c>
      <c r="C22" s="77">
        <v>45029</v>
      </c>
      <c r="F22" s="82" t="s">
        <v>24</v>
      </c>
      <c r="G22" s="83" t="s">
        <v>121</v>
      </c>
      <c r="H22" s="80">
        <v>2</v>
      </c>
      <c r="I22" s="81" t="s">
        <v>208</v>
      </c>
      <c r="L22" s="65" t="s">
        <v>44</v>
      </c>
      <c r="M22" s="65" t="s">
        <v>141</v>
      </c>
    </row>
    <row r="23" spans="1:13" ht="15" x14ac:dyDescent="0.25">
      <c r="A23" s="65" t="s">
        <v>499</v>
      </c>
      <c r="B23" s="65" t="s">
        <v>500</v>
      </c>
      <c r="C23" s="77">
        <v>45006</v>
      </c>
      <c r="F23" s="78" t="s">
        <v>366</v>
      </c>
      <c r="G23" s="79" t="s">
        <v>367</v>
      </c>
      <c r="H23" s="80">
        <v>3</v>
      </c>
      <c r="I23" s="81" t="s">
        <v>208</v>
      </c>
      <c r="L23" s="65" t="s">
        <v>46</v>
      </c>
      <c r="M23" s="65" t="s">
        <v>143</v>
      </c>
    </row>
    <row r="24" spans="1:13" ht="15" x14ac:dyDescent="0.25">
      <c r="A24" s="65" t="s">
        <v>501</v>
      </c>
      <c r="B24" s="65" t="s">
        <v>502</v>
      </c>
      <c r="C24" s="77">
        <v>45044</v>
      </c>
      <c r="F24" s="78" t="s">
        <v>6</v>
      </c>
      <c r="G24" s="79" t="s">
        <v>103</v>
      </c>
      <c r="H24" s="80">
        <v>3</v>
      </c>
      <c r="I24" s="81" t="s">
        <v>208</v>
      </c>
      <c r="L24" s="65" t="s">
        <v>47</v>
      </c>
      <c r="M24" s="65" t="s">
        <v>144</v>
      </c>
    </row>
    <row r="25" spans="1:13" ht="15" x14ac:dyDescent="0.25">
      <c r="A25" s="65" t="s">
        <v>503</v>
      </c>
      <c r="B25" s="65" t="s">
        <v>504</v>
      </c>
      <c r="C25" s="77">
        <v>45021</v>
      </c>
      <c r="F25" s="78" t="s">
        <v>43</v>
      </c>
      <c r="G25" s="79" t="s">
        <v>140</v>
      </c>
      <c r="H25" s="80">
        <v>3</v>
      </c>
      <c r="I25" s="81" t="s">
        <v>208</v>
      </c>
      <c r="L25" s="65" t="s">
        <v>48</v>
      </c>
      <c r="M25" s="65" t="s">
        <v>145</v>
      </c>
    </row>
    <row r="26" spans="1:13" ht="15" x14ac:dyDescent="0.25">
      <c r="A26" s="65" t="s">
        <v>505</v>
      </c>
      <c r="B26" s="65" t="s">
        <v>506</v>
      </c>
      <c r="C26" s="84">
        <v>44926</v>
      </c>
      <c r="F26" s="85" t="s">
        <v>18</v>
      </c>
      <c r="G26" s="79" t="s">
        <v>115</v>
      </c>
      <c r="H26" s="80">
        <v>2</v>
      </c>
      <c r="I26" s="81" t="s">
        <v>208</v>
      </c>
      <c r="L26" s="65" t="s">
        <v>79</v>
      </c>
      <c r="M26" s="65" t="s">
        <v>176</v>
      </c>
    </row>
    <row r="27" spans="1:13" ht="22.5" x14ac:dyDescent="0.25">
      <c r="A27" s="65" t="s">
        <v>507</v>
      </c>
      <c r="B27" s="65" t="s">
        <v>508</v>
      </c>
      <c r="C27" s="77">
        <v>45014</v>
      </c>
      <c r="F27" s="85" t="s">
        <v>19</v>
      </c>
      <c r="G27" s="79" t="s">
        <v>116</v>
      </c>
      <c r="H27" s="80">
        <v>3</v>
      </c>
      <c r="I27" s="81" t="s">
        <v>208</v>
      </c>
      <c r="L27" s="65" t="s">
        <v>81</v>
      </c>
      <c r="M27" s="65" t="s">
        <v>178</v>
      </c>
    </row>
    <row r="28" spans="1:13" ht="15" x14ac:dyDescent="0.25">
      <c r="A28" s="65" t="s">
        <v>509</v>
      </c>
      <c r="B28" s="65" t="s">
        <v>510</v>
      </c>
      <c r="C28" s="77">
        <v>45040</v>
      </c>
      <c r="F28" s="86" t="s">
        <v>28</v>
      </c>
      <c r="G28" s="83" t="s">
        <v>125</v>
      </c>
      <c r="H28" s="80">
        <v>3</v>
      </c>
      <c r="I28" s="81" t="s">
        <v>208</v>
      </c>
      <c r="L28" s="65" t="s">
        <v>51</v>
      </c>
      <c r="M28" s="65" t="s">
        <v>148</v>
      </c>
    </row>
    <row r="29" spans="1:13" ht="15" x14ac:dyDescent="0.25">
      <c r="A29" s="65" t="s">
        <v>511</v>
      </c>
      <c r="B29" s="65" t="s">
        <v>512</v>
      </c>
      <c r="C29" s="77">
        <v>45054</v>
      </c>
      <c r="F29" s="86" t="s">
        <v>29</v>
      </c>
      <c r="G29" s="83" t="s">
        <v>126</v>
      </c>
      <c r="H29" s="80"/>
      <c r="I29" s="81" t="s">
        <v>208</v>
      </c>
      <c r="L29" s="65" t="s">
        <v>82</v>
      </c>
      <c r="M29" s="65" t="s">
        <v>179</v>
      </c>
    </row>
    <row r="30" spans="1:13" ht="15" x14ac:dyDescent="0.25">
      <c r="A30" s="65" t="s">
        <v>513</v>
      </c>
      <c r="B30" s="65" t="s">
        <v>514</v>
      </c>
      <c r="C30" s="77">
        <v>45045</v>
      </c>
      <c r="F30" s="86" t="s">
        <v>62</v>
      </c>
      <c r="G30" s="83" t="s">
        <v>159</v>
      </c>
      <c r="H30" s="80"/>
      <c r="I30" s="81" t="s">
        <v>208</v>
      </c>
      <c r="L30" s="65" t="s">
        <v>52</v>
      </c>
      <c r="M30" s="65" t="s">
        <v>328</v>
      </c>
    </row>
    <row r="31" spans="1:13" ht="22.5" x14ac:dyDescent="0.25">
      <c r="A31" s="65" t="s">
        <v>515</v>
      </c>
      <c r="B31" s="65" t="s">
        <v>516</v>
      </c>
      <c r="C31" s="84">
        <v>44926</v>
      </c>
      <c r="F31" s="86" t="s">
        <v>32</v>
      </c>
      <c r="G31" s="83" t="s">
        <v>129</v>
      </c>
      <c r="H31" s="80"/>
      <c r="I31" s="87" t="s">
        <v>208</v>
      </c>
      <c r="L31" s="65" t="s">
        <v>53</v>
      </c>
      <c r="M31" s="65" t="s">
        <v>150</v>
      </c>
    </row>
    <row r="32" spans="1:13" ht="22.5" x14ac:dyDescent="0.25">
      <c r="A32" s="65" t="s">
        <v>517</v>
      </c>
      <c r="B32" s="65" t="s">
        <v>518</v>
      </c>
      <c r="C32" s="77">
        <v>45030</v>
      </c>
      <c r="F32" s="86" t="s">
        <v>33</v>
      </c>
      <c r="G32" s="83" t="s">
        <v>130</v>
      </c>
      <c r="H32" s="80"/>
      <c r="I32" s="87" t="s">
        <v>208</v>
      </c>
      <c r="L32" s="65" t="s">
        <v>89</v>
      </c>
      <c r="M32" s="65" t="s">
        <v>186</v>
      </c>
    </row>
    <row r="33" spans="1:13" ht="22.5" x14ac:dyDescent="0.25">
      <c r="A33" s="65" t="s">
        <v>519</v>
      </c>
      <c r="B33" s="65" t="s">
        <v>520</v>
      </c>
      <c r="C33" s="77">
        <v>45030</v>
      </c>
      <c r="F33" s="86" t="s">
        <v>61</v>
      </c>
      <c r="G33" s="83" t="s">
        <v>158</v>
      </c>
      <c r="H33" s="80">
        <v>2</v>
      </c>
      <c r="I33" s="87" t="s">
        <v>209</v>
      </c>
      <c r="L33" s="65" t="s">
        <v>55</v>
      </c>
      <c r="M33" s="65" t="s">
        <v>521</v>
      </c>
    </row>
    <row r="34" spans="1:13" ht="22.5" x14ac:dyDescent="0.25">
      <c r="A34" s="65" t="s">
        <v>522</v>
      </c>
      <c r="B34" s="65" t="s">
        <v>523</v>
      </c>
      <c r="C34" s="77">
        <v>45021</v>
      </c>
      <c r="F34" s="86" t="s">
        <v>30</v>
      </c>
      <c r="G34" s="83" t="s">
        <v>127</v>
      </c>
      <c r="H34" s="80">
        <v>2</v>
      </c>
      <c r="I34" s="87" t="s">
        <v>209</v>
      </c>
      <c r="L34" s="65" t="s">
        <v>19</v>
      </c>
      <c r="M34" s="65" t="s">
        <v>524</v>
      </c>
    </row>
    <row r="35" spans="1:13" ht="15" x14ac:dyDescent="0.25">
      <c r="A35" s="65" t="s">
        <v>525</v>
      </c>
      <c r="B35" s="65" t="s">
        <v>526</v>
      </c>
      <c r="C35" s="84">
        <v>44923</v>
      </c>
      <c r="F35" s="78" t="s">
        <v>368</v>
      </c>
      <c r="G35" s="79" t="s">
        <v>369</v>
      </c>
      <c r="H35" s="80">
        <v>3</v>
      </c>
      <c r="I35" s="87" t="s">
        <v>209</v>
      </c>
      <c r="L35" s="65" t="s">
        <v>20</v>
      </c>
      <c r="M35" s="65" t="s">
        <v>527</v>
      </c>
    </row>
    <row r="36" spans="1:13" ht="22.5" x14ac:dyDescent="0.25">
      <c r="A36" s="65" t="s">
        <v>528</v>
      </c>
      <c r="B36" s="65" t="s">
        <v>529</v>
      </c>
      <c r="C36" s="77">
        <v>45020</v>
      </c>
      <c r="F36" s="78" t="s">
        <v>36</v>
      </c>
      <c r="G36" s="79" t="s">
        <v>133</v>
      </c>
      <c r="H36" s="80">
        <v>3</v>
      </c>
      <c r="I36" s="87" t="s">
        <v>209</v>
      </c>
      <c r="L36" s="65" t="s">
        <v>83</v>
      </c>
      <c r="M36" s="65" t="s">
        <v>530</v>
      </c>
    </row>
    <row r="37" spans="1:13" ht="15" x14ac:dyDescent="0.25">
      <c r="A37" s="65" t="s">
        <v>531</v>
      </c>
      <c r="B37" s="65" t="s">
        <v>532</v>
      </c>
      <c r="C37" s="77">
        <v>44970</v>
      </c>
      <c r="F37" s="78" t="s">
        <v>37</v>
      </c>
      <c r="G37" s="79" t="s">
        <v>134</v>
      </c>
      <c r="H37" s="80">
        <v>3</v>
      </c>
      <c r="I37" s="87" t="s">
        <v>209</v>
      </c>
      <c r="L37" s="65" t="s">
        <v>21</v>
      </c>
      <c r="M37" s="65" t="s">
        <v>533</v>
      </c>
    </row>
    <row r="38" spans="1:13" ht="22.5" x14ac:dyDescent="0.25">
      <c r="A38" s="65" t="s">
        <v>534</v>
      </c>
      <c r="B38" s="65" t="s">
        <v>535</v>
      </c>
      <c r="C38" s="77">
        <v>44960</v>
      </c>
      <c r="F38" s="78" t="s">
        <v>38</v>
      </c>
      <c r="G38" s="79" t="s">
        <v>135</v>
      </c>
      <c r="H38" s="80">
        <v>2</v>
      </c>
      <c r="I38" s="87" t="s">
        <v>209</v>
      </c>
      <c r="L38" s="65" t="s">
        <v>84</v>
      </c>
      <c r="M38" s="65" t="s">
        <v>536</v>
      </c>
    </row>
    <row r="39" spans="1:13" ht="22.5" x14ac:dyDescent="0.25">
      <c r="A39" s="65" t="s">
        <v>537</v>
      </c>
      <c r="B39" s="65" t="s">
        <v>538</v>
      </c>
      <c r="C39" s="77">
        <v>45059</v>
      </c>
      <c r="F39" s="78" t="s">
        <v>39</v>
      </c>
      <c r="G39" s="79" t="s">
        <v>136</v>
      </c>
      <c r="H39" s="80">
        <v>3</v>
      </c>
      <c r="I39" s="87" t="s">
        <v>209</v>
      </c>
      <c r="L39" s="65" t="s">
        <v>85</v>
      </c>
      <c r="M39" s="65" t="s">
        <v>539</v>
      </c>
    </row>
    <row r="40" spans="1:13" ht="15" x14ac:dyDescent="0.25">
      <c r="A40" s="65" t="s">
        <v>540</v>
      </c>
      <c r="B40" s="65" t="s">
        <v>541</v>
      </c>
      <c r="C40" s="84">
        <v>44918</v>
      </c>
      <c r="F40" s="78" t="s">
        <v>42</v>
      </c>
      <c r="G40" s="79" t="s">
        <v>139</v>
      </c>
      <c r="H40" s="80">
        <v>3</v>
      </c>
      <c r="I40" s="87" t="s">
        <v>209</v>
      </c>
      <c r="L40" s="65" t="s">
        <v>23</v>
      </c>
      <c r="M40" s="65" t="s">
        <v>542</v>
      </c>
    </row>
    <row r="41" spans="1:13" ht="15" x14ac:dyDescent="0.25">
      <c r="A41" s="65" t="s">
        <v>543</v>
      </c>
      <c r="B41" s="65" t="s">
        <v>544</v>
      </c>
      <c r="C41" s="77">
        <v>45014</v>
      </c>
      <c r="F41" s="78" t="s">
        <v>45</v>
      </c>
      <c r="G41" s="79" t="s">
        <v>142</v>
      </c>
      <c r="H41" s="80">
        <v>3</v>
      </c>
      <c r="I41" s="87" t="s">
        <v>209</v>
      </c>
      <c r="L41" s="65" t="s">
        <v>56</v>
      </c>
      <c r="M41" s="65" t="s">
        <v>545</v>
      </c>
    </row>
    <row r="42" spans="1:13" ht="15" x14ac:dyDescent="0.25">
      <c r="A42" s="65" t="s">
        <v>546</v>
      </c>
      <c r="B42" s="65" t="s">
        <v>547</v>
      </c>
      <c r="C42" s="77">
        <v>45015</v>
      </c>
      <c r="F42" s="78" t="s">
        <v>46</v>
      </c>
      <c r="G42" s="79" t="s">
        <v>143</v>
      </c>
      <c r="H42" s="80">
        <v>2</v>
      </c>
      <c r="I42" s="87" t="s">
        <v>209</v>
      </c>
      <c r="L42" s="65" t="s">
        <v>24</v>
      </c>
      <c r="M42" s="65" t="s">
        <v>548</v>
      </c>
    </row>
    <row r="43" spans="1:13" ht="15" x14ac:dyDescent="0.25">
      <c r="A43" s="65" t="s">
        <v>549</v>
      </c>
      <c r="B43" s="65" t="s">
        <v>550</v>
      </c>
      <c r="C43" s="77">
        <v>44985</v>
      </c>
      <c r="F43" s="78" t="s">
        <v>47</v>
      </c>
      <c r="G43" s="79" t="s">
        <v>144</v>
      </c>
      <c r="H43" s="80">
        <v>3</v>
      </c>
      <c r="I43" s="87" t="s">
        <v>209</v>
      </c>
      <c r="L43" s="65" t="s">
        <v>86</v>
      </c>
      <c r="M43" s="65" t="s">
        <v>551</v>
      </c>
    </row>
    <row r="44" spans="1:13" ht="15" x14ac:dyDescent="0.25">
      <c r="A44" s="65" t="s">
        <v>552</v>
      </c>
      <c r="B44" s="65" t="s">
        <v>553</v>
      </c>
      <c r="C44" s="77">
        <v>45021</v>
      </c>
      <c r="F44" s="78" t="s">
        <v>79</v>
      </c>
      <c r="G44" s="79" t="s">
        <v>176</v>
      </c>
      <c r="H44" s="80">
        <v>3</v>
      </c>
      <c r="I44" s="87" t="s">
        <v>209</v>
      </c>
      <c r="L44" s="65" t="s">
        <v>58</v>
      </c>
      <c r="M44" s="65" t="s">
        <v>155</v>
      </c>
    </row>
    <row r="45" spans="1:13" ht="15" x14ac:dyDescent="0.25">
      <c r="A45" s="65" t="s">
        <v>554</v>
      </c>
      <c r="B45" s="65" t="s">
        <v>555</v>
      </c>
      <c r="C45" s="84">
        <v>44923</v>
      </c>
      <c r="F45" s="78" t="s">
        <v>50</v>
      </c>
      <c r="G45" s="79" t="s">
        <v>147</v>
      </c>
      <c r="H45" s="80">
        <v>3</v>
      </c>
      <c r="I45" s="87" t="s">
        <v>209</v>
      </c>
      <c r="L45" s="65" t="s">
        <v>87</v>
      </c>
      <c r="M45" s="65" t="s">
        <v>556</v>
      </c>
    </row>
    <row r="46" spans="1:13" ht="15" x14ac:dyDescent="0.25">
      <c r="A46" s="65" t="s">
        <v>557</v>
      </c>
      <c r="B46" s="65" t="s">
        <v>558</v>
      </c>
      <c r="C46" s="84">
        <v>44918</v>
      </c>
      <c r="F46" s="78" t="s">
        <v>51</v>
      </c>
      <c r="G46" s="79" t="s">
        <v>148</v>
      </c>
      <c r="H46" s="80">
        <v>3</v>
      </c>
      <c r="I46" s="87" t="s">
        <v>209</v>
      </c>
      <c r="L46" s="65" t="s">
        <v>26</v>
      </c>
      <c r="M46" s="65" t="s">
        <v>123</v>
      </c>
    </row>
    <row r="47" spans="1:13" ht="22.5" x14ac:dyDescent="0.25">
      <c r="A47" s="65" t="s">
        <v>559</v>
      </c>
      <c r="B47" s="65" t="s">
        <v>560</v>
      </c>
      <c r="C47" s="84">
        <v>44923</v>
      </c>
      <c r="F47" s="78" t="s">
        <v>17</v>
      </c>
      <c r="G47" s="79" t="s">
        <v>114</v>
      </c>
      <c r="H47" s="80">
        <v>3</v>
      </c>
      <c r="I47" s="87" t="s">
        <v>209</v>
      </c>
      <c r="L47" s="65" t="s">
        <v>88</v>
      </c>
      <c r="M47" s="65" t="s">
        <v>335</v>
      </c>
    </row>
    <row r="48" spans="1:13" ht="15" x14ac:dyDescent="0.25">
      <c r="A48" s="65" t="s">
        <v>561</v>
      </c>
      <c r="B48" s="65" t="s">
        <v>562</v>
      </c>
      <c r="C48" s="77">
        <v>44982</v>
      </c>
      <c r="F48" s="78" t="s">
        <v>52</v>
      </c>
      <c r="G48" s="83" t="s">
        <v>149</v>
      </c>
      <c r="H48" s="80">
        <v>3</v>
      </c>
      <c r="I48" s="87" t="s">
        <v>209</v>
      </c>
      <c r="L48" s="65" t="s">
        <v>60</v>
      </c>
      <c r="M48" s="65" t="s">
        <v>329</v>
      </c>
    </row>
    <row r="49" spans="1:13" ht="15" x14ac:dyDescent="0.25">
      <c r="A49" s="65" t="s">
        <v>563</v>
      </c>
      <c r="B49" s="65" t="s">
        <v>564</v>
      </c>
      <c r="C49" s="77">
        <v>45014</v>
      </c>
      <c r="F49" s="78" t="s">
        <v>53</v>
      </c>
      <c r="G49" s="79" t="s">
        <v>150</v>
      </c>
      <c r="H49" s="80">
        <v>2</v>
      </c>
      <c r="I49" s="87" t="s">
        <v>209</v>
      </c>
      <c r="L49" s="65" t="s">
        <v>91</v>
      </c>
      <c r="M49" s="65" t="s">
        <v>338</v>
      </c>
    </row>
    <row r="50" spans="1:13" ht="15" x14ac:dyDescent="0.25">
      <c r="A50" s="65" t="s">
        <v>565</v>
      </c>
      <c r="B50" s="65" t="s">
        <v>566</v>
      </c>
      <c r="C50" s="77">
        <v>44951</v>
      </c>
      <c r="F50" s="78" t="s">
        <v>89</v>
      </c>
      <c r="G50" s="79" t="s">
        <v>186</v>
      </c>
      <c r="H50" s="80">
        <v>3</v>
      </c>
      <c r="I50" s="87" t="s">
        <v>209</v>
      </c>
      <c r="L50" s="65" t="s">
        <v>99</v>
      </c>
      <c r="M50" s="65" t="s">
        <v>567</v>
      </c>
    </row>
    <row r="51" spans="1:13" ht="15" x14ac:dyDescent="0.25">
      <c r="A51" s="65" t="s">
        <v>568</v>
      </c>
      <c r="B51" s="65" t="s">
        <v>569</v>
      </c>
      <c r="C51" s="77">
        <v>45014</v>
      </c>
      <c r="F51" s="85" t="s">
        <v>55</v>
      </c>
      <c r="G51" s="79" t="s">
        <v>152</v>
      </c>
      <c r="H51" s="80">
        <v>3</v>
      </c>
      <c r="I51" s="87" t="s">
        <v>209</v>
      </c>
      <c r="L51" s="65" t="s">
        <v>92</v>
      </c>
      <c r="M51" s="65" t="s">
        <v>189</v>
      </c>
    </row>
    <row r="52" spans="1:13" ht="15" x14ac:dyDescent="0.25">
      <c r="A52" s="65" t="s">
        <v>570</v>
      </c>
      <c r="B52" s="65" t="s">
        <v>571</v>
      </c>
      <c r="C52" s="77">
        <v>44960</v>
      </c>
      <c r="F52" s="78" t="s">
        <v>20</v>
      </c>
      <c r="G52" s="79" t="s">
        <v>117</v>
      </c>
      <c r="H52" s="80">
        <v>3</v>
      </c>
      <c r="I52" s="87" t="s">
        <v>209</v>
      </c>
      <c r="L52" s="65" t="s">
        <v>30</v>
      </c>
      <c r="M52" s="65" t="s">
        <v>572</v>
      </c>
    </row>
    <row r="53" spans="1:13" ht="22.5" x14ac:dyDescent="0.25">
      <c r="A53" s="65" t="s">
        <v>573</v>
      </c>
      <c r="B53" s="65" t="s">
        <v>574</v>
      </c>
      <c r="C53" s="77">
        <v>44951</v>
      </c>
      <c r="F53" s="82" t="s">
        <v>58</v>
      </c>
      <c r="G53" s="83" t="s">
        <v>155</v>
      </c>
      <c r="H53" s="80">
        <v>3</v>
      </c>
      <c r="I53" s="87" t="s">
        <v>209</v>
      </c>
      <c r="L53" s="65" t="s">
        <v>62</v>
      </c>
      <c r="M53" s="65" t="s">
        <v>159</v>
      </c>
    </row>
    <row r="54" spans="1:13" ht="22.5" x14ac:dyDescent="0.25">
      <c r="A54" s="65" t="s">
        <v>575</v>
      </c>
      <c r="B54" s="65" t="s">
        <v>576</v>
      </c>
      <c r="C54" s="77">
        <v>45021</v>
      </c>
      <c r="F54" s="82" t="s">
        <v>25</v>
      </c>
      <c r="G54" s="83" t="s">
        <v>122</v>
      </c>
      <c r="H54" s="80">
        <v>3</v>
      </c>
      <c r="I54" s="87" t="s">
        <v>209</v>
      </c>
      <c r="L54" s="65" t="s">
        <v>94</v>
      </c>
      <c r="M54" s="65" t="s">
        <v>342</v>
      </c>
    </row>
    <row r="55" spans="1:13" ht="22.5" x14ac:dyDescent="0.25">
      <c r="A55" s="65" t="s">
        <v>35</v>
      </c>
      <c r="B55" s="65" t="s">
        <v>320</v>
      </c>
      <c r="C55" s="77">
        <v>44981</v>
      </c>
      <c r="F55" s="82" t="s">
        <v>26</v>
      </c>
      <c r="G55" s="83" t="s">
        <v>123</v>
      </c>
      <c r="H55" s="80">
        <v>2</v>
      </c>
      <c r="I55" s="87" t="s">
        <v>209</v>
      </c>
      <c r="L55" s="65" t="s">
        <v>32</v>
      </c>
      <c r="M55" s="65" t="s">
        <v>325</v>
      </c>
    </row>
    <row r="56" spans="1:13" ht="15" x14ac:dyDescent="0.25">
      <c r="A56" s="65" t="s">
        <v>74</v>
      </c>
      <c r="B56" s="65" t="s">
        <v>171</v>
      </c>
      <c r="C56" s="77">
        <v>45084</v>
      </c>
      <c r="F56" s="82" t="s">
        <v>27</v>
      </c>
      <c r="G56" s="83" t="s">
        <v>124</v>
      </c>
      <c r="H56" s="80">
        <v>2</v>
      </c>
      <c r="I56" s="87" t="s">
        <v>209</v>
      </c>
      <c r="L56" s="65" t="s">
        <v>95</v>
      </c>
      <c r="M56" s="65" t="s">
        <v>577</v>
      </c>
    </row>
    <row r="57" spans="1:13" ht="15" x14ac:dyDescent="0.25">
      <c r="A57" s="65" t="s">
        <v>52</v>
      </c>
      <c r="B57" s="65" t="s">
        <v>328</v>
      </c>
      <c r="C57" s="77">
        <v>45412</v>
      </c>
      <c r="F57" s="82" t="s">
        <v>60</v>
      </c>
      <c r="G57" s="83" t="s">
        <v>157</v>
      </c>
      <c r="H57" s="80">
        <v>2</v>
      </c>
      <c r="I57" s="87" t="s">
        <v>209</v>
      </c>
      <c r="L57" s="65" t="s">
        <v>33</v>
      </c>
      <c r="M57" s="65" t="s">
        <v>130</v>
      </c>
    </row>
    <row r="58" spans="1:13" ht="15" x14ac:dyDescent="0.25">
      <c r="A58" s="65" t="s">
        <v>5</v>
      </c>
      <c r="B58" s="65" t="s">
        <v>102</v>
      </c>
      <c r="C58" s="77">
        <v>44981</v>
      </c>
      <c r="F58" s="78" t="s">
        <v>84</v>
      </c>
      <c r="G58" s="79" t="s">
        <v>181</v>
      </c>
      <c r="H58" s="80">
        <v>4</v>
      </c>
      <c r="I58" s="87" t="s">
        <v>209</v>
      </c>
      <c r="L58" s="65" t="s">
        <v>96</v>
      </c>
      <c r="M58" s="65" t="s">
        <v>578</v>
      </c>
    </row>
    <row r="59" spans="1:13" ht="15" x14ac:dyDescent="0.25">
      <c r="A59" s="65" t="s">
        <v>88</v>
      </c>
      <c r="B59" s="65" t="s">
        <v>335</v>
      </c>
      <c r="C59" s="77">
        <v>45806</v>
      </c>
      <c r="F59" s="78" t="s">
        <v>44</v>
      </c>
      <c r="G59" s="79" t="s">
        <v>141</v>
      </c>
      <c r="H59" s="80">
        <v>2</v>
      </c>
      <c r="I59" s="87" t="s">
        <v>209</v>
      </c>
      <c r="L59" s="65" t="s">
        <v>34</v>
      </c>
      <c r="M59" s="65" t="s">
        <v>579</v>
      </c>
    </row>
    <row r="60" spans="1:13" ht="15" x14ac:dyDescent="0.25">
      <c r="A60" s="65" t="s">
        <v>76</v>
      </c>
      <c r="B60" s="65" t="s">
        <v>173</v>
      </c>
      <c r="C60" s="77">
        <v>45074</v>
      </c>
      <c r="F60" s="85" t="s">
        <v>56</v>
      </c>
      <c r="G60" s="79" t="s">
        <v>153</v>
      </c>
      <c r="H60" s="80">
        <v>2</v>
      </c>
      <c r="I60" s="87" t="s">
        <v>209</v>
      </c>
      <c r="L60" s="65" t="s">
        <v>97</v>
      </c>
      <c r="M60" s="65" t="s">
        <v>580</v>
      </c>
    </row>
    <row r="61" spans="1:13" ht="15" x14ac:dyDescent="0.25">
      <c r="A61" s="65" t="s">
        <v>20</v>
      </c>
      <c r="B61" s="65" t="s">
        <v>117</v>
      </c>
      <c r="C61" s="84">
        <v>45626</v>
      </c>
      <c r="F61" s="86" t="s">
        <v>57</v>
      </c>
      <c r="G61" s="83" t="s">
        <v>154</v>
      </c>
      <c r="H61" s="80">
        <v>3</v>
      </c>
      <c r="I61" s="87" t="s">
        <v>209</v>
      </c>
      <c r="L61" s="65" t="s">
        <v>63</v>
      </c>
      <c r="M61" s="65" t="s">
        <v>581</v>
      </c>
    </row>
    <row r="62" spans="1:13" ht="15" x14ac:dyDescent="0.25">
      <c r="A62" s="65" t="s">
        <v>89</v>
      </c>
      <c r="B62" s="65" t="s">
        <v>333</v>
      </c>
      <c r="C62" s="77">
        <v>45489</v>
      </c>
      <c r="F62" s="78" t="s">
        <v>66</v>
      </c>
      <c r="G62" s="79" t="s">
        <v>163</v>
      </c>
      <c r="H62" s="80">
        <v>5</v>
      </c>
      <c r="I62" s="88" t="s">
        <v>210</v>
      </c>
      <c r="L62" s="65" t="s">
        <v>64</v>
      </c>
      <c r="M62" s="65" t="s">
        <v>582</v>
      </c>
    </row>
    <row r="63" spans="1:13" ht="15" x14ac:dyDescent="0.25">
      <c r="A63" s="65" t="s">
        <v>340</v>
      </c>
      <c r="B63" s="65" t="s">
        <v>583</v>
      </c>
      <c r="C63" s="77">
        <v>45929</v>
      </c>
      <c r="F63" s="78" t="s">
        <v>67</v>
      </c>
      <c r="G63" s="79" t="s">
        <v>164</v>
      </c>
      <c r="H63" s="80">
        <v>4</v>
      </c>
      <c r="I63" s="88" t="s">
        <v>210</v>
      </c>
      <c r="L63" s="65" t="s">
        <v>98</v>
      </c>
      <c r="M63" s="65" t="s">
        <v>584</v>
      </c>
    </row>
    <row r="64" spans="1:13" ht="15" x14ac:dyDescent="0.25">
      <c r="A64" s="65" t="s">
        <v>51</v>
      </c>
      <c r="B64" s="65" t="s">
        <v>148</v>
      </c>
      <c r="C64" s="77">
        <v>45077</v>
      </c>
      <c r="F64" s="78" t="s">
        <v>68</v>
      </c>
      <c r="G64" s="79" t="s">
        <v>165</v>
      </c>
      <c r="H64" s="80">
        <v>4</v>
      </c>
      <c r="I64" s="88" t="s">
        <v>210</v>
      </c>
      <c r="L64" s="65" t="s">
        <v>65</v>
      </c>
      <c r="M64" s="65" t="s">
        <v>585</v>
      </c>
    </row>
    <row r="65" spans="1:9" ht="22.5" x14ac:dyDescent="0.25">
      <c r="A65" s="65" t="s">
        <v>7</v>
      </c>
      <c r="B65" s="65" t="s">
        <v>104</v>
      </c>
      <c r="C65" s="77">
        <v>44999</v>
      </c>
      <c r="F65" s="78" t="s">
        <v>69</v>
      </c>
      <c r="G65" s="79" t="s">
        <v>166</v>
      </c>
      <c r="H65" s="80">
        <v>4</v>
      </c>
      <c r="I65" s="88" t="s">
        <v>210</v>
      </c>
    </row>
    <row r="66" spans="1:9" ht="15" x14ac:dyDescent="0.25">
      <c r="A66" s="65" t="s">
        <v>42</v>
      </c>
      <c r="B66" s="65" t="s">
        <v>139</v>
      </c>
      <c r="C66" s="77">
        <v>45091</v>
      </c>
      <c r="F66" s="78" t="s">
        <v>70</v>
      </c>
      <c r="G66" s="89" t="s">
        <v>167</v>
      </c>
      <c r="H66" s="80">
        <v>4</v>
      </c>
      <c r="I66" s="88" t="s">
        <v>210</v>
      </c>
    </row>
    <row r="67" spans="1:9" ht="15" x14ac:dyDescent="0.25">
      <c r="A67" s="65" t="s">
        <v>82</v>
      </c>
      <c r="B67" s="65" t="s">
        <v>179</v>
      </c>
      <c r="C67" s="77">
        <v>45163</v>
      </c>
      <c r="F67" s="78" t="s">
        <v>71</v>
      </c>
      <c r="G67" s="79" t="s">
        <v>168</v>
      </c>
      <c r="H67" s="80">
        <v>3</v>
      </c>
      <c r="I67" s="88" t="s">
        <v>210</v>
      </c>
    </row>
    <row r="68" spans="1:9" ht="22.5" x14ac:dyDescent="0.25">
      <c r="A68" s="65" t="s">
        <v>73</v>
      </c>
      <c r="B68" s="65" t="s">
        <v>170</v>
      </c>
      <c r="C68" s="77">
        <v>45083</v>
      </c>
      <c r="F68" s="78" t="s">
        <v>40</v>
      </c>
      <c r="G68" s="90" t="s">
        <v>137</v>
      </c>
      <c r="H68" s="80">
        <v>2</v>
      </c>
      <c r="I68" s="88" t="s">
        <v>210</v>
      </c>
    </row>
    <row r="69" spans="1:9" ht="15" x14ac:dyDescent="0.25">
      <c r="A69" s="65" t="s">
        <v>87</v>
      </c>
      <c r="B69" s="65" t="s">
        <v>586</v>
      </c>
      <c r="C69" s="77">
        <v>45762</v>
      </c>
      <c r="F69" s="78" t="s">
        <v>72</v>
      </c>
      <c r="G69" s="90" t="s">
        <v>169</v>
      </c>
      <c r="H69" s="80">
        <v>2</v>
      </c>
      <c r="I69" s="88" t="s">
        <v>210</v>
      </c>
    </row>
    <row r="70" spans="1:9" ht="22.5" x14ac:dyDescent="0.25">
      <c r="A70" s="65" t="s">
        <v>69</v>
      </c>
      <c r="B70" s="65" t="s">
        <v>166</v>
      </c>
      <c r="C70" s="77">
        <v>44985</v>
      </c>
      <c r="F70" s="78" t="s">
        <v>73</v>
      </c>
      <c r="G70" s="79" t="s">
        <v>170</v>
      </c>
      <c r="H70" s="80">
        <v>4</v>
      </c>
      <c r="I70" s="88" t="s">
        <v>210</v>
      </c>
    </row>
    <row r="71" spans="1:9" ht="15" x14ac:dyDescent="0.25">
      <c r="A71" s="65" t="s">
        <v>91</v>
      </c>
      <c r="B71" s="65" t="s">
        <v>338</v>
      </c>
      <c r="C71" s="77">
        <v>45838</v>
      </c>
      <c r="F71" s="78" t="s">
        <v>74</v>
      </c>
      <c r="G71" s="79" t="s">
        <v>171</v>
      </c>
      <c r="H71" s="80">
        <v>3</v>
      </c>
      <c r="I71" s="88" t="s">
        <v>210</v>
      </c>
    </row>
    <row r="72" spans="1:9" ht="15" x14ac:dyDescent="0.25">
      <c r="A72" s="65" t="s">
        <v>80</v>
      </c>
      <c r="B72" s="65" t="s">
        <v>332</v>
      </c>
      <c r="C72" s="77">
        <v>45128</v>
      </c>
      <c r="F72" s="78" t="s">
        <v>75</v>
      </c>
      <c r="G72" s="79" t="s">
        <v>172</v>
      </c>
      <c r="H72" s="80">
        <v>3</v>
      </c>
      <c r="I72" s="88" t="s">
        <v>210</v>
      </c>
    </row>
    <row r="73" spans="1:9" ht="15" x14ac:dyDescent="0.25">
      <c r="A73" s="65" t="s">
        <v>44</v>
      </c>
      <c r="B73" s="65" t="s">
        <v>141</v>
      </c>
      <c r="C73" s="77">
        <v>45010</v>
      </c>
      <c r="F73" s="78" t="s">
        <v>76</v>
      </c>
      <c r="G73" s="79" t="s">
        <v>173</v>
      </c>
      <c r="H73" s="80">
        <v>3</v>
      </c>
      <c r="I73" s="88" t="s">
        <v>210</v>
      </c>
    </row>
    <row r="74" spans="1:9" ht="15" x14ac:dyDescent="0.25">
      <c r="A74" s="65" t="s">
        <v>17</v>
      </c>
      <c r="B74" s="65" t="s">
        <v>114</v>
      </c>
      <c r="C74" s="77">
        <v>45367</v>
      </c>
      <c r="F74" s="78" t="s">
        <v>77</v>
      </c>
      <c r="G74" s="79" t="s">
        <v>174</v>
      </c>
      <c r="H74" s="80">
        <v>5</v>
      </c>
      <c r="I74" s="88" t="s">
        <v>210</v>
      </c>
    </row>
    <row r="75" spans="1:9" ht="22.5" x14ac:dyDescent="0.25">
      <c r="A75" s="65" t="s">
        <v>36</v>
      </c>
      <c r="B75" s="65" t="s">
        <v>133</v>
      </c>
      <c r="C75" s="77">
        <v>44999</v>
      </c>
      <c r="F75" s="78" t="s">
        <v>78</v>
      </c>
      <c r="G75" s="79" t="s">
        <v>175</v>
      </c>
      <c r="H75" s="80">
        <v>3</v>
      </c>
      <c r="I75" s="88" t="s">
        <v>210</v>
      </c>
    </row>
    <row r="76" spans="1:9" ht="15" x14ac:dyDescent="0.25">
      <c r="A76" s="65" t="s">
        <v>43</v>
      </c>
      <c r="B76" s="65" t="s">
        <v>140</v>
      </c>
      <c r="C76" s="77">
        <v>45073</v>
      </c>
      <c r="F76" s="78" t="s">
        <v>80</v>
      </c>
      <c r="G76" s="90" t="s">
        <v>177</v>
      </c>
      <c r="H76" s="80">
        <v>2</v>
      </c>
      <c r="I76" s="88" t="s">
        <v>210</v>
      </c>
    </row>
    <row r="77" spans="1:9" ht="22.5" x14ac:dyDescent="0.25">
      <c r="A77" s="65" t="s">
        <v>50</v>
      </c>
      <c r="B77" s="65" t="s">
        <v>147</v>
      </c>
      <c r="C77" s="77">
        <v>45088</v>
      </c>
      <c r="F77" s="78" t="s">
        <v>81</v>
      </c>
      <c r="G77" s="79" t="s">
        <v>178</v>
      </c>
      <c r="H77" s="80">
        <v>2</v>
      </c>
      <c r="I77" s="88" t="s">
        <v>210</v>
      </c>
    </row>
    <row r="78" spans="1:9" ht="15" x14ac:dyDescent="0.25">
      <c r="A78" s="65" t="s">
        <v>47</v>
      </c>
      <c r="B78" s="65" t="s">
        <v>326</v>
      </c>
      <c r="C78" s="77">
        <v>45083</v>
      </c>
      <c r="F78" s="78" t="s">
        <v>82</v>
      </c>
      <c r="G78" s="79" t="s">
        <v>179</v>
      </c>
      <c r="H78" s="80">
        <v>4</v>
      </c>
      <c r="I78" s="88" t="s">
        <v>210</v>
      </c>
    </row>
    <row r="79" spans="1:9" ht="22.5" x14ac:dyDescent="0.25">
      <c r="A79" s="65" t="s">
        <v>86</v>
      </c>
      <c r="B79" s="65" t="s">
        <v>334</v>
      </c>
      <c r="C79" s="77">
        <v>45688</v>
      </c>
      <c r="F79" s="85" t="s">
        <v>450</v>
      </c>
      <c r="G79" s="79" t="s">
        <v>451</v>
      </c>
      <c r="H79" s="80">
        <v>5</v>
      </c>
      <c r="I79" s="88" t="s">
        <v>210</v>
      </c>
    </row>
    <row r="80" spans="1:9" ht="15" x14ac:dyDescent="0.25">
      <c r="A80" s="65" t="s">
        <v>22</v>
      </c>
      <c r="B80" s="65" t="s">
        <v>587</v>
      </c>
      <c r="C80" s="84">
        <v>45647</v>
      </c>
      <c r="F80" s="85" t="s">
        <v>83</v>
      </c>
      <c r="G80" s="79" t="s">
        <v>180</v>
      </c>
      <c r="H80" s="80">
        <v>4</v>
      </c>
      <c r="I80" s="88" t="s">
        <v>210</v>
      </c>
    </row>
    <row r="81" spans="1:9" ht="22.5" x14ac:dyDescent="0.25">
      <c r="A81" s="65" t="s">
        <v>588</v>
      </c>
      <c r="B81" s="65" t="s">
        <v>589</v>
      </c>
      <c r="C81" s="77">
        <v>44951</v>
      </c>
      <c r="F81" s="85" t="s">
        <v>85</v>
      </c>
      <c r="G81" s="79" t="s">
        <v>182</v>
      </c>
      <c r="H81" s="80">
        <v>4</v>
      </c>
      <c r="I81" s="88" t="s">
        <v>210</v>
      </c>
    </row>
    <row r="82" spans="1:9" ht="22.5" x14ac:dyDescent="0.25">
      <c r="A82" s="65" t="s">
        <v>590</v>
      </c>
      <c r="B82" s="65" t="s">
        <v>591</v>
      </c>
      <c r="C82" s="77">
        <v>45030</v>
      </c>
      <c r="F82" s="85" t="s">
        <v>86</v>
      </c>
      <c r="G82" s="79" t="s">
        <v>183</v>
      </c>
      <c r="H82" s="80">
        <v>3</v>
      </c>
      <c r="I82" s="88" t="s">
        <v>210</v>
      </c>
    </row>
    <row r="83" spans="1:9" ht="22.5" x14ac:dyDescent="0.25">
      <c r="A83" s="65" t="s">
        <v>592</v>
      </c>
      <c r="B83" s="65" t="s">
        <v>593</v>
      </c>
      <c r="C83" s="91" t="s">
        <v>341</v>
      </c>
      <c r="F83" s="86" t="s">
        <v>87</v>
      </c>
      <c r="G83" s="83" t="s">
        <v>184</v>
      </c>
      <c r="H83" s="80">
        <v>4</v>
      </c>
      <c r="I83" s="88" t="s">
        <v>210</v>
      </c>
    </row>
    <row r="84" spans="1:9" ht="22.5" x14ac:dyDescent="0.25">
      <c r="A84" s="65" t="s">
        <v>594</v>
      </c>
      <c r="B84" s="65" t="s">
        <v>595</v>
      </c>
      <c r="C84" s="77">
        <v>45051</v>
      </c>
      <c r="F84" s="86" t="s">
        <v>88</v>
      </c>
      <c r="G84" s="83" t="s">
        <v>185</v>
      </c>
      <c r="H84" s="80">
        <v>4</v>
      </c>
      <c r="I84" s="88" t="s">
        <v>210</v>
      </c>
    </row>
    <row r="85" spans="1:9" ht="15" x14ac:dyDescent="0.25">
      <c r="A85" s="65" t="s">
        <v>596</v>
      </c>
      <c r="B85" s="65" t="s">
        <v>597</v>
      </c>
      <c r="C85" s="77">
        <v>44953</v>
      </c>
      <c r="F85" s="86" t="s">
        <v>59</v>
      </c>
      <c r="G85" s="92" t="s">
        <v>156</v>
      </c>
      <c r="H85" s="80">
        <v>3</v>
      </c>
      <c r="I85" s="88" t="s">
        <v>210</v>
      </c>
    </row>
    <row r="86" spans="1:9" ht="15" x14ac:dyDescent="0.25">
      <c r="A86" s="65" t="s">
        <v>598</v>
      </c>
      <c r="B86" s="65" t="s">
        <v>599</v>
      </c>
      <c r="C86" s="77">
        <v>44951</v>
      </c>
      <c r="F86" s="86" t="s">
        <v>91</v>
      </c>
      <c r="G86" s="92" t="s">
        <v>188</v>
      </c>
      <c r="H86" s="80">
        <v>3</v>
      </c>
      <c r="I86" s="88" t="s">
        <v>210</v>
      </c>
    </row>
    <row r="87" spans="1:9" ht="15" x14ac:dyDescent="0.25">
      <c r="A87" s="65" t="s">
        <v>600</v>
      </c>
      <c r="B87" s="65" t="s">
        <v>601</v>
      </c>
      <c r="C87" s="91" t="s">
        <v>341</v>
      </c>
      <c r="F87" s="86" t="s">
        <v>90</v>
      </c>
      <c r="G87" s="83" t="s">
        <v>187</v>
      </c>
      <c r="H87" s="80">
        <v>4</v>
      </c>
      <c r="I87" s="88" t="s">
        <v>210</v>
      </c>
    </row>
    <row r="88" spans="1:9" ht="15" x14ac:dyDescent="0.25">
      <c r="A88" s="65" t="s">
        <v>602</v>
      </c>
      <c r="B88" s="65" t="s">
        <v>603</v>
      </c>
      <c r="C88" s="77">
        <v>45007</v>
      </c>
      <c r="F88" s="86" t="s">
        <v>92</v>
      </c>
      <c r="G88" s="83" t="s">
        <v>189</v>
      </c>
      <c r="H88" s="80">
        <v>4</v>
      </c>
      <c r="I88" s="88" t="s">
        <v>210</v>
      </c>
    </row>
    <row r="89" spans="1:9" ht="15" x14ac:dyDescent="0.25">
      <c r="A89" s="65" t="s">
        <v>604</v>
      </c>
      <c r="B89" s="65" t="s">
        <v>605</v>
      </c>
      <c r="C89" s="77">
        <v>44953</v>
      </c>
      <c r="F89" s="86" t="s">
        <v>340</v>
      </c>
      <c r="G89" s="83" t="s">
        <v>606</v>
      </c>
      <c r="H89" s="80">
        <v>4</v>
      </c>
      <c r="I89" s="88" t="s">
        <v>210</v>
      </c>
    </row>
    <row r="90" spans="1:9" ht="15" x14ac:dyDescent="0.25">
      <c r="A90" s="65" t="s">
        <v>607</v>
      </c>
      <c r="B90" s="65" t="s">
        <v>608</v>
      </c>
      <c r="C90" s="91" t="s">
        <v>341</v>
      </c>
      <c r="F90" s="86" t="s">
        <v>93</v>
      </c>
      <c r="G90" s="83" t="s">
        <v>190</v>
      </c>
      <c r="H90" s="80">
        <v>4</v>
      </c>
      <c r="I90" s="88" t="s">
        <v>210</v>
      </c>
    </row>
    <row r="91" spans="1:9" ht="22.5" x14ac:dyDescent="0.25">
      <c r="A91" s="65" t="s">
        <v>609</v>
      </c>
      <c r="B91" s="65" t="s">
        <v>610</v>
      </c>
      <c r="C91" s="77">
        <v>44951</v>
      </c>
      <c r="F91" s="86" t="s">
        <v>94</v>
      </c>
      <c r="G91" s="83" t="s">
        <v>191</v>
      </c>
      <c r="H91" s="80">
        <v>4</v>
      </c>
      <c r="I91" s="88" t="s">
        <v>210</v>
      </c>
    </row>
    <row r="92" spans="1:9" ht="15" x14ac:dyDescent="0.25">
      <c r="A92" s="65" t="s">
        <v>611</v>
      </c>
      <c r="B92" s="65" t="s">
        <v>612</v>
      </c>
      <c r="C92" s="91" t="s">
        <v>341</v>
      </c>
      <c r="F92" s="86" t="s">
        <v>31</v>
      </c>
      <c r="G92" s="83" t="s">
        <v>128</v>
      </c>
      <c r="H92" s="80">
        <v>4</v>
      </c>
      <c r="I92" s="88" t="s">
        <v>210</v>
      </c>
    </row>
    <row r="93" spans="1:9" ht="22.5" x14ac:dyDescent="0.25">
      <c r="A93" s="65" t="s">
        <v>613</v>
      </c>
      <c r="B93" s="65" t="s">
        <v>614</v>
      </c>
      <c r="C93" s="77">
        <v>44981</v>
      </c>
      <c r="F93" s="86" t="s">
        <v>99</v>
      </c>
      <c r="G93" s="83" t="s">
        <v>196</v>
      </c>
      <c r="H93" s="80">
        <v>2</v>
      </c>
      <c r="I93" s="88" t="s">
        <v>211</v>
      </c>
    </row>
    <row r="94" spans="1:9" ht="15" x14ac:dyDescent="0.25">
      <c r="A94" s="65" t="s">
        <v>615</v>
      </c>
      <c r="B94" s="65" t="s">
        <v>616</v>
      </c>
      <c r="C94" s="91" t="s">
        <v>341</v>
      </c>
    </row>
    <row r="95" spans="1:9" ht="15" x14ac:dyDescent="0.25">
      <c r="A95" s="65" t="s">
        <v>617</v>
      </c>
      <c r="B95" s="65" t="s">
        <v>618</v>
      </c>
      <c r="C95" s="77">
        <v>44985</v>
      </c>
    </row>
    <row r="96" spans="1:9" ht="15" x14ac:dyDescent="0.25">
      <c r="A96" s="65" t="s">
        <v>619</v>
      </c>
      <c r="B96" s="65" t="s">
        <v>620</v>
      </c>
      <c r="C96" s="77">
        <v>44980</v>
      </c>
    </row>
    <row r="97" spans="1:3" ht="15" x14ac:dyDescent="0.25">
      <c r="A97" s="65" t="s">
        <v>621</v>
      </c>
      <c r="B97" s="65" t="s">
        <v>622</v>
      </c>
      <c r="C97" s="77">
        <v>45008</v>
      </c>
    </row>
    <row r="98" spans="1:3" ht="15" x14ac:dyDescent="0.25">
      <c r="A98" s="65" t="s">
        <v>623</v>
      </c>
      <c r="B98" s="65" t="s">
        <v>624</v>
      </c>
      <c r="C98" s="77">
        <v>44985</v>
      </c>
    </row>
    <row r="99" spans="1:3" ht="15" x14ac:dyDescent="0.25">
      <c r="A99" s="65" t="s">
        <v>625</v>
      </c>
      <c r="B99" s="65" t="s">
        <v>626</v>
      </c>
      <c r="C99" s="77">
        <v>45014</v>
      </c>
    </row>
    <row r="100" spans="1:3" ht="15" x14ac:dyDescent="0.25">
      <c r="A100" s="65" t="s">
        <v>627</v>
      </c>
      <c r="B100" s="65" t="s">
        <v>628</v>
      </c>
      <c r="C100" s="77">
        <v>45009</v>
      </c>
    </row>
    <row r="101" spans="1:3" ht="15" x14ac:dyDescent="0.25">
      <c r="A101" s="65" t="s">
        <v>629</v>
      </c>
      <c r="B101" s="65" t="s">
        <v>630</v>
      </c>
      <c r="C101" s="77">
        <v>44980</v>
      </c>
    </row>
    <row r="102" spans="1:3" ht="15" x14ac:dyDescent="0.25">
      <c r="A102" s="65" t="s">
        <v>631</v>
      </c>
      <c r="B102" s="65" t="s">
        <v>632</v>
      </c>
      <c r="C102" s="77">
        <v>44981</v>
      </c>
    </row>
    <row r="103" spans="1:3" ht="15" x14ac:dyDescent="0.25">
      <c r="A103" s="65" t="s">
        <v>633</v>
      </c>
      <c r="B103" s="65" t="s">
        <v>634</v>
      </c>
      <c r="C103" s="93">
        <v>45031</v>
      </c>
    </row>
    <row r="104" spans="1:3" ht="15" x14ac:dyDescent="0.25">
      <c r="A104" s="65" t="s">
        <v>635</v>
      </c>
      <c r="B104" s="65" t="s">
        <v>636</v>
      </c>
      <c r="C104" s="93">
        <v>45073</v>
      </c>
    </row>
    <row r="105" spans="1:3" ht="15" x14ac:dyDescent="0.25">
      <c r="A105" s="65" t="s">
        <v>637</v>
      </c>
      <c r="B105" s="65" t="s">
        <v>638</v>
      </c>
      <c r="C105" s="77">
        <v>45036</v>
      </c>
    </row>
    <row r="106" spans="1:3" ht="15" x14ac:dyDescent="0.25">
      <c r="A106" s="65" t="s">
        <v>639</v>
      </c>
      <c r="B106" s="65" t="s">
        <v>640</v>
      </c>
      <c r="C106" s="93">
        <v>45009</v>
      </c>
    </row>
    <row r="107" spans="1:3" ht="15" x14ac:dyDescent="0.25">
      <c r="A107" s="65" t="s">
        <v>641</v>
      </c>
      <c r="B107" s="65" t="s">
        <v>642</v>
      </c>
      <c r="C107" s="93">
        <v>45017</v>
      </c>
    </row>
    <row r="108" spans="1:3" ht="15" x14ac:dyDescent="0.25">
      <c r="A108" s="65" t="s">
        <v>643</v>
      </c>
      <c r="B108" s="65" t="s">
        <v>644</v>
      </c>
      <c r="C108" s="77">
        <v>45013</v>
      </c>
    </row>
    <row r="109" spans="1:3" ht="15" x14ac:dyDescent="0.25">
      <c r="A109" s="65" t="s">
        <v>645</v>
      </c>
      <c r="B109" s="65" t="s">
        <v>646</v>
      </c>
      <c r="C109" s="77">
        <v>45027</v>
      </c>
    </row>
    <row r="110" spans="1:3" ht="15" x14ac:dyDescent="0.25">
      <c r="A110" s="65" t="s">
        <v>647</v>
      </c>
      <c r="B110" s="65" t="s">
        <v>648</v>
      </c>
      <c r="C110" s="93">
        <v>45081</v>
      </c>
    </row>
    <row r="111" spans="1:3" ht="15" x14ac:dyDescent="0.25">
      <c r="A111" s="65" t="s">
        <v>649</v>
      </c>
      <c r="B111" s="65" t="s">
        <v>650</v>
      </c>
      <c r="C111" s="93">
        <v>45003</v>
      </c>
    </row>
    <row r="112" spans="1:3" ht="15" x14ac:dyDescent="0.25">
      <c r="A112" s="65" t="s">
        <v>651</v>
      </c>
      <c r="B112" s="65" t="s">
        <v>652</v>
      </c>
      <c r="C112" s="77">
        <v>44980</v>
      </c>
    </row>
    <row r="113" spans="1:3" ht="15" x14ac:dyDescent="0.25">
      <c r="A113" s="65" t="s">
        <v>653</v>
      </c>
      <c r="B113" s="65" t="s">
        <v>654</v>
      </c>
      <c r="C113" s="93">
        <v>45008</v>
      </c>
    </row>
    <row r="114" spans="1:3" ht="15" x14ac:dyDescent="0.25">
      <c r="A114" s="65" t="s">
        <v>655</v>
      </c>
      <c r="B114" s="65" t="s">
        <v>656</v>
      </c>
      <c r="C114" s="77">
        <v>45000</v>
      </c>
    </row>
    <row r="115" spans="1:3" ht="15" x14ac:dyDescent="0.25">
      <c r="A115" s="65" t="s">
        <v>657</v>
      </c>
      <c r="B115" s="65" t="s">
        <v>658</v>
      </c>
      <c r="C115" s="77">
        <v>45015</v>
      </c>
    </row>
    <row r="116" spans="1:3" ht="15" x14ac:dyDescent="0.25">
      <c r="A116" s="65" t="s">
        <v>659</v>
      </c>
      <c r="B116" s="65" t="s">
        <v>660</v>
      </c>
      <c r="C116" s="77">
        <v>45015</v>
      </c>
    </row>
    <row r="117" spans="1:3" ht="15" x14ac:dyDescent="0.25">
      <c r="A117" s="65" t="s">
        <v>661</v>
      </c>
      <c r="B117" s="65" t="s">
        <v>662</v>
      </c>
      <c r="C117" s="77">
        <v>44997</v>
      </c>
    </row>
    <row r="118" spans="1:3" ht="15" x14ac:dyDescent="0.25">
      <c r="A118" s="65" t="s">
        <v>663</v>
      </c>
      <c r="B118" s="65" t="s">
        <v>664</v>
      </c>
      <c r="C118" s="77">
        <v>45058</v>
      </c>
    </row>
    <row r="119" spans="1:3" ht="15" x14ac:dyDescent="0.25">
      <c r="A119" s="65" t="s">
        <v>665</v>
      </c>
      <c r="B119" s="65" t="s">
        <v>666</v>
      </c>
      <c r="C119" s="77">
        <v>45043</v>
      </c>
    </row>
    <row r="120" spans="1:3" ht="15" x14ac:dyDescent="0.25">
      <c r="A120" s="65" t="s">
        <v>667</v>
      </c>
      <c r="B120" s="65" t="s">
        <v>668</v>
      </c>
      <c r="C120" s="77">
        <v>45008</v>
      </c>
    </row>
    <row r="121" spans="1:3" ht="15" x14ac:dyDescent="0.25">
      <c r="A121" s="65" t="s">
        <v>669</v>
      </c>
      <c r="B121" s="65" t="s">
        <v>670</v>
      </c>
      <c r="C121" s="77">
        <v>44986</v>
      </c>
    </row>
    <row r="122" spans="1:3" ht="15" x14ac:dyDescent="0.25">
      <c r="A122" s="65" t="s">
        <v>671</v>
      </c>
      <c r="B122" s="65" t="s">
        <v>672</v>
      </c>
      <c r="C122" s="77">
        <v>44981</v>
      </c>
    </row>
    <row r="123" spans="1:3" ht="15" x14ac:dyDescent="0.25">
      <c r="A123" s="65" t="s">
        <v>673</v>
      </c>
      <c r="B123" s="65" t="s">
        <v>674</v>
      </c>
      <c r="C123" s="77">
        <v>45073</v>
      </c>
    </row>
    <row r="124" spans="1:3" ht="15" x14ac:dyDescent="0.25">
      <c r="A124" s="65" t="s">
        <v>675</v>
      </c>
      <c r="B124" s="65" t="s">
        <v>676</v>
      </c>
      <c r="C124" s="84">
        <v>45280</v>
      </c>
    </row>
    <row r="125" spans="1:3" ht="15" x14ac:dyDescent="0.25">
      <c r="A125" s="65" t="s">
        <v>677</v>
      </c>
      <c r="B125" s="65" t="s">
        <v>678</v>
      </c>
      <c r="C125" s="84">
        <v>45234</v>
      </c>
    </row>
    <row r="126" spans="1:3" ht="15" x14ac:dyDescent="0.25">
      <c r="A126" s="65" t="s">
        <v>679</v>
      </c>
      <c r="B126" s="65" t="s">
        <v>680</v>
      </c>
      <c r="C126" s="84">
        <v>45283</v>
      </c>
    </row>
    <row r="127" spans="1:3" ht="15" x14ac:dyDescent="0.25">
      <c r="A127" s="65" t="s">
        <v>681</v>
      </c>
      <c r="B127" s="65" t="s">
        <v>682</v>
      </c>
      <c r="C127" s="77">
        <v>45351</v>
      </c>
    </row>
    <row r="128" spans="1:3" ht="15" x14ac:dyDescent="0.25">
      <c r="A128" s="65" t="s">
        <v>683</v>
      </c>
      <c r="B128" s="65" t="s">
        <v>684</v>
      </c>
      <c r="C128" s="93">
        <v>45351</v>
      </c>
    </row>
    <row r="129" spans="1:3" ht="15" x14ac:dyDescent="0.25">
      <c r="A129" s="65" t="s">
        <v>685</v>
      </c>
      <c r="B129" s="65" t="s">
        <v>686</v>
      </c>
      <c r="C129" s="77">
        <v>45373</v>
      </c>
    </row>
    <row r="130" spans="1:3" ht="15" x14ac:dyDescent="0.25">
      <c r="A130" s="65" t="s">
        <v>687</v>
      </c>
      <c r="B130" s="65" t="s">
        <v>688</v>
      </c>
      <c r="C130" s="94">
        <v>45625</v>
      </c>
    </row>
    <row r="131" spans="1:3" ht="15" x14ac:dyDescent="0.25">
      <c r="A131" s="65" t="s">
        <v>689</v>
      </c>
      <c r="B131" s="65" t="s">
        <v>690</v>
      </c>
      <c r="C131" s="93">
        <v>45723</v>
      </c>
    </row>
    <row r="132" spans="1:3" ht="15" x14ac:dyDescent="0.25">
      <c r="A132" s="65" t="s">
        <v>691</v>
      </c>
      <c r="B132" s="65" t="s">
        <v>692</v>
      </c>
      <c r="C132" s="93">
        <v>45772</v>
      </c>
    </row>
    <row r="133" spans="1:3" ht="15" x14ac:dyDescent="0.25">
      <c r="A133" s="65" t="s">
        <v>693</v>
      </c>
      <c r="B133" s="65" t="s">
        <v>694</v>
      </c>
      <c r="C133" s="93">
        <v>45808</v>
      </c>
    </row>
    <row r="134" spans="1:3" ht="15" x14ac:dyDescent="0.25">
      <c r="A134" s="65" t="s">
        <v>695</v>
      </c>
      <c r="B134" s="65" t="s">
        <v>696</v>
      </c>
      <c r="C134" s="77">
        <v>45828</v>
      </c>
    </row>
    <row r="135" spans="1:3" ht="15" x14ac:dyDescent="0.25">
      <c r="A135" s="65" t="s">
        <v>697</v>
      </c>
      <c r="B135" s="65" t="s">
        <v>698</v>
      </c>
      <c r="C135" s="77">
        <v>45021</v>
      </c>
    </row>
    <row r="136" spans="1:3" ht="15" x14ac:dyDescent="0.25">
      <c r="A136" s="65" t="s">
        <v>699</v>
      </c>
      <c r="B136" s="65" t="s">
        <v>700</v>
      </c>
      <c r="C136" s="93">
        <v>45056</v>
      </c>
    </row>
    <row r="137" spans="1:3" ht="15" x14ac:dyDescent="0.25">
      <c r="A137" s="65" t="s">
        <v>701</v>
      </c>
      <c r="B137" s="65" t="s">
        <v>702</v>
      </c>
      <c r="C137" s="93">
        <v>45020</v>
      </c>
    </row>
    <row r="138" spans="1:3" ht="15" x14ac:dyDescent="0.25">
      <c r="A138" s="65" t="s">
        <v>703</v>
      </c>
      <c r="B138" s="65" t="s">
        <v>704</v>
      </c>
      <c r="C138" s="94">
        <v>45219</v>
      </c>
    </row>
    <row r="139" spans="1:3" ht="15" x14ac:dyDescent="0.25">
      <c r="A139" s="65" t="s">
        <v>705</v>
      </c>
      <c r="B139" s="65" t="s">
        <v>706</v>
      </c>
      <c r="C139" s="77">
        <v>44951</v>
      </c>
    </row>
    <row r="140" spans="1:3" ht="15" x14ac:dyDescent="0.25">
      <c r="A140" s="65" t="s">
        <v>707</v>
      </c>
      <c r="B140" s="65" t="s">
        <v>708</v>
      </c>
      <c r="C140" s="93">
        <v>44960</v>
      </c>
    </row>
    <row r="141" spans="1:3" ht="15" x14ac:dyDescent="0.25">
      <c r="A141" s="65" t="s">
        <v>709</v>
      </c>
      <c r="B141" s="65" t="s">
        <v>710</v>
      </c>
      <c r="C141" s="77">
        <v>44985</v>
      </c>
    </row>
    <row r="142" spans="1:3" ht="15" x14ac:dyDescent="0.25">
      <c r="A142" s="65" t="s">
        <v>711</v>
      </c>
      <c r="B142" s="65" t="s">
        <v>712</v>
      </c>
      <c r="C142" s="93">
        <v>45000</v>
      </c>
    </row>
    <row r="143" spans="1:3" ht="15" x14ac:dyDescent="0.25">
      <c r="A143" s="65" t="s">
        <v>713</v>
      </c>
      <c r="B143" s="65" t="s">
        <v>714</v>
      </c>
      <c r="C143" s="77">
        <v>45033</v>
      </c>
    </row>
    <row r="144" spans="1:3" ht="15" x14ac:dyDescent="0.25">
      <c r="A144" s="65" t="s">
        <v>715</v>
      </c>
      <c r="B144" s="65" t="s">
        <v>716</v>
      </c>
      <c r="C144" s="77">
        <v>45021</v>
      </c>
    </row>
    <row r="145" spans="1:3" ht="15" x14ac:dyDescent="0.25">
      <c r="A145" s="65" t="s">
        <v>717</v>
      </c>
      <c r="B145" s="65" t="s">
        <v>718</v>
      </c>
      <c r="C145" s="84">
        <v>44926</v>
      </c>
    </row>
    <row r="146" spans="1:3" ht="15" x14ac:dyDescent="0.25">
      <c r="A146" s="65" t="s">
        <v>719</v>
      </c>
      <c r="B146" s="65" t="s">
        <v>720</v>
      </c>
      <c r="C146" s="93">
        <v>45014</v>
      </c>
    </row>
    <row r="147" spans="1:3" ht="15" x14ac:dyDescent="0.25">
      <c r="A147" s="65" t="s">
        <v>721</v>
      </c>
      <c r="B147" s="65" t="s">
        <v>722</v>
      </c>
      <c r="C147" s="77">
        <v>45297</v>
      </c>
    </row>
    <row r="148" spans="1:3" ht="15" x14ac:dyDescent="0.25">
      <c r="A148" s="65" t="s">
        <v>723</v>
      </c>
      <c r="B148" s="65" t="s">
        <v>724</v>
      </c>
      <c r="C148" s="94">
        <v>45219</v>
      </c>
    </row>
    <row r="149" spans="1:3" ht="15" x14ac:dyDescent="0.25">
      <c r="A149" s="65" t="s">
        <v>725</v>
      </c>
      <c r="B149" s="65" t="s">
        <v>726</v>
      </c>
      <c r="C149" s="77">
        <v>45469</v>
      </c>
    </row>
    <row r="150" spans="1:3" ht="15" x14ac:dyDescent="0.25">
      <c r="A150" s="65" t="s">
        <v>727</v>
      </c>
      <c r="B150" s="65" t="s">
        <v>728</v>
      </c>
      <c r="C150" s="93">
        <v>45485</v>
      </c>
    </row>
    <row r="151" spans="1:3" ht="15" x14ac:dyDescent="0.25">
      <c r="A151" s="65" t="s">
        <v>729</v>
      </c>
      <c r="B151" s="65" t="s">
        <v>730</v>
      </c>
      <c r="C151" s="84">
        <v>45642</v>
      </c>
    </row>
    <row r="152" spans="1:3" ht="15" x14ac:dyDescent="0.25">
      <c r="A152" s="65" t="s">
        <v>731</v>
      </c>
      <c r="B152" s="65" t="s">
        <v>732</v>
      </c>
      <c r="C152" s="93">
        <v>45747</v>
      </c>
    </row>
    <row r="153" spans="1:3" ht="15" x14ac:dyDescent="0.25">
      <c r="A153" s="65" t="s">
        <v>733</v>
      </c>
      <c r="B153" s="65" t="s">
        <v>734</v>
      </c>
      <c r="C153" s="93">
        <v>45777</v>
      </c>
    </row>
    <row r="154" spans="1:3" ht="15" x14ac:dyDescent="0.25">
      <c r="A154" s="65" t="s">
        <v>58</v>
      </c>
      <c r="B154" s="65" t="s">
        <v>735</v>
      </c>
      <c r="C154" s="77">
        <v>45777</v>
      </c>
    </row>
    <row r="155" spans="1:3" ht="15" x14ac:dyDescent="0.25">
      <c r="A155" s="65" t="s">
        <v>6</v>
      </c>
      <c r="B155" s="65" t="s">
        <v>103</v>
      </c>
      <c r="C155" s="93">
        <v>45016</v>
      </c>
    </row>
    <row r="156" spans="1:3" ht="15" x14ac:dyDescent="0.25">
      <c r="A156" s="65" t="s">
        <v>55</v>
      </c>
      <c r="B156" s="65" t="s">
        <v>521</v>
      </c>
      <c r="C156" s="93">
        <v>45535</v>
      </c>
    </row>
    <row r="157" spans="1:3" ht="15" x14ac:dyDescent="0.25">
      <c r="A157" s="65" t="s">
        <v>19</v>
      </c>
      <c r="B157" s="65" t="s">
        <v>524</v>
      </c>
      <c r="C157" s="93">
        <v>45563</v>
      </c>
    </row>
    <row r="158" spans="1:3" ht="15" x14ac:dyDescent="0.25">
      <c r="A158" s="65" t="s">
        <v>37</v>
      </c>
      <c r="B158" s="65" t="s">
        <v>134</v>
      </c>
      <c r="C158" s="77">
        <v>44999</v>
      </c>
    </row>
    <row r="159" spans="1:3" ht="15" x14ac:dyDescent="0.25">
      <c r="A159" s="65" t="s">
        <v>84</v>
      </c>
      <c r="B159" s="65" t="s">
        <v>181</v>
      </c>
      <c r="C159" s="84">
        <v>45626</v>
      </c>
    </row>
    <row r="160" spans="1:3" ht="15" x14ac:dyDescent="0.25">
      <c r="A160" s="65" t="s">
        <v>85</v>
      </c>
      <c r="B160" s="65" t="s">
        <v>182</v>
      </c>
      <c r="C160" s="94">
        <v>45654</v>
      </c>
    </row>
    <row r="161" spans="1:3" ht="15" x14ac:dyDescent="0.25">
      <c r="A161" s="65" t="s">
        <v>70</v>
      </c>
      <c r="B161" s="65" t="s">
        <v>167</v>
      </c>
      <c r="C161" s="77">
        <v>44981</v>
      </c>
    </row>
    <row r="162" spans="1:3" ht="15" x14ac:dyDescent="0.25">
      <c r="A162" s="65" t="s">
        <v>71</v>
      </c>
      <c r="B162" s="65" t="s">
        <v>168</v>
      </c>
      <c r="C162" s="77">
        <v>44999</v>
      </c>
    </row>
    <row r="163" spans="1:3" ht="15" x14ac:dyDescent="0.25">
      <c r="A163" s="65" t="s">
        <v>45</v>
      </c>
      <c r="B163" s="65" t="s">
        <v>142</v>
      </c>
      <c r="C163" s="77">
        <v>45077</v>
      </c>
    </row>
    <row r="164" spans="1:3" ht="15" x14ac:dyDescent="0.25">
      <c r="A164" s="65" t="s">
        <v>67</v>
      </c>
      <c r="B164" s="65" t="s">
        <v>331</v>
      </c>
      <c r="C164" s="77">
        <v>44981</v>
      </c>
    </row>
    <row r="165" spans="1:3" ht="15" x14ac:dyDescent="0.25">
      <c r="A165" s="65" t="s">
        <v>77</v>
      </c>
      <c r="B165" s="65" t="s">
        <v>174</v>
      </c>
      <c r="C165" s="93">
        <v>45066</v>
      </c>
    </row>
    <row r="166" spans="1:3" ht="15" x14ac:dyDescent="0.25">
      <c r="A166" s="65" t="s">
        <v>83</v>
      </c>
      <c r="B166" s="65" t="s">
        <v>530</v>
      </c>
      <c r="C166" s="94">
        <v>45570</v>
      </c>
    </row>
    <row r="167" spans="1:3" ht="15" x14ac:dyDescent="0.25">
      <c r="A167" s="65" t="s">
        <v>66</v>
      </c>
      <c r="B167" s="65" t="s">
        <v>163</v>
      </c>
      <c r="C167" s="93">
        <v>44981</v>
      </c>
    </row>
    <row r="168" spans="1:3" ht="15" x14ac:dyDescent="0.25">
      <c r="A168" s="65" t="s">
        <v>68</v>
      </c>
      <c r="B168" s="65" t="s">
        <v>165</v>
      </c>
      <c r="C168" s="93">
        <v>44981</v>
      </c>
    </row>
    <row r="169" spans="1:3" ht="15" x14ac:dyDescent="0.25">
      <c r="A169" s="65" t="s">
        <v>57</v>
      </c>
      <c r="B169" s="65" t="s">
        <v>736</v>
      </c>
      <c r="C169" s="93">
        <v>45744</v>
      </c>
    </row>
    <row r="170" spans="1:3" ht="15" x14ac:dyDescent="0.25">
      <c r="A170" s="65" t="s">
        <v>450</v>
      </c>
      <c r="B170" s="65" t="s">
        <v>737</v>
      </c>
      <c r="C170" s="93">
        <v>45532</v>
      </c>
    </row>
    <row r="171" spans="1:3" ht="15" x14ac:dyDescent="0.25">
      <c r="A171" s="65" t="s">
        <v>39</v>
      </c>
      <c r="B171" s="65" t="s">
        <v>136</v>
      </c>
      <c r="C171" s="93">
        <v>45010</v>
      </c>
    </row>
    <row r="172" spans="1:3" ht="15" x14ac:dyDescent="0.25">
      <c r="A172" s="65" t="s">
        <v>90</v>
      </c>
      <c r="B172" s="65" t="s">
        <v>337</v>
      </c>
      <c r="C172" s="77">
        <v>45898</v>
      </c>
    </row>
    <row r="173" spans="1:3" ht="15" x14ac:dyDescent="0.25">
      <c r="A173" s="65" t="s">
        <v>29</v>
      </c>
      <c r="B173" s="65" t="s">
        <v>324</v>
      </c>
      <c r="C173" s="93">
        <v>45930</v>
      </c>
    </row>
    <row r="174" spans="1:3" ht="15" x14ac:dyDescent="0.25">
      <c r="A174" s="65" t="s">
        <v>92</v>
      </c>
      <c r="B174" s="65" t="s">
        <v>339</v>
      </c>
      <c r="C174" s="93">
        <v>45930</v>
      </c>
    </row>
    <row r="175" spans="1:3" ht="15" x14ac:dyDescent="0.25">
      <c r="A175" s="65" t="s">
        <v>15</v>
      </c>
      <c r="B175" s="65" t="s">
        <v>112</v>
      </c>
      <c r="C175" s="93">
        <v>45123</v>
      </c>
    </row>
    <row r="176" spans="1:3" ht="15" x14ac:dyDescent="0.25">
      <c r="A176" s="65" t="s">
        <v>48</v>
      </c>
      <c r="B176" s="65" t="s">
        <v>145</v>
      </c>
      <c r="C176" s="77">
        <v>45163</v>
      </c>
    </row>
    <row r="177" spans="1:3" ht="15" x14ac:dyDescent="0.25">
      <c r="A177" s="65" t="s">
        <v>11</v>
      </c>
      <c r="B177" s="65" t="s">
        <v>108</v>
      </c>
      <c r="C177" s="93">
        <v>44985</v>
      </c>
    </row>
    <row r="178" spans="1:3" ht="15" x14ac:dyDescent="0.25">
      <c r="A178" s="65" t="s">
        <v>78</v>
      </c>
      <c r="B178" s="65" t="s">
        <v>175</v>
      </c>
      <c r="C178" s="77">
        <v>45070</v>
      </c>
    </row>
    <row r="179" spans="1:3" ht="15" x14ac:dyDescent="0.25">
      <c r="A179" s="65" t="s">
        <v>26</v>
      </c>
      <c r="B179" s="65" t="s">
        <v>123</v>
      </c>
      <c r="C179" s="77">
        <v>45807</v>
      </c>
    </row>
    <row r="180" spans="1:3" ht="15" x14ac:dyDescent="0.25">
      <c r="A180" s="65" t="s">
        <v>738</v>
      </c>
      <c r="B180" s="65" t="s">
        <v>739</v>
      </c>
      <c r="C180" s="91" t="s">
        <v>341</v>
      </c>
    </row>
    <row r="181" spans="1:3" ht="15" x14ac:dyDescent="0.25">
      <c r="A181" s="65" t="s">
        <v>740</v>
      </c>
      <c r="B181" s="65" t="s">
        <v>741</v>
      </c>
      <c r="C181" s="91" t="s">
        <v>341</v>
      </c>
    </row>
    <row r="182" spans="1:3" ht="15" x14ac:dyDescent="0.25">
      <c r="A182" s="65" t="s">
        <v>742</v>
      </c>
      <c r="B182" s="65" t="s">
        <v>743</v>
      </c>
      <c r="C182" s="77">
        <v>44951</v>
      </c>
    </row>
    <row r="183" spans="1:3" ht="15" x14ac:dyDescent="0.25">
      <c r="A183" s="65" t="s">
        <v>744</v>
      </c>
      <c r="B183" s="65" t="s">
        <v>745</v>
      </c>
      <c r="C183" s="91" t="s">
        <v>341</v>
      </c>
    </row>
    <row r="184" spans="1:3" ht="15" x14ac:dyDescent="0.25">
      <c r="A184" s="65" t="s">
        <v>746</v>
      </c>
      <c r="B184" s="65" t="s">
        <v>747</v>
      </c>
      <c r="C184" s="91" t="s">
        <v>341</v>
      </c>
    </row>
    <row r="185" spans="1:3" ht="15" x14ac:dyDescent="0.25">
      <c r="A185" s="65" t="s">
        <v>748</v>
      </c>
      <c r="B185" s="65" t="s">
        <v>749</v>
      </c>
      <c r="C185" s="91" t="s">
        <v>341</v>
      </c>
    </row>
    <row r="186" spans="1:3" ht="15" x14ac:dyDescent="0.25">
      <c r="A186" s="65" t="s">
        <v>750</v>
      </c>
      <c r="B186" s="65" t="s">
        <v>751</v>
      </c>
      <c r="C186" s="77">
        <v>45060</v>
      </c>
    </row>
    <row r="187" spans="1:3" ht="15" x14ac:dyDescent="0.25">
      <c r="A187" s="65" t="s">
        <v>752</v>
      </c>
      <c r="B187" s="65" t="s">
        <v>753</v>
      </c>
      <c r="C187" s="93">
        <v>45016</v>
      </c>
    </row>
    <row r="188" spans="1:3" ht="15" x14ac:dyDescent="0.25">
      <c r="A188" s="65" t="s">
        <v>754</v>
      </c>
      <c r="B188" s="65" t="s">
        <v>755</v>
      </c>
      <c r="C188" s="93">
        <v>45030</v>
      </c>
    </row>
    <row r="189" spans="1:3" ht="15" x14ac:dyDescent="0.25">
      <c r="A189" s="65" t="s">
        <v>756</v>
      </c>
      <c r="B189" s="65" t="s">
        <v>757</v>
      </c>
      <c r="C189" s="77">
        <v>44982</v>
      </c>
    </row>
    <row r="190" spans="1:3" ht="15" x14ac:dyDescent="0.25">
      <c r="A190" s="65" t="s">
        <v>758</v>
      </c>
      <c r="B190" s="65" t="s">
        <v>759</v>
      </c>
      <c r="C190" s="93">
        <v>44982</v>
      </c>
    </row>
    <row r="191" spans="1:3" ht="15" x14ac:dyDescent="0.25">
      <c r="A191" s="65" t="s">
        <v>760</v>
      </c>
      <c r="B191" s="65" t="s">
        <v>761</v>
      </c>
      <c r="C191" s="93">
        <v>44983</v>
      </c>
    </row>
    <row r="192" spans="1:3" ht="15" x14ac:dyDescent="0.25">
      <c r="A192" s="65" t="s">
        <v>762</v>
      </c>
      <c r="B192" s="65" t="s">
        <v>763</v>
      </c>
      <c r="C192" s="77">
        <v>45016</v>
      </c>
    </row>
    <row r="193" spans="1:3" ht="15" x14ac:dyDescent="0.25">
      <c r="A193" s="65" t="s">
        <v>764</v>
      </c>
      <c r="B193" s="65" t="s">
        <v>765</v>
      </c>
      <c r="C193" s="77">
        <v>45071</v>
      </c>
    </row>
    <row r="194" spans="1:3" ht="15" x14ac:dyDescent="0.25">
      <c r="A194" s="65" t="s">
        <v>766</v>
      </c>
      <c r="B194" s="65" t="s">
        <v>767</v>
      </c>
      <c r="C194" s="77">
        <v>44980</v>
      </c>
    </row>
    <row r="195" spans="1:3" ht="15" x14ac:dyDescent="0.25">
      <c r="A195" s="65" t="s">
        <v>768</v>
      </c>
      <c r="B195" s="65" t="s">
        <v>769</v>
      </c>
      <c r="C195" s="77">
        <v>45017</v>
      </c>
    </row>
    <row r="196" spans="1:3" ht="15" x14ac:dyDescent="0.25">
      <c r="A196" s="65" t="s">
        <v>770</v>
      </c>
      <c r="B196" s="65" t="s">
        <v>771</v>
      </c>
      <c r="C196" s="77">
        <v>45065</v>
      </c>
    </row>
    <row r="197" spans="1:3" ht="15" x14ac:dyDescent="0.25">
      <c r="A197" s="65" t="s">
        <v>772</v>
      </c>
      <c r="B197" s="65" t="s">
        <v>773</v>
      </c>
      <c r="C197" s="77">
        <v>45878</v>
      </c>
    </row>
    <row r="198" spans="1:3" ht="15" x14ac:dyDescent="0.25">
      <c r="A198" s="65" t="s">
        <v>774</v>
      </c>
      <c r="B198" s="65" t="s">
        <v>775</v>
      </c>
      <c r="C198" s="93">
        <v>45003</v>
      </c>
    </row>
    <row r="199" spans="1:3" ht="15" x14ac:dyDescent="0.25">
      <c r="A199" s="65" t="s">
        <v>776</v>
      </c>
      <c r="B199" s="65" t="s">
        <v>777</v>
      </c>
      <c r="C199" s="93">
        <v>45045</v>
      </c>
    </row>
    <row r="200" spans="1:3" ht="15" x14ac:dyDescent="0.25">
      <c r="A200" s="65" t="s">
        <v>778</v>
      </c>
      <c r="B200" s="65" t="s">
        <v>779</v>
      </c>
      <c r="C200" s="77">
        <v>44983</v>
      </c>
    </row>
    <row r="201" spans="1:3" ht="15" x14ac:dyDescent="0.25">
      <c r="A201" s="65" t="s">
        <v>780</v>
      </c>
      <c r="B201" s="65" t="s">
        <v>781</v>
      </c>
      <c r="C201" s="93">
        <v>45197</v>
      </c>
    </row>
    <row r="202" spans="1:3" ht="15" x14ac:dyDescent="0.25">
      <c r="A202" s="65" t="s">
        <v>782</v>
      </c>
      <c r="B202" s="65" t="s">
        <v>783</v>
      </c>
      <c r="C202" s="77">
        <v>45377</v>
      </c>
    </row>
    <row r="203" spans="1:3" ht="15" x14ac:dyDescent="0.25">
      <c r="A203" s="65" t="s">
        <v>784</v>
      </c>
      <c r="B203" s="65" t="s">
        <v>785</v>
      </c>
      <c r="C203" s="94">
        <v>45649</v>
      </c>
    </row>
    <row r="204" spans="1:3" ht="15" x14ac:dyDescent="0.25">
      <c r="A204" s="65" t="s">
        <v>786</v>
      </c>
      <c r="B204" s="65" t="s">
        <v>787</v>
      </c>
      <c r="C204" s="93">
        <v>45747</v>
      </c>
    </row>
    <row r="205" spans="1:3" ht="15" x14ac:dyDescent="0.25">
      <c r="A205" s="65" t="s">
        <v>788</v>
      </c>
      <c r="B205" s="65" t="s">
        <v>789</v>
      </c>
      <c r="C205" s="93">
        <v>45819</v>
      </c>
    </row>
    <row r="206" spans="1:3" ht="15" x14ac:dyDescent="0.25">
      <c r="A206" s="65" t="s">
        <v>790</v>
      </c>
      <c r="B206" s="65" t="s">
        <v>791</v>
      </c>
      <c r="C206" s="77">
        <v>45796</v>
      </c>
    </row>
    <row r="207" spans="1:3" ht="15" x14ac:dyDescent="0.25">
      <c r="A207" s="65" t="s">
        <v>792</v>
      </c>
      <c r="B207" s="65" t="s">
        <v>793</v>
      </c>
      <c r="C207" s="93">
        <v>45042</v>
      </c>
    </row>
    <row r="208" spans="1:3" ht="15" x14ac:dyDescent="0.25">
      <c r="A208" s="65" t="s">
        <v>794</v>
      </c>
      <c r="B208" s="65" t="s">
        <v>795</v>
      </c>
      <c r="C208" s="77">
        <v>44960</v>
      </c>
    </row>
    <row r="209" spans="1:3" ht="15" x14ac:dyDescent="0.25">
      <c r="A209" s="65" t="s">
        <v>796</v>
      </c>
      <c r="B209" s="65" t="s">
        <v>797</v>
      </c>
      <c r="C209" s="93">
        <v>45059</v>
      </c>
    </row>
    <row r="210" spans="1:3" ht="15" x14ac:dyDescent="0.25">
      <c r="A210" s="65" t="s">
        <v>798</v>
      </c>
      <c r="B210" s="65" t="s">
        <v>799</v>
      </c>
      <c r="C210" s="77">
        <v>45373</v>
      </c>
    </row>
    <row r="211" spans="1:3" ht="15" x14ac:dyDescent="0.25">
      <c r="A211" s="65" t="s">
        <v>800</v>
      </c>
      <c r="B211" s="65" t="s">
        <v>801</v>
      </c>
      <c r="C211" s="93">
        <v>45429</v>
      </c>
    </row>
    <row r="212" spans="1:3" ht="15" x14ac:dyDescent="0.25">
      <c r="A212" s="65" t="s">
        <v>802</v>
      </c>
      <c r="B212" s="65" t="s">
        <v>803</v>
      </c>
      <c r="C212" s="94">
        <v>45584</v>
      </c>
    </row>
    <row r="213" spans="1:3" ht="15" x14ac:dyDescent="0.25">
      <c r="A213" s="65" t="s">
        <v>804</v>
      </c>
      <c r="B213" s="65" t="s">
        <v>805</v>
      </c>
      <c r="C213" s="94">
        <v>45577</v>
      </c>
    </row>
    <row r="214" spans="1:3" ht="15" x14ac:dyDescent="0.25">
      <c r="A214" s="65" t="s">
        <v>806</v>
      </c>
      <c r="B214" s="65" t="s">
        <v>807</v>
      </c>
      <c r="C214" s="94">
        <v>45595</v>
      </c>
    </row>
    <row r="215" spans="1:3" ht="15" x14ac:dyDescent="0.25">
      <c r="A215" s="65" t="s">
        <v>808</v>
      </c>
      <c r="B215" s="65" t="s">
        <v>809</v>
      </c>
      <c r="C215" s="77">
        <v>45687</v>
      </c>
    </row>
    <row r="216" spans="1:3" ht="15" x14ac:dyDescent="0.25">
      <c r="A216" s="65" t="s">
        <v>810</v>
      </c>
      <c r="B216" s="65" t="s">
        <v>811</v>
      </c>
      <c r="C216" s="94">
        <v>45656</v>
      </c>
    </row>
    <row r="217" spans="1:3" ht="15" x14ac:dyDescent="0.25">
      <c r="A217" s="65" t="s">
        <v>812</v>
      </c>
      <c r="B217" s="65" t="s">
        <v>813</v>
      </c>
      <c r="C217" s="94">
        <v>45656</v>
      </c>
    </row>
    <row r="218" spans="1:3" ht="15" x14ac:dyDescent="0.25">
      <c r="A218" s="65" t="s">
        <v>814</v>
      </c>
      <c r="B218" s="65" t="s">
        <v>815</v>
      </c>
      <c r="C218" s="93">
        <v>45808</v>
      </c>
    </row>
    <row r="219" spans="1:3" ht="15" x14ac:dyDescent="0.25">
      <c r="A219" s="65" t="s">
        <v>816</v>
      </c>
      <c r="B219" s="65" t="s">
        <v>817</v>
      </c>
      <c r="C219" s="93">
        <v>45899</v>
      </c>
    </row>
    <row r="220" spans="1:3" ht="15" x14ac:dyDescent="0.25">
      <c r="A220" s="65" t="s">
        <v>61</v>
      </c>
      <c r="B220" s="65" t="s">
        <v>330</v>
      </c>
      <c r="C220" s="77">
        <v>45926</v>
      </c>
    </row>
    <row r="221" spans="1:3" ht="15" x14ac:dyDescent="0.25">
      <c r="A221" s="65" t="s">
        <v>38</v>
      </c>
      <c r="B221" s="65" t="s">
        <v>135</v>
      </c>
      <c r="C221" s="93">
        <v>44981</v>
      </c>
    </row>
    <row r="222" spans="1:3" ht="15" x14ac:dyDescent="0.25">
      <c r="A222" s="65" t="s">
        <v>13</v>
      </c>
      <c r="B222" s="65" t="s">
        <v>110</v>
      </c>
      <c r="C222" s="93">
        <v>45077</v>
      </c>
    </row>
    <row r="223" spans="1:3" ht="15" x14ac:dyDescent="0.25">
      <c r="A223" s="65" t="s">
        <v>79</v>
      </c>
      <c r="B223" s="65" t="s">
        <v>176</v>
      </c>
      <c r="C223" s="77">
        <v>45066</v>
      </c>
    </row>
    <row r="224" spans="1:3" ht="15" x14ac:dyDescent="0.25">
      <c r="A224" s="65" t="s">
        <v>53</v>
      </c>
      <c r="B224" s="65" t="s">
        <v>150</v>
      </c>
      <c r="C224" s="93">
        <v>45458</v>
      </c>
    </row>
    <row r="225" spans="1:3" ht="15" x14ac:dyDescent="0.25">
      <c r="A225" s="65" t="s">
        <v>75</v>
      </c>
      <c r="B225" s="65" t="s">
        <v>172</v>
      </c>
      <c r="C225" s="93">
        <v>45097</v>
      </c>
    </row>
    <row r="226" spans="1:3" ht="15" x14ac:dyDescent="0.25">
      <c r="A226" s="65" t="s">
        <v>25</v>
      </c>
      <c r="B226" s="65" t="s">
        <v>122</v>
      </c>
      <c r="C226" s="77">
        <v>45747</v>
      </c>
    </row>
    <row r="227" spans="1:3" ht="15" x14ac:dyDescent="0.25">
      <c r="A227" s="65" t="s">
        <v>8</v>
      </c>
      <c r="B227" s="65" t="s">
        <v>105</v>
      </c>
      <c r="C227" s="93">
        <v>44999</v>
      </c>
    </row>
    <row r="228" spans="1:3" ht="15" x14ac:dyDescent="0.25">
      <c r="A228" s="65" t="s">
        <v>9</v>
      </c>
      <c r="B228" s="65" t="s">
        <v>106</v>
      </c>
      <c r="C228" s="93">
        <v>45008</v>
      </c>
    </row>
    <row r="229" spans="1:3" ht="15" x14ac:dyDescent="0.25">
      <c r="A229" s="65" t="s">
        <v>10</v>
      </c>
      <c r="B229" s="65" t="s">
        <v>107</v>
      </c>
      <c r="C229" s="93">
        <v>45008</v>
      </c>
    </row>
    <row r="230" spans="1:3" ht="15" x14ac:dyDescent="0.25">
      <c r="A230" s="65" t="s">
        <v>14</v>
      </c>
      <c r="B230" s="65" t="s">
        <v>111</v>
      </c>
      <c r="C230" s="77">
        <v>45059</v>
      </c>
    </row>
    <row r="231" spans="1:3" ht="15" x14ac:dyDescent="0.25">
      <c r="A231" s="65" t="s">
        <v>46</v>
      </c>
      <c r="B231" s="65" t="s">
        <v>143</v>
      </c>
      <c r="C231" s="93">
        <v>45138</v>
      </c>
    </row>
    <row r="232" spans="1:3" ht="15" x14ac:dyDescent="0.25">
      <c r="A232" s="65" t="s">
        <v>49</v>
      </c>
      <c r="B232" s="65" t="s">
        <v>146</v>
      </c>
      <c r="C232" s="77">
        <v>45077</v>
      </c>
    </row>
    <row r="233" spans="1:3" ht="15" x14ac:dyDescent="0.25">
      <c r="A233" s="65" t="s">
        <v>40</v>
      </c>
      <c r="B233" s="65" t="s">
        <v>137</v>
      </c>
      <c r="C233" s="93">
        <v>45008</v>
      </c>
    </row>
    <row r="234" spans="1:3" ht="15" x14ac:dyDescent="0.25">
      <c r="A234" s="65" t="s">
        <v>72</v>
      </c>
      <c r="B234" s="65" t="s">
        <v>169</v>
      </c>
      <c r="C234" s="77">
        <v>45024</v>
      </c>
    </row>
    <row r="235" spans="1:3" ht="15" x14ac:dyDescent="0.25">
      <c r="A235" s="65" t="s">
        <v>818</v>
      </c>
      <c r="B235" s="65" t="s">
        <v>819</v>
      </c>
      <c r="C235" s="95" t="s">
        <v>341</v>
      </c>
    </row>
    <row r="236" spans="1:3" ht="15" x14ac:dyDescent="0.25">
      <c r="A236" s="65" t="s">
        <v>820</v>
      </c>
      <c r="B236" s="65" t="s">
        <v>821</v>
      </c>
      <c r="C236" s="91" t="s">
        <v>341</v>
      </c>
    </row>
    <row r="237" spans="1:3" ht="15" x14ac:dyDescent="0.25">
      <c r="A237" s="65" t="s">
        <v>822</v>
      </c>
      <c r="B237" s="65" t="s">
        <v>823</v>
      </c>
      <c r="C237" s="77">
        <v>44995</v>
      </c>
    </row>
    <row r="238" spans="1:3" ht="15" x14ac:dyDescent="0.25">
      <c r="A238" s="65" t="s">
        <v>824</v>
      </c>
      <c r="B238" s="65" t="s">
        <v>825</v>
      </c>
      <c r="C238" s="93">
        <v>45051</v>
      </c>
    </row>
    <row r="239" spans="1:3" ht="15" x14ac:dyDescent="0.25">
      <c r="A239" s="65" t="s">
        <v>826</v>
      </c>
      <c r="B239" s="65" t="s">
        <v>827</v>
      </c>
      <c r="C239" s="93">
        <v>45073</v>
      </c>
    </row>
    <row r="240" spans="1:3" ht="15" x14ac:dyDescent="0.25">
      <c r="A240" s="65" t="s">
        <v>828</v>
      </c>
      <c r="B240" s="65" t="s">
        <v>829</v>
      </c>
      <c r="C240" s="93">
        <v>45068</v>
      </c>
    </row>
    <row r="241" spans="1:3" ht="15" x14ac:dyDescent="0.25">
      <c r="A241" s="65" t="s">
        <v>830</v>
      </c>
      <c r="B241" s="65" t="s">
        <v>831</v>
      </c>
      <c r="C241" s="93">
        <v>45055</v>
      </c>
    </row>
    <row r="242" spans="1:3" ht="15" x14ac:dyDescent="0.25">
      <c r="A242" s="65" t="s">
        <v>832</v>
      </c>
      <c r="B242" s="65" t="s">
        <v>833</v>
      </c>
      <c r="C242" s="77">
        <v>45043</v>
      </c>
    </row>
    <row r="243" spans="1:3" ht="15" x14ac:dyDescent="0.25">
      <c r="A243" s="65" t="s">
        <v>834</v>
      </c>
      <c r="B243" s="65" t="s">
        <v>835</v>
      </c>
      <c r="C243" s="77">
        <v>45075</v>
      </c>
    </row>
    <row r="244" spans="1:3" ht="15" x14ac:dyDescent="0.25">
      <c r="A244" s="65" t="s">
        <v>836</v>
      </c>
      <c r="B244" s="65" t="s">
        <v>837</v>
      </c>
      <c r="C244" s="93">
        <v>44980</v>
      </c>
    </row>
    <row r="245" spans="1:3" ht="15" x14ac:dyDescent="0.25">
      <c r="A245" s="65" t="s">
        <v>838</v>
      </c>
      <c r="B245" s="65" t="s">
        <v>839</v>
      </c>
      <c r="C245" s="77">
        <v>44999</v>
      </c>
    </row>
    <row r="246" spans="1:3" ht="15" x14ac:dyDescent="0.25">
      <c r="A246" s="65" t="s">
        <v>840</v>
      </c>
      <c r="B246" s="65" t="s">
        <v>841</v>
      </c>
      <c r="C246" s="77">
        <v>45527</v>
      </c>
    </row>
    <row r="247" spans="1:3" ht="15" x14ac:dyDescent="0.25">
      <c r="A247" s="65" t="s">
        <v>842</v>
      </c>
      <c r="B247" s="65" t="s">
        <v>843</v>
      </c>
      <c r="C247" s="77">
        <v>45900</v>
      </c>
    </row>
    <row r="248" spans="1:3" ht="15" x14ac:dyDescent="0.25">
      <c r="A248" s="65" t="s">
        <v>844</v>
      </c>
      <c r="B248" s="65" t="s">
        <v>845</v>
      </c>
      <c r="C248" s="93">
        <v>45077</v>
      </c>
    </row>
    <row r="249" spans="1:3" ht="15" x14ac:dyDescent="0.25">
      <c r="A249" s="65" t="s">
        <v>846</v>
      </c>
      <c r="B249" s="65" t="s">
        <v>847</v>
      </c>
      <c r="C249" s="93">
        <v>45034</v>
      </c>
    </row>
    <row r="250" spans="1:3" ht="15" x14ac:dyDescent="0.25">
      <c r="A250" s="65" t="s">
        <v>848</v>
      </c>
      <c r="B250" s="65" t="s">
        <v>849</v>
      </c>
      <c r="C250" s="93">
        <v>45002</v>
      </c>
    </row>
    <row r="251" spans="1:3" ht="15" x14ac:dyDescent="0.25">
      <c r="A251" s="65" t="s">
        <v>850</v>
      </c>
      <c r="B251" s="65" t="s">
        <v>851</v>
      </c>
      <c r="C251" s="93">
        <v>45020</v>
      </c>
    </row>
    <row r="252" spans="1:3" ht="15" x14ac:dyDescent="0.25">
      <c r="A252" s="65" t="s">
        <v>852</v>
      </c>
      <c r="B252" s="65" t="s">
        <v>853</v>
      </c>
      <c r="C252" s="93">
        <v>44985</v>
      </c>
    </row>
    <row r="253" spans="1:3" ht="15" x14ac:dyDescent="0.25">
      <c r="A253" s="65" t="s">
        <v>854</v>
      </c>
      <c r="B253" s="65" t="s">
        <v>855</v>
      </c>
      <c r="C253" s="93">
        <v>45044</v>
      </c>
    </row>
    <row r="254" spans="1:3" ht="15" x14ac:dyDescent="0.25">
      <c r="A254" s="65" t="s">
        <v>856</v>
      </c>
      <c r="B254" s="65" t="s">
        <v>857</v>
      </c>
      <c r="C254" s="93">
        <v>45807</v>
      </c>
    </row>
    <row r="255" spans="1:3" ht="15" x14ac:dyDescent="0.25">
      <c r="A255" s="65" t="s">
        <v>858</v>
      </c>
      <c r="B255" s="65" t="s">
        <v>859</v>
      </c>
      <c r="C255" s="94">
        <v>45576</v>
      </c>
    </row>
    <row r="256" spans="1:3" ht="15" x14ac:dyDescent="0.25">
      <c r="A256" s="65" t="s">
        <v>860</v>
      </c>
      <c r="B256" s="65" t="s">
        <v>861</v>
      </c>
      <c r="C256" s="94">
        <v>45570</v>
      </c>
    </row>
    <row r="257" spans="1:3" ht="15" x14ac:dyDescent="0.25">
      <c r="A257" s="65" t="s">
        <v>862</v>
      </c>
      <c r="B257" s="65" t="s">
        <v>863</v>
      </c>
      <c r="C257" s="84">
        <v>45646</v>
      </c>
    </row>
    <row r="258" spans="1:3" ht="15" x14ac:dyDescent="0.25">
      <c r="A258" s="65" t="s">
        <v>864</v>
      </c>
      <c r="B258" s="65" t="s">
        <v>865</v>
      </c>
      <c r="C258" s="93">
        <v>45776</v>
      </c>
    </row>
    <row r="259" spans="1:3" ht="15" x14ac:dyDescent="0.25">
      <c r="A259" s="65" t="s">
        <v>41</v>
      </c>
      <c r="B259" s="65" t="s">
        <v>138</v>
      </c>
      <c r="C259" s="93">
        <v>45008</v>
      </c>
    </row>
    <row r="260" spans="1:3" ht="15" x14ac:dyDescent="0.25">
      <c r="A260" s="65" t="s">
        <v>18</v>
      </c>
      <c r="B260" s="65" t="s">
        <v>866</v>
      </c>
      <c r="C260" s="93">
        <v>45550</v>
      </c>
    </row>
    <row r="261" spans="1:3" ht="15" x14ac:dyDescent="0.25">
      <c r="A261" s="65" t="s">
        <v>60</v>
      </c>
      <c r="B261" s="65" t="s">
        <v>329</v>
      </c>
      <c r="C261" s="93">
        <v>45835</v>
      </c>
    </row>
    <row r="262" spans="1:3" ht="15" x14ac:dyDescent="0.25">
      <c r="A262" s="65" t="s">
        <v>54</v>
      </c>
      <c r="B262" s="65" t="s">
        <v>321</v>
      </c>
      <c r="C262" s="93">
        <v>45443</v>
      </c>
    </row>
    <row r="263" spans="1:3" ht="15" x14ac:dyDescent="0.25">
      <c r="A263" s="65" t="s">
        <v>16</v>
      </c>
      <c r="B263" s="65" t="s">
        <v>113</v>
      </c>
      <c r="C263" s="77">
        <v>45128</v>
      </c>
    </row>
    <row r="264" spans="1:3" ht="15" x14ac:dyDescent="0.25">
      <c r="A264" s="65" t="s">
        <v>867</v>
      </c>
      <c r="B264" s="65" t="s">
        <v>868</v>
      </c>
      <c r="C264" s="93">
        <v>45016</v>
      </c>
    </row>
    <row r="265" spans="1:3" ht="15" x14ac:dyDescent="0.25">
      <c r="A265" s="65" t="s">
        <v>869</v>
      </c>
      <c r="B265" s="65" t="s">
        <v>870</v>
      </c>
      <c r="C265" s="93">
        <v>45034</v>
      </c>
    </row>
    <row r="266" spans="1:3" ht="15" x14ac:dyDescent="0.25">
      <c r="A266" s="65" t="s">
        <v>871</v>
      </c>
      <c r="B266" s="65" t="s">
        <v>872</v>
      </c>
      <c r="C266" s="77">
        <v>44980</v>
      </c>
    </row>
    <row r="267" spans="1:3" ht="15" x14ac:dyDescent="0.25">
      <c r="A267" s="65" t="s">
        <v>873</v>
      </c>
      <c r="B267" s="65" t="s">
        <v>874</v>
      </c>
      <c r="C267" s="77">
        <v>45071</v>
      </c>
    </row>
    <row r="268" spans="1:3" ht="15" x14ac:dyDescent="0.25">
      <c r="A268" s="65" t="s">
        <v>875</v>
      </c>
      <c r="B268" s="65" t="s">
        <v>876</v>
      </c>
      <c r="C268" s="93">
        <v>45062</v>
      </c>
    </row>
    <row r="269" spans="1:3" ht="15" x14ac:dyDescent="0.25">
      <c r="A269" s="65" t="s">
        <v>877</v>
      </c>
      <c r="B269" s="65" t="s">
        <v>878</v>
      </c>
      <c r="C269" s="77">
        <v>45535</v>
      </c>
    </row>
    <row r="270" spans="1:3" ht="15" x14ac:dyDescent="0.25">
      <c r="A270" s="65" t="s">
        <v>879</v>
      </c>
      <c r="B270" s="65" t="s">
        <v>880</v>
      </c>
      <c r="C270" s="77">
        <v>45869</v>
      </c>
    </row>
    <row r="271" spans="1:3" ht="15" x14ac:dyDescent="0.25">
      <c r="A271" s="65" t="s">
        <v>12</v>
      </c>
      <c r="B271" s="65" t="s">
        <v>109</v>
      </c>
      <c r="C271" s="93">
        <v>45058</v>
      </c>
    </row>
    <row r="272" spans="1:3" ht="15" x14ac:dyDescent="0.25">
      <c r="A272" s="65" t="s">
        <v>99</v>
      </c>
      <c r="B272" s="65" t="s">
        <v>343</v>
      </c>
      <c r="C272" s="77">
        <v>45853</v>
      </c>
    </row>
    <row r="273" spans="1:3" ht="15" x14ac:dyDescent="0.25">
      <c r="A273" s="65" t="s">
        <v>81</v>
      </c>
      <c r="B273" s="65" t="s">
        <v>178</v>
      </c>
      <c r="C273" s="93">
        <v>45069</v>
      </c>
    </row>
    <row r="274" spans="1:3" ht="15" x14ac:dyDescent="0.25">
      <c r="A274" s="65" t="s">
        <v>27</v>
      </c>
      <c r="B274" s="65" t="s">
        <v>124</v>
      </c>
      <c r="C274" s="93">
        <v>45776</v>
      </c>
    </row>
    <row r="275" spans="1:3" ht="15" x14ac:dyDescent="0.25">
      <c r="A275" s="65" t="s">
        <v>881</v>
      </c>
      <c r="B275" s="65" t="s">
        <v>882</v>
      </c>
      <c r="C275" s="77">
        <v>45043</v>
      </c>
    </row>
    <row r="276" spans="1:3" ht="15" x14ac:dyDescent="0.25">
      <c r="A276" s="65" t="s">
        <v>883</v>
      </c>
      <c r="B276" s="65" t="s">
        <v>884</v>
      </c>
      <c r="C276" s="93">
        <v>45043</v>
      </c>
    </row>
    <row r="277" spans="1:3" ht="15" x14ac:dyDescent="0.25">
      <c r="A277" s="65" t="s">
        <v>885</v>
      </c>
      <c r="B277" s="65" t="s">
        <v>886</v>
      </c>
      <c r="C277" s="93">
        <v>45034</v>
      </c>
    </row>
    <row r="278" spans="1:3" ht="15" x14ac:dyDescent="0.25">
      <c r="A278" s="65" t="s">
        <v>887</v>
      </c>
      <c r="B278" s="65" t="s">
        <v>888</v>
      </c>
      <c r="C278" s="93">
        <v>45534</v>
      </c>
    </row>
    <row r="279" spans="1:3" ht="15" x14ac:dyDescent="0.25">
      <c r="A279" s="65" t="s">
        <v>21</v>
      </c>
      <c r="B279" s="65" t="s">
        <v>533</v>
      </c>
      <c r="C279" s="94">
        <v>45570</v>
      </c>
    </row>
    <row r="280" spans="1:3" ht="15" x14ac:dyDescent="0.25">
      <c r="A280" s="65" t="s">
        <v>23</v>
      </c>
      <c r="B280" s="65" t="s">
        <v>542</v>
      </c>
      <c r="C280" s="94">
        <v>45654</v>
      </c>
    </row>
    <row r="281" spans="1:3" ht="15" x14ac:dyDescent="0.25">
      <c r="A281" s="65" t="s">
        <v>889</v>
      </c>
      <c r="B281" s="65" t="s">
        <v>890</v>
      </c>
      <c r="C281" s="93">
        <v>45071</v>
      </c>
    </row>
    <row r="282" spans="1:3" ht="15" x14ac:dyDescent="0.25">
      <c r="A282" s="65" t="s">
        <v>891</v>
      </c>
      <c r="B282" s="65" t="s">
        <v>892</v>
      </c>
      <c r="C282" s="95" t="s">
        <v>341</v>
      </c>
    </row>
    <row r="283" spans="1:3" ht="15" x14ac:dyDescent="0.25">
      <c r="A283" s="65" t="s">
        <v>893</v>
      </c>
      <c r="B283" s="65" t="s">
        <v>894</v>
      </c>
      <c r="C283" s="95" t="s">
        <v>341</v>
      </c>
    </row>
    <row r="284" spans="1:3" ht="15" x14ac:dyDescent="0.25">
      <c r="A284" s="65" t="s">
        <v>895</v>
      </c>
      <c r="B284" s="65" t="s">
        <v>896</v>
      </c>
      <c r="C284" s="95" t="s">
        <v>341</v>
      </c>
    </row>
    <row r="285" spans="1:3" ht="15" x14ac:dyDescent="0.25">
      <c r="A285" s="65" t="s">
        <v>897</v>
      </c>
      <c r="B285" s="65" t="s">
        <v>898</v>
      </c>
      <c r="C285" s="95" t="s">
        <v>341</v>
      </c>
    </row>
    <row r="286" spans="1:3" ht="15" x14ac:dyDescent="0.25">
      <c r="A286" s="65" t="s">
        <v>899</v>
      </c>
      <c r="B286" s="65" t="s">
        <v>900</v>
      </c>
      <c r="C286" s="95" t="s">
        <v>341</v>
      </c>
    </row>
    <row r="287" spans="1:3" ht="15" x14ac:dyDescent="0.25">
      <c r="A287" s="65" t="s">
        <v>901</v>
      </c>
      <c r="B287" s="65" t="s">
        <v>902</v>
      </c>
      <c r="C287" s="95" t="s">
        <v>341</v>
      </c>
    </row>
    <row r="288" spans="1:3" ht="15" x14ac:dyDescent="0.25">
      <c r="A288" s="65" t="s">
        <v>903</v>
      </c>
      <c r="B288" s="65" t="s">
        <v>904</v>
      </c>
      <c r="C288" s="95" t="s">
        <v>341</v>
      </c>
    </row>
    <row r="289" spans="1:3" ht="15" x14ac:dyDescent="0.25">
      <c r="A289" s="65" t="s">
        <v>905</v>
      </c>
      <c r="B289" s="65" t="s">
        <v>906</v>
      </c>
      <c r="C289" s="95" t="s">
        <v>341</v>
      </c>
    </row>
    <row r="290" spans="1:3" ht="15" x14ac:dyDescent="0.25">
      <c r="A290" s="65" t="s">
        <v>907</v>
      </c>
      <c r="B290" s="65" t="s">
        <v>908</v>
      </c>
      <c r="C290" s="95" t="s">
        <v>341</v>
      </c>
    </row>
    <row r="291" spans="1:3" ht="15" x14ac:dyDescent="0.25">
      <c r="A291" s="65" t="s">
        <v>909</v>
      </c>
      <c r="B291" s="65" t="s">
        <v>910</v>
      </c>
      <c r="C291" s="95" t="s">
        <v>341</v>
      </c>
    </row>
    <row r="292" spans="1:3" ht="15" x14ac:dyDescent="0.25">
      <c r="A292" s="65" t="s">
        <v>911</v>
      </c>
      <c r="B292" s="65" t="s">
        <v>912</v>
      </c>
      <c r="C292" s="95" t="s">
        <v>341</v>
      </c>
    </row>
    <row r="293" spans="1:3" ht="15" x14ac:dyDescent="0.25">
      <c r="A293" s="65" t="s">
        <v>913</v>
      </c>
      <c r="B293" s="65" t="s">
        <v>914</v>
      </c>
      <c r="C293" s="95" t="s">
        <v>341</v>
      </c>
    </row>
    <row r="294" spans="1:3" ht="15" x14ac:dyDescent="0.25">
      <c r="A294" s="65" t="s">
        <v>915</v>
      </c>
      <c r="B294" s="65" t="s">
        <v>916</v>
      </c>
      <c r="C294" s="95" t="s">
        <v>341</v>
      </c>
    </row>
    <row r="295" spans="1:3" ht="15" x14ac:dyDescent="0.25">
      <c r="A295" s="65" t="s">
        <v>917</v>
      </c>
      <c r="B295" s="65" t="s">
        <v>918</v>
      </c>
      <c r="C295" s="95" t="s">
        <v>341</v>
      </c>
    </row>
    <row r="296" spans="1:3" ht="15" x14ac:dyDescent="0.25">
      <c r="A296" s="65" t="s">
        <v>919</v>
      </c>
      <c r="B296" s="65" t="s">
        <v>920</v>
      </c>
      <c r="C296" s="95" t="s">
        <v>341</v>
      </c>
    </row>
    <row r="297" spans="1:3" ht="15" x14ac:dyDescent="0.25">
      <c r="A297" s="65" t="s">
        <v>921</v>
      </c>
      <c r="B297" s="65" t="s">
        <v>922</v>
      </c>
      <c r="C297" s="95" t="s">
        <v>341</v>
      </c>
    </row>
    <row r="298" spans="1:3" ht="15" x14ac:dyDescent="0.25">
      <c r="A298" s="65" t="s">
        <v>923</v>
      </c>
      <c r="B298" s="65" t="s">
        <v>924</v>
      </c>
      <c r="C298" s="95" t="s">
        <v>341</v>
      </c>
    </row>
    <row r="299" spans="1:3" ht="15" x14ac:dyDescent="0.25">
      <c r="A299" s="65" t="s">
        <v>925</v>
      </c>
      <c r="B299" s="65" t="s">
        <v>926</v>
      </c>
      <c r="C299" s="95" t="s">
        <v>341</v>
      </c>
    </row>
    <row r="300" spans="1:3" ht="15" x14ac:dyDescent="0.25">
      <c r="A300" s="65" t="s">
        <v>927</v>
      </c>
      <c r="B300" s="65" t="s">
        <v>928</v>
      </c>
      <c r="C300" s="95" t="s">
        <v>341</v>
      </c>
    </row>
    <row r="301" spans="1:3" ht="15" x14ac:dyDescent="0.25">
      <c r="A301" s="65" t="s">
        <v>929</v>
      </c>
      <c r="B301" s="65" t="s">
        <v>930</v>
      </c>
      <c r="C301" s="95" t="s">
        <v>341</v>
      </c>
    </row>
    <row r="302" spans="1:3" ht="15" x14ac:dyDescent="0.25">
      <c r="A302" s="65" t="s">
        <v>931</v>
      </c>
      <c r="B302" s="65" t="s">
        <v>932</v>
      </c>
      <c r="C302" s="95" t="s">
        <v>341</v>
      </c>
    </row>
    <row r="303" spans="1:3" ht="15" x14ac:dyDescent="0.25">
      <c r="A303" s="65" t="s">
        <v>933</v>
      </c>
      <c r="B303" s="65" t="s">
        <v>934</v>
      </c>
      <c r="C303" s="95" t="s">
        <v>341</v>
      </c>
    </row>
    <row r="304" spans="1:3" ht="15" x14ac:dyDescent="0.25">
      <c r="A304" s="65" t="s">
        <v>935</v>
      </c>
      <c r="B304" s="65" t="s">
        <v>936</v>
      </c>
      <c r="C304" s="95" t="s">
        <v>341</v>
      </c>
    </row>
    <row r="305" spans="1:3" ht="15" x14ac:dyDescent="0.25">
      <c r="A305" s="65" t="s">
        <v>937</v>
      </c>
      <c r="B305" s="65" t="s">
        <v>938</v>
      </c>
      <c r="C305" s="95" t="s">
        <v>341</v>
      </c>
    </row>
    <row r="306" spans="1:3" ht="15" x14ac:dyDescent="0.25">
      <c r="A306" s="65" t="s">
        <v>939</v>
      </c>
      <c r="B306" s="65" t="s">
        <v>940</v>
      </c>
      <c r="C306" s="95" t="s">
        <v>341</v>
      </c>
    </row>
    <row r="307" spans="1:3" ht="15" x14ac:dyDescent="0.25">
      <c r="A307" s="65" t="s">
        <v>941</v>
      </c>
      <c r="B307" s="65" t="s">
        <v>942</v>
      </c>
      <c r="C307" s="95" t="s">
        <v>341</v>
      </c>
    </row>
    <row r="308" spans="1:3" ht="15" x14ac:dyDescent="0.25">
      <c r="A308" s="65" t="s">
        <v>943</v>
      </c>
      <c r="B308" s="65" t="s">
        <v>944</v>
      </c>
      <c r="C308" s="95" t="s">
        <v>341</v>
      </c>
    </row>
    <row r="309" spans="1:3" ht="15" x14ac:dyDescent="0.25">
      <c r="A309" s="65" t="s">
        <v>945</v>
      </c>
      <c r="B309" s="65" t="s">
        <v>946</v>
      </c>
      <c r="C309" s="95" t="s">
        <v>341</v>
      </c>
    </row>
    <row r="310" spans="1:3" ht="15" x14ac:dyDescent="0.25">
      <c r="A310" s="65" t="s">
        <v>947</v>
      </c>
      <c r="B310" s="65" t="s">
        <v>948</v>
      </c>
      <c r="C310" s="95" t="s">
        <v>341</v>
      </c>
    </row>
    <row r="311" spans="1:3" ht="15" x14ac:dyDescent="0.25">
      <c r="A311" s="65" t="s">
        <v>949</v>
      </c>
      <c r="B311" s="65" t="s">
        <v>950</v>
      </c>
      <c r="C311" s="95" t="s">
        <v>341</v>
      </c>
    </row>
    <row r="312" spans="1:3" ht="15" x14ac:dyDescent="0.25">
      <c r="A312" s="65" t="s">
        <v>951</v>
      </c>
      <c r="B312" s="65" t="s">
        <v>952</v>
      </c>
      <c r="C312" s="95" t="s">
        <v>341</v>
      </c>
    </row>
    <row r="313" spans="1:3" ht="15" x14ac:dyDescent="0.25">
      <c r="A313" s="65" t="s">
        <v>953</v>
      </c>
      <c r="B313" s="65" t="s">
        <v>954</v>
      </c>
      <c r="C313" s="95" t="s">
        <v>341</v>
      </c>
    </row>
    <row r="314" spans="1:3" ht="15" x14ac:dyDescent="0.25">
      <c r="A314" s="65" t="s">
        <v>955</v>
      </c>
      <c r="B314" s="65" t="s">
        <v>956</v>
      </c>
      <c r="C314" s="95" t="s">
        <v>341</v>
      </c>
    </row>
    <row r="315" spans="1:3" ht="15" x14ac:dyDescent="0.25">
      <c r="A315" s="65" t="s">
        <v>957</v>
      </c>
      <c r="B315" s="65" t="s">
        <v>958</v>
      </c>
      <c r="C315" s="95" t="s">
        <v>341</v>
      </c>
    </row>
    <row r="316" spans="1:3" ht="15" x14ac:dyDescent="0.25">
      <c r="A316" s="65" t="s">
        <v>959</v>
      </c>
      <c r="B316" s="65" t="s">
        <v>960</v>
      </c>
      <c r="C316" s="95" t="s">
        <v>341</v>
      </c>
    </row>
    <row r="317" spans="1:3" ht="15" x14ac:dyDescent="0.25">
      <c r="A317" s="65" t="s">
        <v>961</v>
      </c>
      <c r="B317" s="65" t="s">
        <v>962</v>
      </c>
      <c r="C317" s="95" t="s">
        <v>341</v>
      </c>
    </row>
    <row r="318" spans="1:3" ht="15" x14ac:dyDescent="0.25">
      <c r="A318" s="65" t="s">
        <v>963</v>
      </c>
      <c r="B318" s="65" t="s">
        <v>964</v>
      </c>
      <c r="C318" s="95" t="s">
        <v>341</v>
      </c>
    </row>
    <row r="319" spans="1:3" ht="15" x14ac:dyDescent="0.25">
      <c r="A319" s="65" t="s">
        <v>965</v>
      </c>
      <c r="B319" s="65" t="s">
        <v>966</v>
      </c>
      <c r="C319" s="95" t="s">
        <v>341</v>
      </c>
    </row>
    <row r="320" spans="1:3" ht="15" x14ac:dyDescent="0.25">
      <c r="A320" s="65" t="s">
        <v>967</v>
      </c>
      <c r="B320" s="65" t="s">
        <v>968</v>
      </c>
      <c r="C320" s="95" t="s">
        <v>341</v>
      </c>
    </row>
    <row r="321" spans="1:3" ht="15" x14ac:dyDescent="0.25">
      <c r="A321" s="65" t="s">
        <v>969</v>
      </c>
      <c r="B321" s="65" t="s">
        <v>970</v>
      </c>
      <c r="C321" s="95" t="s">
        <v>341</v>
      </c>
    </row>
    <row r="322" spans="1:3" ht="15" x14ac:dyDescent="0.25">
      <c r="A322" s="65" t="s">
        <v>971</v>
      </c>
      <c r="B322" s="65" t="s">
        <v>972</v>
      </c>
      <c r="C322" s="95" t="s">
        <v>341</v>
      </c>
    </row>
    <row r="323" spans="1:3" ht="15" x14ac:dyDescent="0.25">
      <c r="A323" s="65" t="s">
        <v>973</v>
      </c>
      <c r="B323" s="65" t="s">
        <v>974</v>
      </c>
      <c r="C323" s="95" t="s">
        <v>341</v>
      </c>
    </row>
    <row r="324" spans="1:3" ht="15" x14ac:dyDescent="0.25">
      <c r="A324" s="65" t="s">
        <v>975</v>
      </c>
      <c r="B324" s="65" t="s">
        <v>976</v>
      </c>
      <c r="C324" s="95" t="s">
        <v>341</v>
      </c>
    </row>
    <row r="325" spans="1:3" ht="15" x14ac:dyDescent="0.25">
      <c r="A325" s="65" t="s">
        <v>977</v>
      </c>
      <c r="B325" s="65" t="s">
        <v>978</v>
      </c>
      <c r="C325" s="95" t="s">
        <v>341</v>
      </c>
    </row>
    <row r="326" spans="1:3" ht="15" x14ac:dyDescent="0.25">
      <c r="A326" s="65" t="s">
        <v>979</v>
      </c>
      <c r="B326" s="65" t="s">
        <v>980</v>
      </c>
      <c r="C326" s="95" t="s">
        <v>341</v>
      </c>
    </row>
    <row r="327" spans="1:3" ht="15" x14ac:dyDescent="0.25">
      <c r="A327" s="65" t="s">
        <v>981</v>
      </c>
      <c r="B327" s="65" t="s">
        <v>982</v>
      </c>
      <c r="C327" s="95" t="s">
        <v>341</v>
      </c>
    </row>
    <row r="328" spans="1:3" ht="15" x14ac:dyDescent="0.25">
      <c r="A328" s="65" t="s">
        <v>983</v>
      </c>
      <c r="B328" s="65" t="s">
        <v>984</v>
      </c>
      <c r="C328" s="95" t="s">
        <v>341</v>
      </c>
    </row>
    <row r="329" spans="1:3" ht="15" x14ac:dyDescent="0.25">
      <c r="A329" s="65" t="s">
        <v>985</v>
      </c>
      <c r="B329" s="65" t="s">
        <v>986</v>
      </c>
      <c r="C329" s="95" t="s">
        <v>341</v>
      </c>
    </row>
    <row r="330" spans="1:3" ht="15" x14ac:dyDescent="0.25">
      <c r="A330" s="65" t="s">
        <v>987</v>
      </c>
      <c r="B330" s="65" t="s">
        <v>988</v>
      </c>
      <c r="C330" s="95" t="s">
        <v>341</v>
      </c>
    </row>
    <row r="331" spans="1:3" ht="15" x14ac:dyDescent="0.25">
      <c r="A331" s="65" t="s">
        <v>989</v>
      </c>
      <c r="B331" s="65" t="s">
        <v>990</v>
      </c>
      <c r="C331" s="95" t="s">
        <v>341</v>
      </c>
    </row>
    <row r="332" spans="1:3" ht="15" x14ac:dyDescent="0.25">
      <c r="A332" s="65" t="s">
        <v>991</v>
      </c>
      <c r="B332" s="65" t="s">
        <v>992</v>
      </c>
      <c r="C332" s="95" t="s">
        <v>341</v>
      </c>
    </row>
    <row r="333" spans="1:3" ht="15" x14ac:dyDescent="0.25">
      <c r="A333" s="65" t="s">
        <v>993</v>
      </c>
      <c r="B333" s="65" t="s">
        <v>994</v>
      </c>
      <c r="C333" s="95" t="s">
        <v>341</v>
      </c>
    </row>
    <row r="334" spans="1:3" ht="15" x14ac:dyDescent="0.25">
      <c r="A334" s="65" t="s">
        <v>995</v>
      </c>
      <c r="B334" s="65" t="s">
        <v>996</v>
      </c>
      <c r="C334" s="95" t="s">
        <v>341</v>
      </c>
    </row>
    <row r="335" spans="1:3" ht="15" x14ac:dyDescent="0.25">
      <c r="A335" s="65" t="s">
        <v>997</v>
      </c>
      <c r="B335" s="65" t="s">
        <v>998</v>
      </c>
      <c r="C335" s="95" t="s">
        <v>341</v>
      </c>
    </row>
    <row r="336" spans="1:3" ht="15" x14ac:dyDescent="0.25">
      <c r="A336" s="65" t="s">
        <v>999</v>
      </c>
      <c r="B336" s="65" t="s">
        <v>1000</v>
      </c>
      <c r="C336" s="95" t="s">
        <v>341</v>
      </c>
    </row>
    <row r="337" spans="1:3" ht="15" x14ac:dyDescent="0.25">
      <c r="A337" s="65" t="s">
        <v>1001</v>
      </c>
      <c r="B337" s="65" t="s">
        <v>1002</v>
      </c>
      <c r="C337" s="95" t="s">
        <v>341</v>
      </c>
    </row>
    <row r="338" spans="1:3" ht="15" x14ac:dyDescent="0.25">
      <c r="A338" s="65" t="s">
        <v>1003</v>
      </c>
      <c r="B338" s="65" t="s">
        <v>1004</v>
      </c>
      <c r="C338" s="95" t="s">
        <v>341</v>
      </c>
    </row>
    <row r="339" spans="1:3" ht="15" x14ac:dyDescent="0.25">
      <c r="A339" s="65" t="s">
        <v>1005</v>
      </c>
      <c r="B339" s="65" t="s">
        <v>1006</v>
      </c>
      <c r="C339" s="95" t="s">
        <v>341</v>
      </c>
    </row>
    <row r="340" spans="1:3" ht="15" x14ac:dyDescent="0.25">
      <c r="A340" s="65" t="s">
        <v>1007</v>
      </c>
      <c r="B340" s="65" t="s">
        <v>1008</v>
      </c>
      <c r="C340" s="95" t="s">
        <v>341</v>
      </c>
    </row>
    <row r="341" spans="1:3" ht="15" x14ac:dyDescent="0.25">
      <c r="A341" s="65" t="s">
        <v>1009</v>
      </c>
      <c r="B341" s="65" t="s">
        <v>1010</v>
      </c>
      <c r="C341" s="95" t="s">
        <v>341</v>
      </c>
    </row>
    <row r="342" spans="1:3" ht="15" x14ac:dyDescent="0.25">
      <c r="A342" s="65" t="s">
        <v>1011</v>
      </c>
      <c r="B342" s="65" t="s">
        <v>1012</v>
      </c>
      <c r="C342" s="95" t="s">
        <v>341</v>
      </c>
    </row>
    <row r="343" spans="1:3" ht="15" x14ac:dyDescent="0.25">
      <c r="A343" s="65" t="s">
        <v>1013</v>
      </c>
      <c r="B343" s="65" t="s">
        <v>1014</v>
      </c>
      <c r="C343" s="95" t="s">
        <v>341</v>
      </c>
    </row>
    <row r="344" spans="1:3" ht="15" x14ac:dyDescent="0.25">
      <c r="A344" s="65" t="s">
        <v>1015</v>
      </c>
      <c r="B344" s="65" t="s">
        <v>1016</v>
      </c>
      <c r="C344" s="95" t="s">
        <v>341</v>
      </c>
    </row>
    <row r="345" spans="1:3" ht="15" x14ac:dyDescent="0.25">
      <c r="A345" s="65" t="s">
        <v>1017</v>
      </c>
      <c r="B345" s="65" t="s">
        <v>1018</v>
      </c>
      <c r="C345" s="95" t="s">
        <v>341</v>
      </c>
    </row>
    <row r="346" spans="1:3" ht="15" x14ac:dyDescent="0.25">
      <c r="A346" s="65" t="s">
        <v>1019</v>
      </c>
      <c r="B346" s="65" t="s">
        <v>1020</v>
      </c>
      <c r="C346" s="95" t="s">
        <v>341</v>
      </c>
    </row>
    <row r="347" spans="1:3" ht="15" x14ac:dyDescent="0.25">
      <c r="A347" s="65" t="s">
        <v>1021</v>
      </c>
      <c r="B347" s="65" t="s">
        <v>1022</v>
      </c>
      <c r="C347" s="95" t="s">
        <v>341</v>
      </c>
    </row>
    <row r="348" spans="1:3" ht="15" x14ac:dyDescent="0.25">
      <c r="A348" s="65" t="s">
        <v>1023</v>
      </c>
      <c r="B348" s="65" t="s">
        <v>1024</v>
      </c>
      <c r="C348" s="95" t="s">
        <v>341</v>
      </c>
    </row>
    <row r="349" spans="1:3" ht="15" x14ac:dyDescent="0.25">
      <c r="A349" s="65" t="s">
        <v>1025</v>
      </c>
      <c r="B349" s="65" t="s">
        <v>1026</v>
      </c>
      <c r="C349" s="95" t="s">
        <v>341</v>
      </c>
    </row>
    <row r="350" spans="1:3" ht="15" x14ac:dyDescent="0.25">
      <c r="A350" s="65" t="s">
        <v>1027</v>
      </c>
      <c r="B350" s="65" t="s">
        <v>1028</v>
      </c>
      <c r="C350" s="95" t="s">
        <v>341</v>
      </c>
    </row>
    <row r="351" spans="1:3" ht="15" x14ac:dyDescent="0.25">
      <c r="A351" s="65" t="s">
        <v>1029</v>
      </c>
      <c r="B351" s="65" t="s">
        <v>1030</v>
      </c>
      <c r="C351" s="95" t="s">
        <v>341</v>
      </c>
    </row>
    <row r="352" spans="1:3" ht="15" x14ac:dyDescent="0.25">
      <c r="A352" s="65" t="s">
        <v>1031</v>
      </c>
      <c r="B352" s="65" t="s">
        <v>1032</v>
      </c>
      <c r="C352" s="95" t="s">
        <v>341</v>
      </c>
    </row>
    <row r="353" spans="1:3" ht="15" x14ac:dyDescent="0.25">
      <c r="A353" s="65" t="s">
        <v>1033</v>
      </c>
      <c r="B353" s="65" t="s">
        <v>1034</v>
      </c>
      <c r="C353" s="95" t="s">
        <v>341</v>
      </c>
    </row>
    <row r="354" spans="1:3" ht="15" x14ac:dyDescent="0.25">
      <c r="A354" s="65" t="s">
        <v>1035</v>
      </c>
      <c r="B354" s="65" t="s">
        <v>1036</v>
      </c>
      <c r="C354" s="95" t="s">
        <v>341</v>
      </c>
    </row>
    <row r="355" spans="1:3" ht="15" x14ac:dyDescent="0.25">
      <c r="A355" s="65" t="s">
        <v>1037</v>
      </c>
      <c r="B355" s="65" t="s">
        <v>1038</v>
      </c>
      <c r="C355" s="95" t="s">
        <v>341</v>
      </c>
    </row>
    <row r="356" spans="1:3" ht="15" x14ac:dyDescent="0.25">
      <c r="A356" s="65" t="s">
        <v>1039</v>
      </c>
      <c r="B356" s="65" t="s">
        <v>1040</v>
      </c>
      <c r="C356" s="95" t="s">
        <v>341</v>
      </c>
    </row>
    <row r="357" spans="1:3" ht="15" x14ac:dyDescent="0.25">
      <c r="A357" s="65" t="s">
        <v>1041</v>
      </c>
      <c r="B357" s="65" t="s">
        <v>1042</v>
      </c>
      <c r="C357" s="95" t="s">
        <v>341</v>
      </c>
    </row>
    <row r="358" spans="1:3" ht="15" x14ac:dyDescent="0.25">
      <c r="A358" s="65" t="s">
        <v>1043</v>
      </c>
      <c r="B358" s="65" t="s">
        <v>1044</v>
      </c>
      <c r="C358" s="95" t="s">
        <v>341</v>
      </c>
    </row>
    <row r="359" spans="1:3" ht="15" x14ac:dyDescent="0.25">
      <c r="A359" s="65" t="s">
        <v>1045</v>
      </c>
      <c r="B359" s="65" t="s">
        <v>1046</v>
      </c>
      <c r="C359" s="95" t="s">
        <v>341</v>
      </c>
    </row>
    <row r="360" spans="1:3" ht="15" x14ac:dyDescent="0.25">
      <c r="A360" s="65" t="s">
        <v>1047</v>
      </c>
      <c r="B360" s="65" t="s">
        <v>1048</v>
      </c>
      <c r="C360" s="95" t="s">
        <v>341</v>
      </c>
    </row>
    <row r="361" spans="1:3" ht="15" x14ac:dyDescent="0.25">
      <c r="A361" s="65" t="s">
        <v>1049</v>
      </c>
      <c r="B361" s="65" t="s">
        <v>1050</v>
      </c>
      <c r="C361" s="95" t="s">
        <v>341</v>
      </c>
    </row>
    <row r="362" spans="1:3" ht="15" x14ac:dyDescent="0.25">
      <c r="A362" s="65" t="s">
        <v>1051</v>
      </c>
      <c r="B362" s="65" t="s">
        <v>1052</v>
      </c>
      <c r="C362" s="95" t="s">
        <v>341</v>
      </c>
    </row>
    <row r="363" spans="1:3" ht="15" x14ac:dyDescent="0.25">
      <c r="A363" s="65" t="s">
        <v>1053</v>
      </c>
      <c r="B363" s="65" t="s">
        <v>1054</v>
      </c>
      <c r="C363" s="95" t="s">
        <v>341</v>
      </c>
    </row>
    <row r="364" spans="1:3" ht="15" x14ac:dyDescent="0.25">
      <c r="A364" s="65" t="s">
        <v>1055</v>
      </c>
      <c r="B364" s="65" t="s">
        <v>1056</v>
      </c>
      <c r="C364" s="95" t="s">
        <v>341</v>
      </c>
    </row>
    <row r="365" spans="1:3" ht="15" x14ac:dyDescent="0.25">
      <c r="A365" s="65" t="s">
        <v>1057</v>
      </c>
      <c r="B365" s="65" t="s">
        <v>1058</v>
      </c>
      <c r="C365" s="95" t="s">
        <v>341</v>
      </c>
    </row>
    <row r="366" spans="1:3" ht="15" x14ac:dyDescent="0.25">
      <c r="A366" s="65" t="s">
        <v>1059</v>
      </c>
      <c r="B366" s="65" t="s">
        <v>1060</v>
      </c>
      <c r="C366" s="95" t="s">
        <v>341</v>
      </c>
    </row>
    <row r="367" spans="1:3" ht="15" x14ac:dyDescent="0.25">
      <c r="A367" s="65" t="s">
        <v>1061</v>
      </c>
      <c r="B367" s="65" t="s">
        <v>1062</v>
      </c>
      <c r="C367" s="95" t="s">
        <v>341</v>
      </c>
    </row>
    <row r="368" spans="1:3" ht="15" x14ac:dyDescent="0.25">
      <c r="A368" s="65" t="s">
        <v>1063</v>
      </c>
      <c r="B368" s="65" t="s">
        <v>1064</v>
      </c>
      <c r="C368" s="95" t="s">
        <v>341</v>
      </c>
    </row>
    <row r="369" spans="1:3" ht="15" x14ac:dyDescent="0.25">
      <c r="A369" s="65" t="s">
        <v>1065</v>
      </c>
      <c r="B369" s="65" t="s">
        <v>1066</v>
      </c>
      <c r="C369" s="95" t="s">
        <v>341</v>
      </c>
    </row>
    <row r="370" spans="1:3" ht="15" x14ac:dyDescent="0.25">
      <c r="A370" s="65" t="s">
        <v>1067</v>
      </c>
      <c r="B370" s="65" t="s">
        <v>1068</v>
      </c>
      <c r="C370" s="95" t="s">
        <v>341</v>
      </c>
    </row>
    <row r="371" spans="1:3" ht="15" x14ac:dyDescent="0.25">
      <c r="A371" s="65" t="s">
        <v>1069</v>
      </c>
      <c r="B371" s="65" t="s">
        <v>1070</v>
      </c>
      <c r="C371" s="95" t="s">
        <v>341</v>
      </c>
    </row>
    <row r="372" spans="1:3" ht="15" x14ac:dyDescent="0.25">
      <c r="A372" s="65" t="s">
        <v>1071</v>
      </c>
      <c r="B372" s="65" t="s">
        <v>1072</v>
      </c>
      <c r="C372" s="95" t="s">
        <v>341</v>
      </c>
    </row>
    <row r="373" spans="1:3" ht="15" x14ac:dyDescent="0.25">
      <c r="A373" s="65" t="s">
        <v>1073</v>
      </c>
      <c r="B373" s="65" t="s">
        <v>1074</v>
      </c>
      <c r="C373" s="95" t="s">
        <v>341</v>
      </c>
    </row>
    <row r="374" spans="1:3" ht="15" x14ac:dyDescent="0.25">
      <c r="A374" s="65" t="s">
        <v>1075</v>
      </c>
      <c r="B374" s="65" t="s">
        <v>1076</v>
      </c>
      <c r="C374" s="95" t="s">
        <v>341</v>
      </c>
    </row>
    <row r="375" spans="1:3" ht="15" x14ac:dyDescent="0.25">
      <c r="A375" s="65" t="s">
        <v>1077</v>
      </c>
      <c r="B375" s="65" t="s">
        <v>1078</v>
      </c>
      <c r="C375" s="95" t="s">
        <v>341</v>
      </c>
    </row>
    <row r="376" spans="1:3" ht="15" x14ac:dyDescent="0.25">
      <c r="A376" s="65" t="s">
        <v>366</v>
      </c>
      <c r="B376" s="65" t="s">
        <v>367</v>
      </c>
      <c r="C376" s="95" t="s">
        <v>341</v>
      </c>
    </row>
    <row r="377" spans="1:3" ht="15" x14ac:dyDescent="0.25">
      <c r="A377" s="65" t="s">
        <v>368</v>
      </c>
      <c r="B377" s="65" t="s">
        <v>369</v>
      </c>
      <c r="C377" s="95" t="s">
        <v>341</v>
      </c>
    </row>
    <row r="378" spans="1:3" ht="15" x14ac:dyDescent="0.25">
      <c r="A378" s="65" t="s">
        <v>370</v>
      </c>
      <c r="B378" s="65" t="s">
        <v>371</v>
      </c>
      <c r="C378" s="95" t="s">
        <v>341</v>
      </c>
    </row>
    <row r="379" spans="1:3" ht="15" x14ac:dyDescent="0.25">
      <c r="A379" s="65" t="s">
        <v>372</v>
      </c>
      <c r="B379" s="65" t="s">
        <v>462</v>
      </c>
      <c r="C379" s="95" t="s">
        <v>341</v>
      </c>
    </row>
    <row r="380" spans="1:3" ht="15" x14ac:dyDescent="0.25">
      <c r="A380" s="65" t="s">
        <v>374</v>
      </c>
      <c r="B380" s="65" t="s">
        <v>375</v>
      </c>
      <c r="C380" s="95" t="s">
        <v>341</v>
      </c>
    </row>
    <row r="381" spans="1:3" ht="15" x14ac:dyDescent="0.25">
      <c r="A381" s="65" t="s">
        <v>376</v>
      </c>
      <c r="B381" s="65" t="s">
        <v>377</v>
      </c>
      <c r="C381" s="95" t="s">
        <v>341</v>
      </c>
    </row>
    <row r="382" spans="1:3" ht="15" x14ac:dyDescent="0.25">
      <c r="A382" s="65" t="s">
        <v>378</v>
      </c>
      <c r="B382" s="65" t="s">
        <v>379</v>
      </c>
      <c r="C382" s="95" t="s">
        <v>341</v>
      </c>
    </row>
    <row r="383" spans="1:3" ht="15" x14ac:dyDescent="0.25">
      <c r="A383" s="65" t="s">
        <v>380</v>
      </c>
      <c r="B383" s="65" t="s">
        <v>381</v>
      </c>
      <c r="C383" s="95" t="s">
        <v>341</v>
      </c>
    </row>
    <row r="384" spans="1:3" ht="15" x14ac:dyDescent="0.25">
      <c r="A384" s="65" t="s">
        <v>382</v>
      </c>
      <c r="B384" s="65" t="s">
        <v>383</v>
      </c>
      <c r="C384" s="95" t="s">
        <v>341</v>
      </c>
    </row>
    <row r="385" spans="1:3" ht="15" x14ac:dyDescent="0.25">
      <c r="A385" s="65" t="s">
        <v>384</v>
      </c>
      <c r="B385" s="65" t="s">
        <v>385</v>
      </c>
      <c r="C385" s="95" t="s">
        <v>341</v>
      </c>
    </row>
    <row r="386" spans="1:3" ht="15" x14ac:dyDescent="0.25">
      <c r="A386" s="65" t="s">
        <v>386</v>
      </c>
      <c r="B386" s="65" t="s">
        <v>387</v>
      </c>
      <c r="C386" s="95" t="s">
        <v>341</v>
      </c>
    </row>
    <row r="387" spans="1:3" ht="15" x14ac:dyDescent="0.25">
      <c r="A387" s="65" t="s">
        <v>388</v>
      </c>
      <c r="B387" s="65" t="s">
        <v>389</v>
      </c>
      <c r="C387" s="95" t="s">
        <v>341</v>
      </c>
    </row>
    <row r="388" spans="1:3" ht="15" x14ac:dyDescent="0.25">
      <c r="A388" s="65" t="s">
        <v>390</v>
      </c>
      <c r="B388" s="65" t="s">
        <v>391</v>
      </c>
      <c r="C388" s="95" t="s">
        <v>341</v>
      </c>
    </row>
    <row r="389" spans="1:3" ht="15" x14ac:dyDescent="0.25">
      <c r="A389" s="65" t="s">
        <v>392</v>
      </c>
      <c r="B389" s="65" t="s">
        <v>1079</v>
      </c>
      <c r="C389" s="95" t="s">
        <v>341</v>
      </c>
    </row>
    <row r="390" spans="1:3" ht="15" x14ac:dyDescent="0.25">
      <c r="A390" s="65" t="s">
        <v>393</v>
      </c>
      <c r="B390" s="65" t="s">
        <v>394</v>
      </c>
      <c r="C390" s="95" t="s">
        <v>341</v>
      </c>
    </row>
    <row r="391" spans="1:3" ht="15" x14ac:dyDescent="0.25">
      <c r="A391" s="65" t="s">
        <v>395</v>
      </c>
      <c r="B391" s="65" t="s">
        <v>396</v>
      </c>
      <c r="C391" s="95" t="s">
        <v>341</v>
      </c>
    </row>
    <row r="392" spans="1:3" ht="15" x14ac:dyDescent="0.25">
      <c r="A392" s="65" t="s">
        <v>397</v>
      </c>
      <c r="B392" s="65" t="s">
        <v>398</v>
      </c>
      <c r="C392" s="95" t="s">
        <v>341</v>
      </c>
    </row>
    <row r="393" spans="1:3" ht="15" x14ac:dyDescent="0.25">
      <c r="A393" s="65" t="s">
        <v>399</v>
      </c>
      <c r="B393" s="65" t="s">
        <v>400</v>
      </c>
      <c r="C393" s="95" t="s">
        <v>341</v>
      </c>
    </row>
    <row r="394" spans="1:3" ht="15" x14ac:dyDescent="0.25">
      <c r="A394" s="65" t="s">
        <v>401</v>
      </c>
      <c r="B394" s="65" t="s">
        <v>402</v>
      </c>
      <c r="C394" s="95" t="s">
        <v>341</v>
      </c>
    </row>
    <row r="395" spans="1:3" ht="15" x14ac:dyDescent="0.25">
      <c r="A395" s="65" t="s">
        <v>403</v>
      </c>
      <c r="B395" s="65" t="s">
        <v>404</v>
      </c>
      <c r="C395" s="95" t="s">
        <v>341</v>
      </c>
    </row>
    <row r="396" spans="1:3" ht="15" x14ac:dyDescent="0.25">
      <c r="A396" s="65" t="s">
        <v>405</v>
      </c>
      <c r="B396" s="65" t="s">
        <v>406</v>
      </c>
      <c r="C396" s="95" t="s">
        <v>341</v>
      </c>
    </row>
    <row r="397" spans="1:3" ht="15" x14ac:dyDescent="0.25">
      <c r="A397" s="65" t="s">
        <v>407</v>
      </c>
      <c r="B397" s="65" t="s">
        <v>408</v>
      </c>
      <c r="C397" s="95" t="s">
        <v>341</v>
      </c>
    </row>
    <row r="398" spans="1:3" ht="15" x14ac:dyDescent="0.25">
      <c r="A398" s="65" t="s">
        <v>409</v>
      </c>
      <c r="B398" s="65" t="s">
        <v>410</v>
      </c>
      <c r="C398" s="95" t="s">
        <v>341</v>
      </c>
    </row>
    <row r="399" spans="1:3" ht="15" x14ac:dyDescent="0.25">
      <c r="A399" s="65" t="s">
        <v>411</v>
      </c>
      <c r="B399" s="65" t="s">
        <v>412</v>
      </c>
      <c r="C399" s="95" t="s">
        <v>341</v>
      </c>
    </row>
    <row r="400" spans="1:3" ht="15" x14ac:dyDescent="0.25">
      <c r="A400" s="65" t="s">
        <v>413</v>
      </c>
      <c r="B400" s="65" t="s">
        <v>414</v>
      </c>
      <c r="C400" s="95" t="s">
        <v>341</v>
      </c>
    </row>
    <row r="401" spans="1:3" ht="15" x14ac:dyDescent="0.25">
      <c r="A401" s="65" t="s">
        <v>415</v>
      </c>
      <c r="B401" s="65" t="s">
        <v>416</v>
      </c>
      <c r="C401" s="95" t="s">
        <v>341</v>
      </c>
    </row>
    <row r="402" spans="1:3" ht="15" x14ac:dyDescent="0.25">
      <c r="A402" s="65" t="s">
        <v>417</v>
      </c>
      <c r="B402" s="65" t="s">
        <v>418</v>
      </c>
      <c r="C402" s="95" t="s">
        <v>341</v>
      </c>
    </row>
    <row r="403" spans="1:3" ht="15" x14ac:dyDescent="0.25">
      <c r="A403" s="65" t="s">
        <v>419</v>
      </c>
      <c r="B403" s="65" t="s">
        <v>420</v>
      </c>
      <c r="C403" s="95" t="s">
        <v>341</v>
      </c>
    </row>
    <row r="404" spans="1:3" ht="15" x14ac:dyDescent="0.25">
      <c r="A404" s="65" t="s">
        <v>421</v>
      </c>
      <c r="B404" s="65" t="s">
        <v>422</v>
      </c>
      <c r="C404" s="95" t="s">
        <v>341</v>
      </c>
    </row>
    <row r="405" spans="1:3" ht="15" x14ac:dyDescent="0.25">
      <c r="A405" s="65" t="s">
        <v>423</v>
      </c>
      <c r="B405" s="65" t="s">
        <v>424</v>
      </c>
      <c r="C405" s="95" t="s">
        <v>341</v>
      </c>
    </row>
    <row r="406" spans="1:3" ht="15" x14ac:dyDescent="0.25">
      <c r="A406" s="65" t="s">
        <v>425</v>
      </c>
      <c r="B406" s="65" t="s">
        <v>426</v>
      </c>
      <c r="C406" s="95" t="s">
        <v>341</v>
      </c>
    </row>
    <row r="407" spans="1:3" ht="15" x14ac:dyDescent="0.25">
      <c r="A407" s="65" t="s">
        <v>427</v>
      </c>
      <c r="B407" s="65" t="s">
        <v>428</v>
      </c>
      <c r="C407" s="95" t="s">
        <v>341</v>
      </c>
    </row>
    <row r="408" spans="1:3" ht="15" x14ac:dyDescent="0.25">
      <c r="A408" s="65" t="s">
        <v>429</v>
      </c>
      <c r="B408" s="65" t="s">
        <v>1080</v>
      </c>
      <c r="C408" s="95" t="s">
        <v>341</v>
      </c>
    </row>
    <row r="409" spans="1:3" ht="15" x14ac:dyDescent="0.25">
      <c r="A409" s="65" t="s">
        <v>430</v>
      </c>
      <c r="B409" s="65" t="s">
        <v>431</v>
      </c>
      <c r="C409" s="95" t="s">
        <v>341</v>
      </c>
    </row>
    <row r="410" spans="1:3" ht="15" x14ac:dyDescent="0.25">
      <c r="A410" s="65" t="s">
        <v>432</v>
      </c>
      <c r="B410" s="65" t="s">
        <v>433</v>
      </c>
      <c r="C410" s="95" t="s">
        <v>341</v>
      </c>
    </row>
    <row r="411" spans="1:3" ht="15" x14ac:dyDescent="0.25">
      <c r="A411" s="65" t="s">
        <v>434</v>
      </c>
      <c r="B411" s="65" t="s">
        <v>435</v>
      </c>
      <c r="C411" s="95" t="s">
        <v>341</v>
      </c>
    </row>
    <row r="412" spans="1:3" ht="15" x14ac:dyDescent="0.25">
      <c r="A412" s="65" t="s">
        <v>436</v>
      </c>
      <c r="B412" s="65" t="s">
        <v>437</v>
      </c>
      <c r="C412" s="95" t="s">
        <v>341</v>
      </c>
    </row>
    <row r="413" spans="1:3" ht="15" x14ac:dyDescent="0.25">
      <c r="A413" s="65" t="s">
        <v>438</v>
      </c>
      <c r="B413" s="65" t="s">
        <v>439</v>
      </c>
      <c r="C413" s="95" t="s">
        <v>341</v>
      </c>
    </row>
    <row r="414" spans="1:3" ht="15" x14ac:dyDescent="0.25">
      <c r="A414" s="65" t="s">
        <v>440</v>
      </c>
      <c r="B414" s="65" t="s">
        <v>441</v>
      </c>
      <c r="C414" s="95" t="s">
        <v>341</v>
      </c>
    </row>
    <row r="415" spans="1:3" ht="15" x14ac:dyDescent="0.25">
      <c r="A415" s="65" t="s">
        <v>442</v>
      </c>
      <c r="B415" s="65" t="s">
        <v>443</v>
      </c>
      <c r="C415" s="95" t="s">
        <v>341</v>
      </c>
    </row>
    <row r="416" spans="1:3" ht="15" x14ac:dyDescent="0.25">
      <c r="A416" s="65" t="s">
        <v>444</v>
      </c>
      <c r="B416" s="65" t="s">
        <v>445</v>
      </c>
      <c r="C416" s="95" t="s">
        <v>341</v>
      </c>
    </row>
    <row r="417" spans="1:3" ht="15" x14ac:dyDescent="0.25">
      <c r="A417" s="65" t="s">
        <v>446</v>
      </c>
      <c r="B417" s="65" t="s">
        <v>447</v>
      </c>
      <c r="C417" s="95" t="s">
        <v>341</v>
      </c>
    </row>
    <row r="418" spans="1:3" ht="15" x14ac:dyDescent="0.25">
      <c r="A418" s="65" t="s">
        <v>448</v>
      </c>
      <c r="B418" s="65" t="s">
        <v>449</v>
      </c>
      <c r="C418" s="95" t="s">
        <v>341</v>
      </c>
    </row>
    <row r="419" spans="1:3" ht="15" x14ac:dyDescent="0.25">
      <c r="A419" s="65" t="s">
        <v>1081</v>
      </c>
      <c r="B419" s="65" t="s">
        <v>1082</v>
      </c>
      <c r="C419" s="95" t="s">
        <v>341</v>
      </c>
    </row>
    <row r="420" spans="1:3" ht="15" x14ac:dyDescent="0.25">
      <c r="A420" s="65" t="s">
        <v>1083</v>
      </c>
      <c r="B420" s="65" t="s">
        <v>1084</v>
      </c>
      <c r="C420" s="93">
        <v>45013</v>
      </c>
    </row>
    <row r="421" spans="1:3" ht="15" x14ac:dyDescent="0.25">
      <c r="A421" s="65" t="s">
        <v>1085</v>
      </c>
      <c r="B421" s="65" t="s">
        <v>1086</v>
      </c>
      <c r="C421" s="93">
        <v>45007</v>
      </c>
    </row>
    <row r="422" spans="1:3" ht="15" x14ac:dyDescent="0.25">
      <c r="A422" s="65" t="s">
        <v>1087</v>
      </c>
      <c r="B422" s="65" t="s">
        <v>1088</v>
      </c>
      <c r="C422" s="93">
        <v>45179</v>
      </c>
    </row>
    <row r="423" spans="1:3" ht="15" x14ac:dyDescent="0.25">
      <c r="A423" s="65" t="s">
        <v>1089</v>
      </c>
      <c r="B423" s="65" t="s">
        <v>1090</v>
      </c>
      <c r="C423" s="93">
        <v>45863</v>
      </c>
    </row>
    <row r="424" spans="1:3" ht="15" x14ac:dyDescent="0.25">
      <c r="A424" s="65" t="s">
        <v>1091</v>
      </c>
      <c r="B424" s="65" t="s">
        <v>1092</v>
      </c>
      <c r="C424" s="93">
        <v>45928</v>
      </c>
    </row>
    <row r="425" spans="1:3" ht="15" x14ac:dyDescent="0.25">
      <c r="A425" s="65" t="s">
        <v>1093</v>
      </c>
      <c r="B425" s="65" t="s">
        <v>1094</v>
      </c>
      <c r="C425" s="95" t="s">
        <v>341</v>
      </c>
    </row>
    <row r="426" spans="1:3" ht="15" x14ac:dyDescent="0.25">
      <c r="A426" s="65" t="s">
        <v>1095</v>
      </c>
      <c r="B426" s="65" t="s">
        <v>1096</v>
      </c>
      <c r="C426" s="95" t="s">
        <v>341</v>
      </c>
    </row>
    <row r="427" spans="1:3" ht="15" x14ac:dyDescent="0.25">
      <c r="A427" s="65" t="s">
        <v>1097</v>
      </c>
      <c r="B427" s="65" t="s">
        <v>1098</v>
      </c>
      <c r="C427" s="95" t="s">
        <v>341</v>
      </c>
    </row>
    <row r="428" spans="1:3" ht="15" x14ac:dyDescent="0.25">
      <c r="A428" s="65" t="s">
        <v>1099</v>
      </c>
      <c r="B428" s="65" t="s">
        <v>1100</v>
      </c>
      <c r="C428" s="93">
        <v>45021</v>
      </c>
    </row>
    <row r="429" spans="1:3" ht="15" x14ac:dyDescent="0.25">
      <c r="A429" s="65" t="s">
        <v>1101</v>
      </c>
      <c r="B429" s="65" t="s">
        <v>1102</v>
      </c>
      <c r="C429" s="93">
        <v>45072</v>
      </c>
    </row>
    <row r="430" spans="1:3" ht="15" x14ac:dyDescent="0.25">
      <c r="A430" s="65" t="s">
        <v>1103</v>
      </c>
      <c r="B430" s="65" t="s">
        <v>1104</v>
      </c>
      <c r="C430" s="93">
        <v>44958</v>
      </c>
    </row>
    <row r="431" spans="1:3" ht="15" x14ac:dyDescent="0.25">
      <c r="A431" s="65" t="s">
        <v>1105</v>
      </c>
      <c r="B431" s="65" t="s">
        <v>1106</v>
      </c>
      <c r="C431" s="95" t="s">
        <v>341</v>
      </c>
    </row>
    <row r="432" spans="1:3" ht="15" x14ac:dyDescent="0.25">
      <c r="A432" s="65" t="s">
        <v>1107</v>
      </c>
      <c r="B432" s="65" t="s">
        <v>1108</v>
      </c>
      <c r="C432" s="95" t="s">
        <v>341</v>
      </c>
    </row>
    <row r="433" spans="1:3" ht="15" x14ac:dyDescent="0.25">
      <c r="A433" s="65" t="s">
        <v>1109</v>
      </c>
      <c r="B433" s="65" t="s">
        <v>1110</v>
      </c>
      <c r="C433" s="95" t="s">
        <v>341</v>
      </c>
    </row>
    <row r="434" spans="1:3" ht="15" x14ac:dyDescent="0.25">
      <c r="A434" s="65" t="s">
        <v>1111</v>
      </c>
      <c r="B434" s="65" t="s">
        <v>1112</v>
      </c>
      <c r="C434" s="95" t="s">
        <v>341</v>
      </c>
    </row>
    <row r="435" spans="1:3" ht="15" x14ac:dyDescent="0.25">
      <c r="A435" s="65" t="s">
        <v>1113</v>
      </c>
      <c r="B435" s="65" t="s">
        <v>1114</v>
      </c>
      <c r="C435" s="93">
        <v>44958</v>
      </c>
    </row>
    <row r="436" spans="1:3" ht="15" x14ac:dyDescent="0.25">
      <c r="A436" s="65" t="s">
        <v>1115</v>
      </c>
      <c r="B436" s="65" t="s">
        <v>1116</v>
      </c>
      <c r="C436" s="93">
        <v>44972</v>
      </c>
    </row>
    <row r="437" spans="1:3" ht="15" x14ac:dyDescent="0.25">
      <c r="A437" s="65" t="s">
        <v>1117</v>
      </c>
      <c r="B437" s="65" t="s">
        <v>1118</v>
      </c>
      <c r="C437" s="95" t="s">
        <v>341</v>
      </c>
    </row>
    <row r="438" spans="1:3" ht="15" x14ac:dyDescent="0.25">
      <c r="A438" s="65" t="s">
        <v>1119</v>
      </c>
      <c r="B438" s="65" t="s">
        <v>1120</v>
      </c>
      <c r="C438" s="95" t="s">
        <v>341</v>
      </c>
    </row>
    <row r="439" spans="1:3" ht="15" x14ac:dyDescent="0.25">
      <c r="A439" s="65" t="s">
        <v>1121</v>
      </c>
      <c r="B439" s="65" t="s">
        <v>1122</v>
      </c>
      <c r="C439" s="95" t="s">
        <v>341</v>
      </c>
    </row>
    <row r="440" spans="1:3" ht="15" x14ac:dyDescent="0.25">
      <c r="A440" s="65" t="s">
        <v>1123</v>
      </c>
      <c r="B440" s="65" t="s">
        <v>1124</v>
      </c>
      <c r="C440" s="95" t="s">
        <v>341</v>
      </c>
    </row>
    <row r="441" spans="1:3" ht="15" x14ac:dyDescent="0.25">
      <c r="A441" s="65" t="s">
        <v>1125</v>
      </c>
      <c r="B441" s="65" t="s">
        <v>1126</v>
      </c>
      <c r="C441" s="95" t="s">
        <v>341</v>
      </c>
    </row>
    <row r="442" spans="1:3" ht="15" x14ac:dyDescent="0.25">
      <c r="A442" s="65" t="s">
        <v>1127</v>
      </c>
      <c r="B442" s="65" t="s">
        <v>1128</v>
      </c>
      <c r="C442" s="95" t="s">
        <v>341</v>
      </c>
    </row>
    <row r="443" spans="1:3" ht="15" x14ac:dyDescent="0.25">
      <c r="A443" s="65" t="s">
        <v>1129</v>
      </c>
      <c r="B443" s="65" t="s">
        <v>1130</v>
      </c>
      <c r="C443" s="95" t="s">
        <v>341</v>
      </c>
    </row>
    <row r="444" spans="1:3" ht="15" x14ac:dyDescent="0.25">
      <c r="A444" s="65" t="s">
        <v>1131</v>
      </c>
      <c r="B444" s="65" t="s">
        <v>1132</v>
      </c>
      <c r="C444" s="93">
        <v>44960</v>
      </c>
    </row>
    <row r="445" spans="1:3" ht="15" x14ac:dyDescent="0.25">
      <c r="A445" s="65" t="s">
        <v>1133</v>
      </c>
      <c r="B445" s="65" t="s">
        <v>1134</v>
      </c>
      <c r="C445" s="93">
        <v>44961</v>
      </c>
    </row>
    <row r="446" spans="1:3" ht="15" x14ac:dyDescent="0.25">
      <c r="A446" s="65" t="s">
        <v>1135</v>
      </c>
      <c r="B446" s="65" t="s">
        <v>1136</v>
      </c>
      <c r="C446" s="95" t="s">
        <v>341</v>
      </c>
    </row>
    <row r="447" spans="1:3" ht="15" x14ac:dyDescent="0.25">
      <c r="A447" s="65" t="s">
        <v>1137</v>
      </c>
      <c r="B447" s="65" t="s">
        <v>1138</v>
      </c>
      <c r="C447" s="95" t="s">
        <v>341</v>
      </c>
    </row>
    <row r="448" spans="1:3" ht="15" x14ac:dyDescent="0.25">
      <c r="A448" s="65" t="s">
        <v>1139</v>
      </c>
      <c r="B448" s="65" t="s">
        <v>1140</v>
      </c>
      <c r="C448" s="95" t="s">
        <v>341</v>
      </c>
    </row>
    <row r="449" spans="1:3" ht="15" x14ac:dyDescent="0.25">
      <c r="A449" s="65" t="s">
        <v>1141</v>
      </c>
      <c r="B449" s="65" t="s">
        <v>1142</v>
      </c>
      <c r="C449" s="95" t="s">
        <v>341</v>
      </c>
    </row>
    <row r="450" spans="1:3" ht="15" x14ac:dyDescent="0.25">
      <c r="A450" s="65" t="s">
        <v>1143</v>
      </c>
      <c r="B450" s="65" t="s">
        <v>1144</v>
      </c>
      <c r="C450" s="93">
        <v>44985</v>
      </c>
    </row>
    <row r="451" spans="1:3" ht="15" x14ac:dyDescent="0.25">
      <c r="A451" s="65" t="s">
        <v>1145</v>
      </c>
      <c r="B451" s="65" t="s">
        <v>1146</v>
      </c>
      <c r="C451" s="95" t="s">
        <v>341</v>
      </c>
    </row>
    <row r="452" spans="1:3" ht="15" x14ac:dyDescent="0.25">
      <c r="A452" s="65" t="s">
        <v>1147</v>
      </c>
      <c r="B452" s="65" t="s">
        <v>1148</v>
      </c>
      <c r="C452" s="95" t="s">
        <v>341</v>
      </c>
    </row>
    <row r="453" spans="1:3" ht="15" x14ac:dyDescent="0.25">
      <c r="A453" s="65" t="s">
        <v>1149</v>
      </c>
      <c r="B453" s="65" t="s">
        <v>1150</v>
      </c>
      <c r="C453" s="95" t="s">
        <v>341</v>
      </c>
    </row>
    <row r="454" spans="1:3" ht="15" x14ac:dyDescent="0.25">
      <c r="A454" s="65" t="s">
        <v>1151</v>
      </c>
      <c r="B454" s="65" t="s">
        <v>1152</v>
      </c>
      <c r="C454" s="95" t="s">
        <v>341</v>
      </c>
    </row>
    <row r="455" spans="1:3" ht="15" x14ac:dyDescent="0.25">
      <c r="A455" s="65" t="s">
        <v>1153</v>
      </c>
      <c r="B455" s="65" t="s">
        <v>1154</v>
      </c>
      <c r="C455" s="95" t="s">
        <v>341</v>
      </c>
    </row>
    <row r="456" spans="1:3" ht="15" x14ac:dyDescent="0.25">
      <c r="A456" s="65" t="s">
        <v>1155</v>
      </c>
      <c r="B456" s="65" t="s">
        <v>1156</v>
      </c>
      <c r="C456" s="95" t="s">
        <v>341</v>
      </c>
    </row>
    <row r="457" spans="1:3" ht="15" x14ac:dyDescent="0.25">
      <c r="A457" s="65" t="s">
        <v>1157</v>
      </c>
      <c r="B457" s="65" t="s">
        <v>1158</v>
      </c>
      <c r="C457" s="95" t="s">
        <v>341</v>
      </c>
    </row>
    <row r="458" spans="1:3" ht="15" x14ac:dyDescent="0.25">
      <c r="A458" s="65" t="s">
        <v>1159</v>
      </c>
      <c r="B458" s="65" t="s">
        <v>1160</v>
      </c>
      <c r="C458" s="95" t="s">
        <v>341</v>
      </c>
    </row>
    <row r="459" spans="1:3" ht="15" x14ac:dyDescent="0.25">
      <c r="A459" s="65" t="s">
        <v>1161</v>
      </c>
      <c r="B459" s="65" t="s">
        <v>1162</v>
      </c>
      <c r="C459" s="95" t="s">
        <v>341</v>
      </c>
    </row>
    <row r="460" spans="1:3" ht="15" x14ac:dyDescent="0.25">
      <c r="A460" s="65" t="s">
        <v>1163</v>
      </c>
      <c r="B460" s="65" t="s">
        <v>1164</v>
      </c>
      <c r="C460" s="95" t="s">
        <v>341</v>
      </c>
    </row>
    <row r="461" spans="1:3" ht="15" x14ac:dyDescent="0.25">
      <c r="A461" s="65" t="s">
        <v>1165</v>
      </c>
      <c r="B461" s="65" t="s">
        <v>1166</v>
      </c>
      <c r="C461" s="95" t="s">
        <v>341</v>
      </c>
    </row>
    <row r="462" spans="1:3" ht="15" x14ac:dyDescent="0.25">
      <c r="A462" s="65" t="s">
        <v>1167</v>
      </c>
      <c r="B462" s="65" t="s">
        <v>1168</v>
      </c>
      <c r="C462" s="95" t="s">
        <v>341</v>
      </c>
    </row>
    <row r="463" spans="1:3" ht="15" x14ac:dyDescent="0.25">
      <c r="A463" s="65" t="s">
        <v>1169</v>
      </c>
      <c r="B463" s="65" t="s">
        <v>1170</v>
      </c>
      <c r="C463" s="95" t="s">
        <v>341</v>
      </c>
    </row>
    <row r="464" spans="1:3" ht="15" x14ac:dyDescent="0.25">
      <c r="A464" s="65" t="s">
        <v>1171</v>
      </c>
      <c r="B464" s="65" t="s">
        <v>1172</v>
      </c>
      <c r="C464" s="95" t="s">
        <v>341</v>
      </c>
    </row>
    <row r="465" spans="1:3" ht="15" x14ac:dyDescent="0.25">
      <c r="A465" s="65" t="s">
        <v>1173</v>
      </c>
      <c r="B465" s="65" t="s">
        <v>1174</v>
      </c>
      <c r="C465" s="95" t="s">
        <v>341</v>
      </c>
    </row>
    <row r="466" spans="1:3" ht="15" x14ac:dyDescent="0.25">
      <c r="A466" s="65" t="s">
        <v>1175</v>
      </c>
      <c r="B466" s="65" t="s">
        <v>1176</v>
      </c>
      <c r="C466" s="95" t="s">
        <v>341</v>
      </c>
    </row>
    <row r="467" spans="1:3" ht="15" x14ac:dyDescent="0.25">
      <c r="A467" s="65" t="s">
        <v>1177</v>
      </c>
      <c r="B467" s="65" t="s">
        <v>1178</v>
      </c>
      <c r="C467" s="95" t="s">
        <v>341</v>
      </c>
    </row>
    <row r="468" spans="1:3" ht="15" x14ac:dyDescent="0.25">
      <c r="A468" s="65" t="s">
        <v>1179</v>
      </c>
      <c r="B468" s="65" t="s">
        <v>1180</v>
      </c>
      <c r="C468" s="95" t="s">
        <v>341</v>
      </c>
    </row>
    <row r="469" spans="1:3" ht="15" x14ac:dyDescent="0.25">
      <c r="A469" s="65" t="s">
        <v>1181</v>
      </c>
      <c r="B469" s="65" t="s">
        <v>1182</v>
      </c>
      <c r="C469" s="95" t="s">
        <v>341</v>
      </c>
    </row>
    <row r="470" spans="1:3" ht="15" x14ac:dyDescent="0.25">
      <c r="A470" s="65" t="s">
        <v>1183</v>
      </c>
      <c r="B470" s="65" t="s">
        <v>1184</v>
      </c>
      <c r="C470" s="95" t="s">
        <v>341</v>
      </c>
    </row>
    <row r="471" spans="1:3" ht="15" x14ac:dyDescent="0.25">
      <c r="A471" s="65" t="s">
        <v>1185</v>
      </c>
      <c r="B471" s="65" t="s">
        <v>1186</v>
      </c>
      <c r="C471" s="95" t="s">
        <v>341</v>
      </c>
    </row>
    <row r="472" spans="1:3" ht="15" x14ac:dyDescent="0.25">
      <c r="A472" s="65" t="s">
        <v>1187</v>
      </c>
      <c r="B472" s="65" t="s">
        <v>1188</v>
      </c>
      <c r="C472" s="95" t="s">
        <v>341</v>
      </c>
    </row>
    <row r="473" spans="1:3" ht="15" x14ac:dyDescent="0.25">
      <c r="A473" s="65" t="s">
        <v>1189</v>
      </c>
      <c r="B473" s="65" t="s">
        <v>1190</v>
      </c>
      <c r="C473" s="95" t="s">
        <v>341</v>
      </c>
    </row>
    <row r="474" spans="1:3" ht="15" x14ac:dyDescent="0.25">
      <c r="A474" s="65" t="s">
        <v>1191</v>
      </c>
      <c r="B474" s="65" t="s">
        <v>1192</v>
      </c>
      <c r="C474" s="95" t="s">
        <v>341</v>
      </c>
    </row>
    <row r="475" spans="1:3" ht="15" x14ac:dyDescent="0.25">
      <c r="A475" s="65" t="s">
        <v>1193</v>
      </c>
      <c r="B475" s="65" t="s">
        <v>1194</v>
      </c>
      <c r="C475" s="95" t="s">
        <v>341</v>
      </c>
    </row>
    <row r="476" spans="1:3" ht="15" x14ac:dyDescent="0.25">
      <c r="A476" s="65" t="s">
        <v>1195</v>
      </c>
      <c r="B476" s="65" t="s">
        <v>1196</v>
      </c>
      <c r="C476" s="95" t="s">
        <v>341</v>
      </c>
    </row>
    <row r="477" spans="1:3" ht="15" x14ac:dyDescent="0.25">
      <c r="A477" s="65" t="s">
        <v>1197</v>
      </c>
      <c r="B477" s="65" t="s">
        <v>1198</v>
      </c>
      <c r="C477" s="95" t="s">
        <v>341</v>
      </c>
    </row>
    <row r="478" spans="1:3" ht="15" x14ac:dyDescent="0.25">
      <c r="A478" s="65" t="s">
        <v>1199</v>
      </c>
      <c r="B478" s="65" t="s">
        <v>1200</v>
      </c>
      <c r="C478" s="95" t="s">
        <v>341</v>
      </c>
    </row>
    <row r="479" spans="1:3" ht="15" x14ac:dyDescent="0.25">
      <c r="A479" s="65" t="s">
        <v>1201</v>
      </c>
      <c r="B479" s="65" t="s">
        <v>1202</v>
      </c>
      <c r="C479" s="95" t="s">
        <v>341</v>
      </c>
    </row>
    <row r="480" spans="1:3" ht="15" x14ac:dyDescent="0.25">
      <c r="A480" s="65" t="s">
        <v>1203</v>
      </c>
      <c r="B480" s="65" t="s">
        <v>1204</v>
      </c>
      <c r="C480" s="95" t="s">
        <v>341</v>
      </c>
    </row>
    <row r="481" spans="1:3" ht="15" x14ac:dyDescent="0.25">
      <c r="A481" s="65" t="s">
        <v>1205</v>
      </c>
      <c r="B481" s="65" t="s">
        <v>1206</v>
      </c>
      <c r="C481" s="95" t="s">
        <v>341</v>
      </c>
    </row>
    <row r="482" spans="1:3" ht="15" x14ac:dyDescent="0.25">
      <c r="A482" s="65" t="s">
        <v>1207</v>
      </c>
      <c r="B482" s="65" t="s">
        <v>1208</v>
      </c>
      <c r="C482" s="95" t="s">
        <v>341</v>
      </c>
    </row>
    <row r="483" spans="1:3" ht="15" x14ac:dyDescent="0.25">
      <c r="A483" s="65" t="s">
        <v>1209</v>
      </c>
      <c r="B483" s="65" t="s">
        <v>1210</v>
      </c>
      <c r="C483" s="95" t="s">
        <v>341</v>
      </c>
    </row>
    <row r="484" spans="1:3" ht="15" x14ac:dyDescent="0.25">
      <c r="A484" s="65" t="s">
        <v>1211</v>
      </c>
      <c r="B484" s="65" t="s">
        <v>1212</v>
      </c>
      <c r="C484" s="95" t="s">
        <v>341</v>
      </c>
    </row>
    <row r="485" spans="1:3" ht="15" x14ac:dyDescent="0.25">
      <c r="A485" s="65" t="s">
        <v>1213</v>
      </c>
      <c r="B485" s="65" t="s">
        <v>1214</v>
      </c>
      <c r="C485" s="95" t="s">
        <v>341</v>
      </c>
    </row>
    <row r="486" spans="1:3" ht="15" x14ac:dyDescent="0.25">
      <c r="A486" s="65" t="s">
        <v>1215</v>
      </c>
      <c r="B486" s="65" t="s">
        <v>1216</v>
      </c>
      <c r="C486" s="95" t="s">
        <v>341</v>
      </c>
    </row>
    <row r="487" spans="1:3" ht="15" x14ac:dyDescent="0.25">
      <c r="A487" s="65" t="s">
        <v>1217</v>
      </c>
      <c r="B487" s="65" t="s">
        <v>1218</v>
      </c>
      <c r="C487" s="93">
        <v>45926</v>
      </c>
    </row>
    <row r="488" spans="1:3" ht="15" x14ac:dyDescent="0.25">
      <c r="A488" s="65" t="s">
        <v>1219</v>
      </c>
      <c r="B488" s="65" t="s">
        <v>1220</v>
      </c>
      <c r="C488" s="93">
        <v>45930</v>
      </c>
    </row>
    <row r="489" spans="1:3" ht="15" x14ac:dyDescent="0.25">
      <c r="A489" s="65" t="s">
        <v>56</v>
      </c>
      <c r="B489" s="65" t="s">
        <v>1221</v>
      </c>
      <c r="C489" s="94">
        <v>45654</v>
      </c>
    </row>
    <row r="490" spans="1:3" ht="15" x14ac:dyDescent="0.25">
      <c r="A490" s="65" t="s">
        <v>24</v>
      </c>
      <c r="B490" s="65" t="s">
        <v>322</v>
      </c>
      <c r="C490" s="93">
        <v>45688</v>
      </c>
    </row>
    <row r="491" spans="1:3" ht="15" x14ac:dyDescent="0.25">
      <c r="A491" s="65" t="s">
        <v>59</v>
      </c>
      <c r="B491" s="65" t="s">
        <v>336</v>
      </c>
      <c r="C491" s="93">
        <v>45808</v>
      </c>
    </row>
    <row r="492" spans="1:3" ht="15" x14ac:dyDescent="0.25">
      <c r="A492" s="65" t="s">
        <v>28</v>
      </c>
      <c r="B492" s="65" t="s">
        <v>323</v>
      </c>
      <c r="C492" s="93">
        <v>45842</v>
      </c>
    </row>
    <row r="493" spans="1:3" ht="15" x14ac:dyDescent="0.25">
      <c r="A493" s="65" t="s">
        <v>1222</v>
      </c>
      <c r="B493" s="65" t="s">
        <v>1223</v>
      </c>
      <c r="C493" s="95" t="s">
        <v>341</v>
      </c>
    </row>
    <row r="494" spans="1:3" ht="15" x14ac:dyDescent="0.25">
      <c r="C494" s="95"/>
    </row>
    <row r="495" spans="1:3" ht="15" x14ac:dyDescent="0.25">
      <c r="C495" s="95"/>
    </row>
    <row r="496" spans="1:3" ht="15" x14ac:dyDescent="0.25">
      <c r="C496" s="95"/>
    </row>
    <row r="497" spans="3:3" ht="15" x14ac:dyDescent="0.25">
      <c r="C497" s="95"/>
    </row>
    <row r="498" spans="3:3" ht="15" x14ac:dyDescent="0.25">
      <c r="C498" s="95"/>
    </row>
    <row r="499" spans="3:3" ht="15" x14ac:dyDescent="0.25">
      <c r="C499" s="95"/>
    </row>
    <row r="500" spans="3:3" ht="15" x14ac:dyDescent="0.25">
      <c r="C500" s="95"/>
    </row>
    <row r="501" spans="3:3" ht="15" x14ac:dyDescent="0.25">
      <c r="C501" s="95"/>
    </row>
    <row r="502" spans="3:3" ht="15" x14ac:dyDescent="0.25">
      <c r="C502" s="95"/>
    </row>
    <row r="503" spans="3:3" ht="15" x14ac:dyDescent="0.25">
      <c r="C503" s="95"/>
    </row>
    <row r="504" spans="3:3" ht="15" x14ac:dyDescent="0.25">
      <c r="C504" s="95"/>
    </row>
    <row r="505" spans="3:3" ht="15" x14ac:dyDescent="0.25">
      <c r="C505" s="95"/>
    </row>
    <row r="506" spans="3:3" ht="15" x14ac:dyDescent="0.25">
      <c r="C506" s="95"/>
    </row>
    <row r="507" spans="3:3" ht="15" x14ac:dyDescent="0.25">
      <c r="C507" s="95"/>
    </row>
    <row r="508" spans="3:3" ht="15" x14ac:dyDescent="0.25">
      <c r="C508" s="95"/>
    </row>
    <row r="509" spans="3:3" ht="15" x14ac:dyDescent="0.25">
      <c r="C509" s="95"/>
    </row>
    <row r="510" spans="3:3" ht="15" x14ac:dyDescent="0.25">
      <c r="C510" s="95"/>
    </row>
    <row r="511" spans="3:3" ht="15" x14ac:dyDescent="0.25">
      <c r="C511" s="95"/>
    </row>
    <row r="512" spans="3:3" ht="15" x14ac:dyDescent="0.25">
      <c r="C512" s="95"/>
    </row>
    <row r="513" spans="3:3" ht="15" x14ac:dyDescent="0.25">
      <c r="C513" s="95"/>
    </row>
    <row r="514" spans="3:3" ht="15" x14ac:dyDescent="0.25">
      <c r="C514" s="95"/>
    </row>
    <row r="515" spans="3:3" ht="15" x14ac:dyDescent="0.25">
      <c r="C515" s="95"/>
    </row>
    <row r="516" spans="3:3" ht="15" x14ac:dyDescent="0.25">
      <c r="C516" s="95"/>
    </row>
    <row r="517" spans="3:3" ht="15" x14ac:dyDescent="0.25">
      <c r="C517" s="95"/>
    </row>
    <row r="518" spans="3:3" ht="15" x14ac:dyDescent="0.25">
      <c r="C518" s="95"/>
    </row>
    <row r="519" spans="3:3" ht="15" x14ac:dyDescent="0.25">
      <c r="C519" s="95"/>
    </row>
    <row r="520" spans="3:3" ht="15" x14ac:dyDescent="0.25">
      <c r="C520" s="95"/>
    </row>
    <row r="521" spans="3:3" ht="15" x14ac:dyDescent="0.25">
      <c r="C521" s="95"/>
    </row>
    <row r="522" spans="3:3" ht="15" x14ac:dyDescent="0.25">
      <c r="C522" s="95"/>
    </row>
    <row r="523" spans="3:3" ht="15" x14ac:dyDescent="0.25">
      <c r="C523" s="95"/>
    </row>
    <row r="524" spans="3:3" ht="15" x14ac:dyDescent="0.25">
      <c r="C524" s="95"/>
    </row>
    <row r="525" spans="3:3" ht="15" x14ac:dyDescent="0.25">
      <c r="C525" s="95"/>
    </row>
    <row r="526" spans="3:3" ht="15" x14ac:dyDescent="0.25">
      <c r="C526" s="95"/>
    </row>
    <row r="527" spans="3:3" ht="15" x14ac:dyDescent="0.25">
      <c r="C527" s="95"/>
    </row>
    <row r="528" spans="3:3" ht="15" x14ac:dyDescent="0.25">
      <c r="C528" s="95"/>
    </row>
    <row r="529" spans="3:3" ht="15" x14ac:dyDescent="0.25">
      <c r="C529" s="95"/>
    </row>
    <row r="530" spans="3:3" ht="15" x14ac:dyDescent="0.25">
      <c r="C530" s="95"/>
    </row>
    <row r="531" spans="3:3" ht="15" x14ac:dyDescent="0.25">
      <c r="C531" s="95"/>
    </row>
    <row r="532" spans="3:3" ht="15" x14ac:dyDescent="0.25">
      <c r="C532" s="95"/>
    </row>
    <row r="533" spans="3:3" ht="15" x14ac:dyDescent="0.25">
      <c r="C533" s="95"/>
    </row>
    <row r="534" spans="3:3" ht="15" x14ac:dyDescent="0.25">
      <c r="C534" s="95"/>
    </row>
    <row r="535" spans="3:3" ht="15" x14ac:dyDescent="0.25">
      <c r="C535" s="95"/>
    </row>
    <row r="536" spans="3:3" ht="15" x14ac:dyDescent="0.25">
      <c r="C536" s="95"/>
    </row>
    <row r="537" spans="3:3" ht="15" x14ac:dyDescent="0.25">
      <c r="C537" s="95"/>
    </row>
    <row r="538" spans="3:3" ht="15" x14ac:dyDescent="0.25">
      <c r="C538" s="95"/>
    </row>
    <row r="539" spans="3:3" ht="15" x14ac:dyDescent="0.25">
      <c r="C539" s="95"/>
    </row>
    <row r="540" spans="3:3" ht="15" x14ac:dyDescent="0.25">
      <c r="C540" s="95"/>
    </row>
    <row r="541" spans="3:3" ht="15" x14ac:dyDescent="0.25">
      <c r="C541" s="95"/>
    </row>
    <row r="542" spans="3:3" ht="15" x14ac:dyDescent="0.25">
      <c r="C542" s="95"/>
    </row>
    <row r="543" spans="3:3" ht="15" x14ac:dyDescent="0.25">
      <c r="C543" s="95"/>
    </row>
    <row r="544" spans="3:3" ht="15" x14ac:dyDescent="0.25">
      <c r="C544" s="95"/>
    </row>
    <row r="545" spans="3:3" ht="15" x14ac:dyDescent="0.25">
      <c r="C545" s="95"/>
    </row>
    <row r="546" spans="3:3" ht="15" x14ac:dyDescent="0.25">
      <c r="C546" s="95"/>
    </row>
    <row r="547" spans="3:3" ht="15" x14ac:dyDescent="0.25">
      <c r="C547" s="95"/>
    </row>
    <row r="548" spans="3:3" ht="15" x14ac:dyDescent="0.25">
      <c r="C548" s="95"/>
    </row>
    <row r="549" spans="3:3" ht="15" x14ac:dyDescent="0.25">
      <c r="C549" s="95"/>
    </row>
    <row r="550" spans="3:3" ht="15" x14ac:dyDescent="0.25">
      <c r="C550" s="95"/>
    </row>
    <row r="551" spans="3:3" ht="15" x14ac:dyDescent="0.25">
      <c r="C551" s="95"/>
    </row>
    <row r="552" spans="3:3" ht="15" x14ac:dyDescent="0.25">
      <c r="C552" s="95"/>
    </row>
    <row r="553" spans="3:3" ht="15" x14ac:dyDescent="0.25">
      <c r="C553" s="95"/>
    </row>
    <row r="554" spans="3:3" ht="15" x14ac:dyDescent="0.25">
      <c r="C554" s="95"/>
    </row>
    <row r="555" spans="3:3" ht="15" x14ac:dyDescent="0.25">
      <c r="C555" s="95"/>
    </row>
    <row r="556" spans="3:3" ht="15" x14ac:dyDescent="0.25">
      <c r="C556" s="95"/>
    </row>
    <row r="557" spans="3:3" ht="15" x14ac:dyDescent="0.25">
      <c r="C557" s="95"/>
    </row>
    <row r="558" spans="3:3" ht="15" x14ac:dyDescent="0.25">
      <c r="C558" s="95"/>
    </row>
    <row r="559" spans="3:3" ht="15" x14ac:dyDescent="0.25">
      <c r="C559" s="95"/>
    </row>
    <row r="560" spans="3:3" ht="15" x14ac:dyDescent="0.25">
      <c r="C560" s="95"/>
    </row>
    <row r="561" spans="3:3" ht="15" x14ac:dyDescent="0.25">
      <c r="C561" s="95"/>
    </row>
    <row r="562" spans="3:3" ht="15" x14ac:dyDescent="0.25">
      <c r="C562" s="95"/>
    </row>
    <row r="563" spans="3:3" ht="15" x14ac:dyDescent="0.25">
      <c r="C563" s="95"/>
    </row>
    <row r="564" spans="3:3" ht="15" x14ac:dyDescent="0.25">
      <c r="C564" s="95"/>
    </row>
    <row r="565" spans="3:3" ht="15" x14ac:dyDescent="0.25">
      <c r="C565" s="95"/>
    </row>
    <row r="566" spans="3:3" ht="15" x14ac:dyDescent="0.25">
      <c r="C566" s="95"/>
    </row>
    <row r="567" spans="3:3" ht="15" x14ac:dyDescent="0.25">
      <c r="C567" s="95"/>
    </row>
    <row r="568" spans="3:3" ht="15" x14ac:dyDescent="0.25">
      <c r="C568" s="95"/>
    </row>
    <row r="569" spans="3:3" ht="15" x14ac:dyDescent="0.25">
      <c r="C569" s="95"/>
    </row>
    <row r="570" spans="3:3" ht="15" x14ac:dyDescent="0.25">
      <c r="C570" s="95"/>
    </row>
    <row r="571" spans="3:3" ht="15" x14ac:dyDescent="0.25">
      <c r="C571" s="95"/>
    </row>
    <row r="572" spans="3:3" ht="15" x14ac:dyDescent="0.25">
      <c r="C572" s="95"/>
    </row>
    <row r="573" spans="3:3" ht="15" x14ac:dyDescent="0.25">
      <c r="C573" s="95"/>
    </row>
    <row r="574" spans="3:3" ht="15" x14ac:dyDescent="0.25">
      <c r="C574" s="95"/>
    </row>
    <row r="575" spans="3:3" ht="15" x14ac:dyDescent="0.25">
      <c r="C575" s="95"/>
    </row>
    <row r="576" spans="3:3" ht="15" x14ac:dyDescent="0.25">
      <c r="C576" s="95"/>
    </row>
    <row r="577" spans="3:3" ht="15" x14ac:dyDescent="0.25">
      <c r="C577" s="95"/>
    </row>
    <row r="578" spans="3:3" ht="15" x14ac:dyDescent="0.25">
      <c r="C578" s="95"/>
    </row>
    <row r="579" spans="3:3" ht="15" x14ac:dyDescent="0.25">
      <c r="C579" s="95"/>
    </row>
    <row r="580" spans="3:3" ht="15" x14ac:dyDescent="0.25">
      <c r="C580" s="95"/>
    </row>
    <row r="581" spans="3:3" ht="15" x14ac:dyDescent="0.25">
      <c r="C581" s="95"/>
    </row>
    <row r="582" spans="3:3" ht="15" x14ac:dyDescent="0.25">
      <c r="C582" s="95"/>
    </row>
    <row r="583" spans="3:3" ht="15" x14ac:dyDescent="0.25">
      <c r="C583" s="95"/>
    </row>
    <row r="584" spans="3:3" ht="15" x14ac:dyDescent="0.25">
      <c r="C584" s="95"/>
    </row>
    <row r="585" spans="3:3" ht="15" x14ac:dyDescent="0.25">
      <c r="C585" s="95"/>
    </row>
    <row r="586" spans="3:3" ht="15" x14ac:dyDescent="0.25">
      <c r="C586" s="95"/>
    </row>
    <row r="587" spans="3:3" ht="15" x14ac:dyDescent="0.25">
      <c r="C587" s="95"/>
    </row>
    <row r="588" spans="3:3" ht="15" x14ac:dyDescent="0.25">
      <c r="C588" s="95"/>
    </row>
    <row r="589" spans="3:3" ht="15" x14ac:dyDescent="0.25">
      <c r="C589" s="95"/>
    </row>
    <row r="590" spans="3:3" ht="15" x14ac:dyDescent="0.25">
      <c r="C590" s="95"/>
    </row>
    <row r="591" spans="3:3" ht="15" x14ac:dyDescent="0.25">
      <c r="C591" s="95"/>
    </row>
    <row r="592" spans="3:3" ht="15" x14ac:dyDescent="0.25">
      <c r="C592" s="95"/>
    </row>
    <row r="593" spans="3:3" ht="15" x14ac:dyDescent="0.25">
      <c r="C593" s="95"/>
    </row>
    <row r="594" spans="3:3" ht="15" x14ac:dyDescent="0.25">
      <c r="C594" s="95"/>
    </row>
    <row r="595" spans="3:3" ht="15" x14ac:dyDescent="0.25">
      <c r="C595" s="95"/>
    </row>
    <row r="596" spans="3:3" ht="15" x14ac:dyDescent="0.25">
      <c r="C596" s="95"/>
    </row>
    <row r="597" spans="3:3" ht="15" x14ac:dyDescent="0.25">
      <c r="C597" s="95"/>
    </row>
    <row r="598" spans="3:3" ht="15" x14ac:dyDescent="0.25">
      <c r="C598" s="95"/>
    </row>
    <row r="599" spans="3:3" ht="15" x14ac:dyDescent="0.25">
      <c r="C599" s="95"/>
    </row>
    <row r="600" spans="3:3" ht="15" x14ac:dyDescent="0.25">
      <c r="C600" s="95"/>
    </row>
    <row r="601" spans="3:3" ht="15" x14ac:dyDescent="0.25">
      <c r="C601" s="95"/>
    </row>
    <row r="602" spans="3:3" ht="15" x14ac:dyDescent="0.25">
      <c r="C602" s="95"/>
    </row>
    <row r="603" spans="3:3" ht="15" x14ac:dyDescent="0.25">
      <c r="C603" s="95"/>
    </row>
    <row r="604" spans="3:3" ht="15" x14ac:dyDescent="0.25">
      <c r="C604" s="95"/>
    </row>
    <row r="605" spans="3:3" ht="15" x14ac:dyDescent="0.25">
      <c r="C605" s="95"/>
    </row>
    <row r="606" spans="3:3" ht="15" x14ac:dyDescent="0.25">
      <c r="C606" s="95"/>
    </row>
    <row r="607" spans="3:3" ht="15" x14ac:dyDescent="0.25">
      <c r="C607" s="95"/>
    </row>
    <row r="608" spans="3:3" ht="15" x14ac:dyDescent="0.25">
      <c r="C608" s="95"/>
    </row>
    <row r="609" spans="3:3" ht="15" x14ac:dyDescent="0.25">
      <c r="C609" s="95"/>
    </row>
    <row r="610" spans="3:3" ht="15" x14ac:dyDescent="0.25">
      <c r="C610" s="95"/>
    </row>
    <row r="611" spans="3:3" ht="15" x14ac:dyDescent="0.25">
      <c r="C611" s="95"/>
    </row>
    <row r="612" spans="3:3" ht="15" x14ac:dyDescent="0.25">
      <c r="C612" s="95"/>
    </row>
    <row r="613" spans="3:3" ht="15" x14ac:dyDescent="0.25">
      <c r="C613" s="95"/>
    </row>
    <row r="614" spans="3:3" ht="15" x14ac:dyDescent="0.25">
      <c r="C614" s="95"/>
    </row>
    <row r="615" spans="3:3" ht="15" x14ac:dyDescent="0.25">
      <c r="C615" s="95"/>
    </row>
    <row r="616" spans="3:3" ht="15" x14ac:dyDescent="0.25">
      <c r="C616" s="95"/>
    </row>
    <row r="617" spans="3:3" ht="15" x14ac:dyDescent="0.25">
      <c r="C617" s="95"/>
    </row>
    <row r="618" spans="3:3" ht="15" x14ac:dyDescent="0.25">
      <c r="C618" s="95"/>
    </row>
    <row r="619" spans="3:3" ht="15" x14ac:dyDescent="0.25">
      <c r="C619" s="95"/>
    </row>
    <row r="620" spans="3:3" ht="15" x14ac:dyDescent="0.25">
      <c r="C620" s="95"/>
    </row>
    <row r="621" spans="3:3" ht="15" x14ac:dyDescent="0.25">
      <c r="C621" s="95"/>
    </row>
    <row r="622" spans="3:3" ht="15" x14ac:dyDescent="0.25">
      <c r="C622" s="95"/>
    </row>
    <row r="623" spans="3:3" ht="15" x14ac:dyDescent="0.25">
      <c r="C623" s="95"/>
    </row>
    <row r="624" spans="3:3" ht="15" x14ac:dyDescent="0.25">
      <c r="C624" s="95"/>
    </row>
    <row r="625" spans="3:3" ht="15" x14ac:dyDescent="0.25">
      <c r="C625" s="95"/>
    </row>
    <row r="626" spans="3:3" ht="15" x14ac:dyDescent="0.25">
      <c r="C626" s="95"/>
    </row>
    <row r="627" spans="3:3" ht="15" x14ac:dyDescent="0.25">
      <c r="C627" s="95"/>
    </row>
    <row r="628" spans="3:3" ht="15" x14ac:dyDescent="0.25">
      <c r="C628" s="95"/>
    </row>
    <row r="629" spans="3:3" ht="15" x14ac:dyDescent="0.25">
      <c r="C629" s="95"/>
    </row>
    <row r="630" spans="3:3" ht="15" x14ac:dyDescent="0.25">
      <c r="C630" s="95"/>
    </row>
    <row r="631" spans="3:3" ht="15" x14ac:dyDescent="0.25">
      <c r="C631" s="95"/>
    </row>
    <row r="632" spans="3:3" ht="15" x14ac:dyDescent="0.25">
      <c r="C632" s="95"/>
    </row>
    <row r="633" spans="3:3" ht="15" x14ac:dyDescent="0.25">
      <c r="C633" s="95"/>
    </row>
    <row r="634" spans="3:3" ht="15" x14ac:dyDescent="0.25">
      <c r="C634" s="95"/>
    </row>
    <row r="635" spans="3:3" ht="15" x14ac:dyDescent="0.25">
      <c r="C635" s="95"/>
    </row>
    <row r="636" spans="3:3" ht="15" x14ac:dyDescent="0.25">
      <c r="C636" s="95"/>
    </row>
    <row r="637" spans="3:3" ht="15" x14ac:dyDescent="0.25">
      <c r="C637" s="95"/>
    </row>
    <row r="638" spans="3:3" ht="15" x14ac:dyDescent="0.25">
      <c r="C638" s="95"/>
    </row>
    <row r="639" spans="3:3" ht="15" x14ac:dyDescent="0.25">
      <c r="C639" s="95"/>
    </row>
    <row r="640" spans="3:3" ht="15" x14ac:dyDescent="0.25">
      <c r="C640" s="95"/>
    </row>
    <row r="641" spans="3:3" ht="15" x14ac:dyDescent="0.25">
      <c r="C641" s="95"/>
    </row>
    <row r="642" spans="3:3" ht="15" x14ac:dyDescent="0.25">
      <c r="C642" s="95"/>
    </row>
    <row r="643" spans="3:3" ht="15" x14ac:dyDescent="0.25">
      <c r="C643" s="95"/>
    </row>
    <row r="644" spans="3:3" ht="15" x14ac:dyDescent="0.25">
      <c r="C644" s="95"/>
    </row>
    <row r="645" spans="3:3" ht="15" x14ac:dyDescent="0.25">
      <c r="C645" s="95"/>
    </row>
    <row r="646" spans="3:3" ht="15" x14ac:dyDescent="0.25">
      <c r="C646" s="95"/>
    </row>
    <row r="647" spans="3:3" ht="15" x14ac:dyDescent="0.25">
      <c r="C647" s="95"/>
    </row>
    <row r="648" spans="3:3" ht="15" x14ac:dyDescent="0.25">
      <c r="C648" s="95"/>
    </row>
    <row r="649" spans="3:3" ht="15" x14ac:dyDescent="0.25">
      <c r="C649" s="95"/>
    </row>
    <row r="650" spans="3:3" ht="15" x14ac:dyDescent="0.25">
      <c r="C650" s="95"/>
    </row>
    <row r="651" spans="3:3" ht="15" x14ac:dyDescent="0.25">
      <c r="C651" s="95"/>
    </row>
    <row r="652" spans="3:3" ht="15" x14ac:dyDescent="0.25">
      <c r="C652" s="95"/>
    </row>
    <row r="653" spans="3:3" ht="15" x14ac:dyDescent="0.25">
      <c r="C653" s="95"/>
    </row>
    <row r="654" spans="3:3" ht="15" x14ac:dyDescent="0.25">
      <c r="C654" s="95"/>
    </row>
    <row r="655" spans="3:3" ht="15" x14ac:dyDescent="0.25">
      <c r="C655" s="95"/>
    </row>
    <row r="656" spans="3:3" ht="15" x14ac:dyDescent="0.25">
      <c r="C656" s="95"/>
    </row>
    <row r="657" spans="3:3" ht="15" x14ac:dyDescent="0.25">
      <c r="C657" s="95"/>
    </row>
    <row r="658" spans="3:3" ht="15" x14ac:dyDescent="0.25">
      <c r="C658" s="95"/>
    </row>
    <row r="659" spans="3:3" ht="15" x14ac:dyDescent="0.25">
      <c r="C659" s="95"/>
    </row>
    <row r="660" spans="3:3" ht="15" x14ac:dyDescent="0.25">
      <c r="C660" s="95"/>
    </row>
    <row r="661" spans="3:3" ht="15" x14ac:dyDescent="0.25">
      <c r="C661" s="95"/>
    </row>
    <row r="662" spans="3:3" ht="15" x14ac:dyDescent="0.25">
      <c r="C662" s="95"/>
    </row>
    <row r="663" spans="3:3" ht="15" x14ac:dyDescent="0.25">
      <c r="C663" s="95"/>
    </row>
    <row r="664" spans="3:3" ht="15" x14ac:dyDescent="0.25">
      <c r="C664" s="95"/>
    </row>
    <row r="665" spans="3:3" ht="15" x14ac:dyDescent="0.25">
      <c r="C665" s="95"/>
    </row>
    <row r="666" spans="3:3" ht="15" x14ac:dyDescent="0.25">
      <c r="C666" s="95"/>
    </row>
    <row r="667" spans="3:3" ht="15" x14ac:dyDescent="0.25">
      <c r="C667" s="95"/>
    </row>
    <row r="668" spans="3:3" ht="15" x14ac:dyDescent="0.25">
      <c r="C668" s="95"/>
    </row>
    <row r="669" spans="3:3" ht="15" x14ac:dyDescent="0.25">
      <c r="C669" s="95"/>
    </row>
    <row r="670" spans="3:3" ht="15" x14ac:dyDescent="0.25">
      <c r="C670" s="95"/>
    </row>
    <row r="671" spans="3:3" ht="15" x14ac:dyDescent="0.25">
      <c r="C671" s="95"/>
    </row>
    <row r="672" spans="3:3" ht="15" x14ac:dyDescent="0.25">
      <c r="C672" s="95"/>
    </row>
    <row r="673" spans="3:3" ht="15" x14ac:dyDescent="0.25">
      <c r="C673" s="95"/>
    </row>
    <row r="674" spans="3:3" ht="15" x14ac:dyDescent="0.25">
      <c r="C674" s="95"/>
    </row>
    <row r="675" spans="3:3" ht="15" x14ac:dyDescent="0.25">
      <c r="C675" s="95"/>
    </row>
    <row r="676" spans="3:3" ht="15" x14ac:dyDescent="0.25">
      <c r="C676" s="95"/>
    </row>
    <row r="677" spans="3:3" ht="15" x14ac:dyDescent="0.25">
      <c r="C677" s="95"/>
    </row>
    <row r="678" spans="3:3" ht="15" x14ac:dyDescent="0.25">
      <c r="C678" s="95"/>
    </row>
    <row r="679" spans="3:3" ht="15" x14ac:dyDescent="0.25">
      <c r="C679" s="95"/>
    </row>
    <row r="680" spans="3:3" ht="15" x14ac:dyDescent="0.25">
      <c r="C680" s="95"/>
    </row>
    <row r="681" spans="3:3" ht="15" x14ac:dyDescent="0.25">
      <c r="C681" s="95"/>
    </row>
    <row r="682" spans="3:3" ht="15" x14ac:dyDescent="0.25">
      <c r="C682" s="95"/>
    </row>
    <row r="683" spans="3:3" ht="15" x14ac:dyDescent="0.25">
      <c r="C683" s="95"/>
    </row>
    <row r="684" spans="3:3" ht="15" x14ac:dyDescent="0.25">
      <c r="C684" s="95"/>
    </row>
    <row r="685" spans="3:3" ht="15" x14ac:dyDescent="0.25">
      <c r="C685" s="95"/>
    </row>
    <row r="686" spans="3:3" ht="15" x14ac:dyDescent="0.25">
      <c r="C686" s="95"/>
    </row>
    <row r="687" spans="3:3" ht="15" x14ac:dyDescent="0.25">
      <c r="C687" s="95"/>
    </row>
    <row r="688" spans="3:3" ht="15" x14ac:dyDescent="0.25">
      <c r="C688" s="95"/>
    </row>
    <row r="689" spans="3:3" ht="15" x14ac:dyDescent="0.25">
      <c r="C689" s="95"/>
    </row>
    <row r="690" spans="3:3" ht="15" x14ac:dyDescent="0.25">
      <c r="C690" s="95"/>
    </row>
    <row r="691" spans="3:3" ht="15" x14ac:dyDescent="0.25">
      <c r="C691" s="95"/>
    </row>
    <row r="692" spans="3:3" ht="15" x14ac:dyDescent="0.25">
      <c r="C692" s="95"/>
    </row>
    <row r="693" spans="3:3" ht="15" x14ac:dyDescent="0.25">
      <c r="C693" s="95"/>
    </row>
    <row r="694" spans="3:3" ht="15" x14ac:dyDescent="0.25">
      <c r="C694" s="95"/>
    </row>
    <row r="695" spans="3:3" ht="15" x14ac:dyDescent="0.25">
      <c r="C695" s="95"/>
    </row>
    <row r="696" spans="3:3" ht="15" x14ac:dyDescent="0.25">
      <c r="C696" s="95"/>
    </row>
    <row r="697" spans="3:3" ht="15" x14ac:dyDescent="0.25">
      <c r="C697" s="95"/>
    </row>
    <row r="698" spans="3:3" ht="15" x14ac:dyDescent="0.25">
      <c r="C698" s="95"/>
    </row>
    <row r="699" spans="3:3" ht="15" x14ac:dyDescent="0.25">
      <c r="C699" s="95"/>
    </row>
    <row r="700" spans="3:3" ht="15" x14ac:dyDescent="0.25">
      <c r="C700" s="95"/>
    </row>
    <row r="701" spans="3:3" ht="15" x14ac:dyDescent="0.25">
      <c r="C701" s="95"/>
    </row>
    <row r="702" spans="3:3" ht="15" x14ac:dyDescent="0.25">
      <c r="C702" s="95"/>
    </row>
    <row r="703" spans="3:3" ht="15" x14ac:dyDescent="0.25">
      <c r="C703" s="95"/>
    </row>
    <row r="704" spans="3:3" ht="15" x14ac:dyDescent="0.25">
      <c r="C704" s="95"/>
    </row>
    <row r="705" spans="3:3" ht="15" x14ac:dyDescent="0.25">
      <c r="C705" s="95"/>
    </row>
    <row r="706" spans="3:3" ht="15" x14ac:dyDescent="0.25">
      <c r="C706" s="95"/>
    </row>
    <row r="707" spans="3:3" ht="15" x14ac:dyDescent="0.25">
      <c r="C707" s="95"/>
    </row>
    <row r="708" spans="3:3" ht="15" x14ac:dyDescent="0.25">
      <c r="C708" s="95"/>
    </row>
    <row r="709" spans="3:3" ht="15" x14ac:dyDescent="0.25">
      <c r="C709" s="95"/>
    </row>
    <row r="710" spans="3:3" ht="15" x14ac:dyDescent="0.25">
      <c r="C710" s="95"/>
    </row>
    <row r="711" spans="3:3" ht="15" x14ac:dyDescent="0.25">
      <c r="C711" s="95"/>
    </row>
    <row r="712" spans="3:3" ht="15" x14ac:dyDescent="0.25">
      <c r="C712" s="95"/>
    </row>
    <row r="713" spans="3:3" ht="15" x14ac:dyDescent="0.25">
      <c r="C713" s="95"/>
    </row>
    <row r="714" spans="3:3" ht="15" x14ac:dyDescent="0.25">
      <c r="C714" s="95"/>
    </row>
    <row r="715" spans="3:3" ht="15" x14ac:dyDescent="0.25">
      <c r="C715" s="95"/>
    </row>
    <row r="716" spans="3:3" ht="15" x14ac:dyDescent="0.25">
      <c r="C716" s="95"/>
    </row>
    <row r="717" spans="3:3" ht="15" x14ac:dyDescent="0.25">
      <c r="C717" s="95"/>
    </row>
    <row r="718" spans="3:3" ht="15" x14ac:dyDescent="0.25">
      <c r="C718" s="95"/>
    </row>
    <row r="719" spans="3:3" ht="15" x14ac:dyDescent="0.25">
      <c r="C719" s="95"/>
    </row>
    <row r="720" spans="3:3" ht="15" x14ac:dyDescent="0.25">
      <c r="C720" s="95"/>
    </row>
    <row r="721" spans="3:3" ht="15" x14ac:dyDescent="0.25">
      <c r="C721" s="95"/>
    </row>
    <row r="722" spans="3:3" ht="15" x14ac:dyDescent="0.25">
      <c r="C722" s="95"/>
    </row>
    <row r="723" spans="3:3" ht="15" x14ac:dyDescent="0.25">
      <c r="C723" s="95"/>
    </row>
    <row r="724" spans="3:3" ht="15" x14ac:dyDescent="0.25">
      <c r="C724" s="95"/>
    </row>
    <row r="725" spans="3:3" ht="15" x14ac:dyDescent="0.25">
      <c r="C725" s="95"/>
    </row>
    <row r="726" spans="3:3" ht="15" x14ac:dyDescent="0.25">
      <c r="C726" s="95"/>
    </row>
    <row r="727" spans="3:3" ht="15" x14ac:dyDescent="0.25">
      <c r="C727" s="95"/>
    </row>
    <row r="728" spans="3:3" ht="15" x14ac:dyDescent="0.25">
      <c r="C728" s="95"/>
    </row>
    <row r="729" spans="3:3" ht="15" x14ac:dyDescent="0.25">
      <c r="C729" s="95"/>
    </row>
    <row r="730" spans="3:3" ht="15" x14ac:dyDescent="0.25">
      <c r="C730" s="95"/>
    </row>
    <row r="731" spans="3:3" ht="15" x14ac:dyDescent="0.25">
      <c r="C731" s="95"/>
    </row>
    <row r="732" spans="3:3" ht="15" x14ac:dyDescent="0.25">
      <c r="C732" s="95"/>
    </row>
    <row r="733" spans="3:3" ht="15" x14ac:dyDescent="0.25">
      <c r="C733" s="95"/>
    </row>
    <row r="734" spans="3:3" ht="15" x14ac:dyDescent="0.25">
      <c r="C734" s="95"/>
    </row>
    <row r="735" spans="3:3" ht="15" x14ac:dyDescent="0.25">
      <c r="C735" s="95"/>
    </row>
    <row r="736" spans="3:3" ht="15" x14ac:dyDescent="0.25">
      <c r="C736" s="95"/>
    </row>
    <row r="737" spans="3:3" ht="15" x14ac:dyDescent="0.25">
      <c r="C737" s="95"/>
    </row>
    <row r="738" spans="3:3" ht="15" x14ac:dyDescent="0.25">
      <c r="C738" s="95"/>
    </row>
    <row r="739" spans="3:3" ht="15" x14ac:dyDescent="0.25">
      <c r="C739" s="95"/>
    </row>
    <row r="740" spans="3:3" ht="15" x14ac:dyDescent="0.25">
      <c r="C740" s="95"/>
    </row>
    <row r="741" spans="3:3" ht="15" x14ac:dyDescent="0.25">
      <c r="C741" s="95"/>
    </row>
    <row r="742" spans="3:3" ht="15" x14ac:dyDescent="0.25">
      <c r="C742" s="95"/>
    </row>
    <row r="743" spans="3:3" ht="15" x14ac:dyDescent="0.25">
      <c r="C743" s="95"/>
    </row>
    <row r="744" spans="3:3" ht="15" x14ac:dyDescent="0.25">
      <c r="C744" s="95"/>
    </row>
    <row r="745" spans="3:3" ht="15" x14ac:dyDescent="0.25">
      <c r="C745" s="95"/>
    </row>
    <row r="746" spans="3:3" ht="15" x14ac:dyDescent="0.25">
      <c r="C746" s="95"/>
    </row>
    <row r="747" spans="3:3" ht="15" x14ac:dyDescent="0.25">
      <c r="C747" s="95"/>
    </row>
    <row r="748" spans="3:3" ht="15" x14ac:dyDescent="0.25">
      <c r="C748" s="95"/>
    </row>
    <row r="749" spans="3:3" ht="15" x14ac:dyDescent="0.25">
      <c r="C749" s="95"/>
    </row>
    <row r="750" spans="3:3" ht="15" x14ac:dyDescent="0.25">
      <c r="C750" s="95"/>
    </row>
    <row r="751" spans="3:3" ht="15" x14ac:dyDescent="0.25">
      <c r="C751" s="95"/>
    </row>
    <row r="752" spans="3:3" ht="15" x14ac:dyDescent="0.25">
      <c r="C752" s="95"/>
    </row>
    <row r="753" spans="3:3" ht="15" x14ac:dyDescent="0.25">
      <c r="C753" s="95"/>
    </row>
    <row r="754" spans="3:3" ht="15" x14ac:dyDescent="0.25">
      <c r="C754" s="95"/>
    </row>
    <row r="755" spans="3:3" ht="15" x14ac:dyDescent="0.25">
      <c r="C755" s="95"/>
    </row>
    <row r="756" spans="3:3" ht="15" x14ac:dyDescent="0.25">
      <c r="C756" s="95"/>
    </row>
    <row r="757" spans="3:3" ht="15" x14ac:dyDescent="0.25">
      <c r="C757" s="95"/>
    </row>
    <row r="758" spans="3:3" ht="15" x14ac:dyDescent="0.25">
      <c r="C758" s="95"/>
    </row>
    <row r="759" spans="3:3" ht="15" x14ac:dyDescent="0.25">
      <c r="C759" s="95"/>
    </row>
    <row r="760" spans="3:3" ht="15" x14ac:dyDescent="0.25">
      <c r="C760" s="95"/>
    </row>
    <row r="761" spans="3:3" ht="15" x14ac:dyDescent="0.25">
      <c r="C761" s="95"/>
    </row>
    <row r="762" spans="3:3" ht="15" x14ac:dyDescent="0.25">
      <c r="C762" s="95"/>
    </row>
    <row r="763" spans="3:3" ht="15" x14ac:dyDescent="0.25">
      <c r="C763" s="95"/>
    </row>
    <row r="764" spans="3:3" ht="15" x14ac:dyDescent="0.25">
      <c r="C764" s="95"/>
    </row>
    <row r="765" spans="3:3" ht="15" x14ac:dyDescent="0.25">
      <c r="C765" s="95"/>
    </row>
    <row r="766" spans="3:3" ht="15" x14ac:dyDescent="0.25">
      <c r="C766" s="95"/>
    </row>
    <row r="767" spans="3:3" ht="15" x14ac:dyDescent="0.25">
      <c r="C767" s="95"/>
    </row>
    <row r="768" spans="3:3" ht="15" x14ac:dyDescent="0.25">
      <c r="C768" s="95"/>
    </row>
    <row r="769" spans="3:3" ht="15" x14ac:dyDescent="0.25">
      <c r="C769" s="95"/>
    </row>
    <row r="770" spans="3:3" ht="15" x14ac:dyDescent="0.25">
      <c r="C770" s="95"/>
    </row>
    <row r="771" spans="3:3" ht="15" x14ac:dyDescent="0.25">
      <c r="C771" s="95"/>
    </row>
    <row r="772" spans="3:3" ht="15" x14ac:dyDescent="0.25">
      <c r="C772" s="95"/>
    </row>
    <row r="773" spans="3:3" ht="15" x14ac:dyDescent="0.25">
      <c r="C773" s="95"/>
    </row>
    <row r="774" spans="3:3" ht="15" x14ac:dyDescent="0.25">
      <c r="C774" s="95"/>
    </row>
    <row r="775" spans="3:3" ht="15" x14ac:dyDescent="0.25">
      <c r="C775" s="95"/>
    </row>
    <row r="776" spans="3:3" ht="15" x14ac:dyDescent="0.25">
      <c r="C776" s="95"/>
    </row>
    <row r="777" spans="3:3" ht="15" x14ac:dyDescent="0.25">
      <c r="C777" s="95"/>
    </row>
    <row r="778" spans="3:3" ht="15" x14ac:dyDescent="0.25">
      <c r="C778" s="95"/>
    </row>
    <row r="779" spans="3:3" ht="15" x14ac:dyDescent="0.25">
      <c r="C779" s="95"/>
    </row>
    <row r="780" spans="3:3" ht="15" x14ac:dyDescent="0.25">
      <c r="C780" s="95"/>
    </row>
    <row r="781" spans="3:3" ht="15" x14ac:dyDescent="0.25">
      <c r="C781" s="95"/>
    </row>
    <row r="782" spans="3:3" ht="15" x14ac:dyDescent="0.25">
      <c r="C782" s="95"/>
    </row>
    <row r="783" spans="3:3" ht="15" x14ac:dyDescent="0.25">
      <c r="C783" s="95"/>
    </row>
    <row r="784" spans="3:3" ht="15" x14ac:dyDescent="0.25">
      <c r="C784" s="95"/>
    </row>
    <row r="785" spans="3:3" ht="15" x14ac:dyDescent="0.25">
      <c r="C785" s="95"/>
    </row>
    <row r="786" spans="3:3" ht="15" x14ac:dyDescent="0.25">
      <c r="C786" s="95"/>
    </row>
    <row r="787" spans="3:3" ht="15" x14ac:dyDescent="0.25">
      <c r="C787" s="95"/>
    </row>
    <row r="788" spans="3:3" ht="15" x14ac:dyDescent="0.25">
      <c r="C788" s="95"/>
    </row>
    <row r="789" spans="3:3" ht="15" x14ac:dyDescent="0.25">
      <c r="C789" s="95"/>
    </row>
    <row r="790" spans="3:3" ht="15" x14ac:dyDescent="0.25">
      <c r="C790" s="95"/>
    </row>
    <row r="791" spans="3:3" ht="15" x14ac:dyDescent="0.25">
      <c r="C791" s="95"/>
    </row>
    <row r="792" spans="3:3" ht="15" x14ac:dyDescent="0.25">
      <c r="C792" s="95"/>
    </row>
    <row r="793" spans="3:3" ht="15" x14ac:dyDescent="0.25">
      <c r="C793" s="95"/>
    </row>
    <row r="794" spans="3:3" ht="15" x14ac:dyDescent="0.25">
      <c r="C794" s="95"/>
    </row>
    <row r="795" spans="3:3" ht="15" x14ac:dyDescent="0.25">
      <c r="C795" s="95"/>
    </row>
    <row r="796" spans="3:3" ht="15" x14ac:dyDescent="0.25">
      <c r="C796" s="95"/>
    </row>
    <row r="797" spans="3:3" ht="15" x14ac:dyDescent="0.25">
      <c r="C797" s="95"/>
    </row>
    <row r="798" spans="3:3" ht="15" x14ac:dyDescent="0.25">
      <c r="C798" s="95"/>
    </row>
    <row r="799" spans="3:3" ht="15" x14ac:dyDescent="0.25">
      <c r="C799" s="95"/>
    </row>
    <row r="800" spans="3:3" ht="15" x14ac:dyDescent="0.25">
      <c r="C800" s="95"/>
    </row>
    <row r="801" spans="3:3" ht="15" x14ac:dyDescent="0.25">
      <c r="C801" s="95"/>
    </row>
    <row r="802" spans="3:3" ht="15" x14ac:dyDescent="0.25">
      <c r="C802" s="95"/>
    </row>
    <row r="803" spans="3:3" ht="15" x14ac:dyDescent="0.25">
      <c r="C803" s="95"/>
    </row>
    <row r="804" spans="3:3" ht="15" x14ac:dyDescent="0.25">
      <c r="C804" s="95"/>
    </row>
    <row r="805" spans="3:3" ht="15" x14ac:dyDescent="0.25">
      <c r="C805" s="95"/>
    </row>
    <row r="806" spans="3:3" ht="15" x14ac:dyDescent="0.25">
      <c r="C806" s="95"/>
    </row>
    <row r="807" spans="3:3" ht="15" x14ac:dyDescent="0.25">
      <c r="C807" s="95"/>
    </row>
    <row r="808" spans="3:3" ht="15" x14ac:dyDescent="0.25">
      <c r="C808" s="95"/>
    </row>
    <row r="809" spans="3:3" ht="15" x14ac:dyDescent="0.25">
      <c r="C809" s="95"/>
    </row>
    <row r="810" spans="3:3" ht="15" x14ac:dyDescent="0.25">
      <c r="C810" s="95"/>
    </row>
    <row r="811" spans="3:3" ht="15" x14ac:dyDescent="0.25">
      <c r="C811" s="95"/>
    </row>
    <row r="812" spans="3:3" ht="15" x14ac:dyDescent="0.25">
      <c r="C812" s="95"/>
    </row>
    <row r="813" spans="3:3" ht="15" x14ac:dyDescent="0.25">
      <c r="C813" s="95"/>
    </row>
    <row r="814" spans="3:3" ht="15" x14ac:dyDescent="0.25">
      <c r="C814" s="95"/>
    </row>
    <row r="815" spans="3:3" ht="15" x14ac:dyDescent="0.25">
      <c r="C815" s="95"/>
    </row>
    <row r="816" spans="3:3" ht="15" x14ac:dyDescent="0.25">
      <c r="C816" s="95"/>
    </row>
    <row r="817" spans="3:3" ht="15" x14ac:dyDescent="0.25">
      <c r="C817" s="95"/>
    </row>
    <row r="818" spans="3:3" ht="15" x14ac:dyDescent="0.25">
      <c r="C818" s="95"/>
    </row>
    <row r="819" spans="3:3" ht="15" x14ac:dyDescent="0.25">
      <c r="C819" s="95"/>
    </row>
    <row r="820" spans="3:3" ht="15" x14ac:dyDescent="0.25">
      <c r="C820" s="95"/>
    </row>
    <row r="821" spans="3:3" ht="15" x14ac:dyDescent="0.25">
      <c r="C821" s="95"/>
    </row>
    <row r="822" spans="3:3" ht="15" x14ac:dyDescent="0.25">
      <c r="C822" s="95"/>
    </row>
    <row r="823" spans="3:3" ht="15" x14ac:dyDescent="0.25">
      <c r="C823" s="95"/>
    </row>
    <row r="824" spans="3:3" ht="15" x14ac:dyDescent="0.25">
      <c r="C824" s="95"/>
    </row>
    <row r="825" spans="3:3" ht="15" x14ac:dyDescent="0.25">
      <c r="C825" s="95"/>
    </row>
    <row r="826" spans="3:3" ht="15" x14ac:dyDescent="0.25">
      <c r="C826" s="95"/>
    </row>
    <row r="827" spans="3:3" ht="15" x14ac:dyDescent="0.25">
      <c r="C827" s="95"/>
    </row>
    <row r="828" spans="3:3" ht="15" x14ac:dyDescent="0.25">
      <c r="C828" s="95"/>
    </row>
    <row r="829" spans="3:3" ht="15" x14ac:dyDescent="0.25">
      <c r="C829" s="95"/>
    </row>
    <row r="830" spans="3:3" ht="15" x14ac:dyDescent="0.25">
      <c r="C830" s="95"/>
    </row>
    <row r="831" spans="3:3" ht="15" x14ac:dyDescent="0.25">
      <c r="C831" s="95"/>
    </row>
    <row r="832" spans="3:3" ht="15" x14ac:dyDescent="0.25">
      <c r="C832" s="95"/>
    </row>
    <row r="833" spans="3:3" ht="15" x14ac:dyDescent="0.25">
      <c r="C833" s="95"/>
    </row>
    <row r="834" spans="3:3" ht="15" x14ac:dyDescent="0.25">
      <c r="C834" s="95"/>
    </row>
    <row r="835" spans="3:3" ht="15" x14ac:dyDescent="0.25">
      <c r="C835" s="95"/>
    </row>
    <row r="836" spans="3:3" ht="15" x14ac:dyDescent="0.25">
      <c r="C836" s="95"/>
    </row>
    <row r="837" spans="3:3" ht="15" x14ac:dyDescent="0.25">
      <c r="C837" s="95"/>
    </row>
    <row r="838" spans="3:3" ht="15" x14ac:dyDescent="0.25">
      <c r="C838" s="95"/>
    </row>
    <row r="839" spans="3:3" ht="15" x14ac:dyDescent="0.25">
      <c r="C839" s="95"/>
    </row>
    <row r="840" spans="3:3" ht="15" x14ac:dyDescent="0.25">
      <c r="C840" s="95"/>
    </row>
    <row r="841" spans="3:3" ht="15" x14ac:dyDescent="0.25">
      <c r="C841" s="95"/>
    </row>
    <row r="842" spans="3:3" ht="15" x14ac:dyDescent="0.25">
      <c r="C842" s="95"/>
    </row>
    <row r="843" spans="3:3" ht="15" x14ac:dyDescent="0.25">
      <c r="C843" s="95"/>
    </row>
    <row r="844" spans="3:3" ht="15" x14ac:dyDescent="0.25">
      <c r="C844" s="95"/>
    </row>
    <row r="845" spans="3:3" ht="15" x14ac:dyDescent="0.25">
      <c r="C845" s="95"/>
    </row>
    <row r="846" spans="3:3" ht="15" x14ac:dyDescent="0.25">
      <c r="C846" s="95"/>
    </row>
    <row r="847" spans="3:3" ht="15" x14ac:dyDescent="0.25">
      <c r="C847" s="95"/>
    </row>
    <row r="848" spans="3:3" ht="15" x14ac:dyDescent="0.25">
      <c r="C848" s="95"/>
    </row>
    <row r="849" spans="3:3" ht="15" x14ac:dyDescent="0.25">
      <c r="C849" s="95"/>
    </row>
    <row r="850" spans="3:3" ht="15" x14ac:dyDescent="0.25">
      <c r="C850" s="95"/>
    </row>
    <row r="851" spans="3:3" ht="15" x14ac:dyDescent="0.25">
      <c r="C851" s="95"/>
    </row>
    <row r="852" spans="3:3" ht="15" x14ac:dyDescent="0.25">
      <c r="C852" s="95"/>
    </row>
    <row r="853" spans="3:3" ht="15" x14ac:dyDescent="0.25">
      <c r="C853" s="95"/>
    </row>
    <row r="854" spans="3:3" ht="15" x14ac:dyDescent="0.25">
      <c r="C854" s="95"/>
    </row>
    <row r="855" spans="3:3" ht="15" x14ac:dyDescent="0.25">
      <c r="C855" s="95"/>
    </row>
    <row r="856" spans="3:3" ht="15" x14ac:dyDescent="0.25">
      <c r="C856" s="95"/>
    </row>
    <row r="857" spans="3:3" ht="15" x14ac:dyDescent="0.25">
      <c r="C857" s="95"/>
    </row>
    <row r="858" spans="3:3" ht="15" x14ac:dyDescent="0.25">
      <c r="C858" s="95"/>
    </row>
    <row r="859" spans="3:3" ht="15" x14ac:dyDescent="0.25">
      <c r="C859" s="95"/>
    </row>
    <row r="860" spans="3:3" ht="15" x14ac:dyDescent="0.25">
      <c r="C860" s="95"/>
    </row>
    <row r="861" spans="3:3" ht="15" x14ac:dyDescent="0.25">
      <c r="C861" s="95"/>
    </row>
    <row r="862" spans="3:3" ht="15" x14ac:dyDescent="0.25">
      <c r="C862" s="95"/>
    </row>
    <row r="863" spans="3:3" ht="15" x14ac:dyDescent="0.25">
      <c r="C863" s="95"/>
    </row>
    <row r="864" spans="3:3" ht="15" x14ac:dyDescent="0.25">
      <c r="C864" s="95"/>
    </row>
    <row r="865" spans="3:3" ht="15" x14ac:dyDescent="0.25">
      <c r="C865" s="95"/>
    </row>
    <row r="866" spans="3:3" ht="15" x14ac:dyDescent="0.25">
      <c r="C866" s="95"/>
    </row>
    <row r="867" spans="3:3" ht="15" x14ac:dyDescent="0.25">
      <c r="C867" s="95"/>
    </row>
    <row r="868" spans="3:3" ht="15" x14ac:dyDescent="0.25">
      <c r="C868" s="95"/>
    </row>
    <row r="869" spans="3:3" ht="15" x14ac:dyDescent="0.25">
      <c r="C869" s="95"/>
    </row>
    <row r="870" spans="3:3" ht="15" x14ac:dyDescent="0.25">
      <c r="C870" s="95"/>
    </row>
    <row r="871" spans="3:3" ht="15" x14ac:dyDescent="0.25">
      <c r="C871" s="95"/>
    </row>
    <row r="872" spans="3:3" ht="15" x14ac:dyDescent="0.25">
      <c r="C872" s="95"/>
    </row>
    <row r="873" spans="3:3" ht="15" x14ac:dyDescent="0.25">
      <c r="C873" s="95"/>
    </row>
    <row r="874" spans="3:3" ht="15" x14ac:dyDescent="0.25">
      <c r="C874" s="95"/>
    </row>
    <row r="875" spans="3:3" ht="15" x14ac:dyDescent="0.25">
      <c r="C875" s="95"/>
    </row>
    <row r="876" spans="3:3" ht="15" x14ac:dyDescent="0.25">
      <c r="C876" s="95"/>
    </row>
    <row r="877" spans="3:3" ht="15" x14ac:dyDescent="0.25">
      <c r="C877" s="95"/>
    </row>
    <row r="878" spans="3:3" ht="15" x14ac:dyDescent="0.25">
      <c r="C878" s="95"/>
    </row>
    <row r="879" spans="3:3" ht="15" x14ac:dyDescent="0.25">
      <c r="C879" s="95"/>
    </row>
    <row r="880" spans="3:3" ht="15" x14ac:dyDescent="0.25">
      <c r="C880" s="95"/>
    </row>
    <row r="881" spans="3:3" ht="15" x14ac:dyDescent="0.25">
      <c r="C881" s="95"/>
    </row>
    <row r="882" spans="3:3" ht="15" x14ac:dyDescent="0.25">
      <c r="C882" s="95"/>
    </row>
    <row r="883" spans="3:3" ht="15" x14ac:dyDescent="0.25">
      <c r="C883" s="95"/>
    </row>
    <row r="884" spans="3:3" ht="15" x14ac:dyDescent="0.25">
      <c r="C884" s="95"/>
    </row>
    <row r="885" spans="3:3" ht="15" x14ac:dyDescent="0.25">
      <c r="C885" s="95"/>
    </row>
    <row r="886" spans="3:3" ht="15" x14ac:dyDescent="0.25">
      <c r="C886" s="95"/>
    </row>
    <row r="887" spans="3:3" ht="15" x14ac:dyDescent="0.25">
      <c r="C887" s="95"/>
    </row>
    <row r="888" spans="3:3" ht="15" x14ac:dyDescent="0.25">
      <c r="C888" s="95"/>
    </row>
    <row r="889" spans="3:3" ht="15" x14ac:dyDescent="0.25">
      <c r="C889" s="95"/>
    </row>
    <row r="890" spans="3:3" ht="15" x14ac:dyDescent="0.25">
      <c r="C890" s="95"/>
    </row>
    <row r="891" spans="3:3" ht="15" x14ac:dyDescent="0.25">
      <c r="C891" s="95"/>
    </row>
    <row r="892" spans="3:3" ht="15" x14ac:dyDescent="0.25">
      <c r="C892" s="95"/>
    </row>
    <row r="893" spans="3:3" ht="15" x14ac:dyDescent="0.25">
      <c r="C893" s="95"/>
    </row>
    <row r="894" spans="3:3" ht="15" x14ac:dyDescent="0.25">
      <c r="C894" s="95"/>
    </row>
    <row r="895" spans="3:3" ht="15" x14ac:dyDescent="0.25">
      <c r="C895" s="95"/>
    </row>
    <row r="896" spans="3:3" ht="15" x14ac:dyDescent="0.25">
      <c r="C896" s="95"/>
    </row>
    <row r="897" spans="3:3" ht="15" x14ac:dyDescent="0.25">
      <c r="C897" s="95"/>
    </row>
    <row r="898" spans="3:3" ht="15" x14ac:dyDescent="0.25">
      <c r="C898" s="95"/>
    </row>
    <row r="899" spans="3:3" ht="15" x14ac:dyDescent="0.25">
      <c r="C899" s="95"/>
    </row>
    <row r="900" spans="3:3" ht="15" x14ac:dyDescent="0.25">
      <c r="C900" s="95"/>
    </row>
    <row r="901" spans="3:3" ht="15" x14ac:dyDescent="0.25">
      <c r="C901" s="95"/>
    </row>
    <row r="902" spans="3:3" ht="15" x14ac:dyDescent="0.25">
      <c r="C902" s="95"/>
    </row>
    <row r="903" spans="3:3" ht="15" x14ac:dyDescent="0.25">
      <c r="C903" s="95"/>
    </row>
    <row r="904" spans="3:3" ht="15" x14ac:dyDescent="0.25">
      <c r="C904" s="95"/>
    </row>
    <row r="905" spans="3:3" ht="15" x14ac:dyDescent="0.25">
      <c r="C905" s="95"/>
    </row>
    <row r="906" spans="3:3" ht="15" x14ac:dyDescent="0.25">
      <c r="C906" s="95"/>
    </row>
    <row r="907" spans="3:3" ht="15" x14ac:dyDescent="0.25">
      <c r="C907" s="95"/>
    </row>
    <row r="908" spans="3:3" ht="15" x14ac:dyDescent="0.25">
      <c r="C908" s="95"/>
    </row>
    <row r="909" spans="3:3" ht="15" x14ac:dyDescent="0.25">
      <c r="C909" s="95"/>
    </row>
    <row r="910" spans="3:3" ht="15" x14ac:dyDescent="0.25">
      <c r="C910" s="95"/>
    </row>
    <row r="911" spans="3:3" ht="15" x14ac:dyDescent="0.25">
      <c r="C911" s="95"/>
    </row>
    <row r="912" spans="3:3" ht="15" x14ac:dyDescent="0.25">
      <c r="C912" s="95"/>
    </row>
    <row r="913" spans="3:3" ht="15" x14ac:dyDescent="0.25">
      <c r="C913" s="95"/>
    </row>
    <row r="914" spans="3:3" ht="15" x14ac:dyDescent="0.25">
      <c r="C914" s="95"/>
    </row>
    <row r="915" spans="3:3" ht="15" x14ac:dyDescent="0.25">
      <c r="C915" s="95"/>
    </row>
    <row r="916" spans="3:3" ht="15" x14ac:dyDescent="0.25">
      <c r="C916" s="95"/>
    </row>
    <row r="917" spans="3:3" ht="15" x14ac:dyDescent="0.25">
      <c r="C917" s="95"/>
    </row>
    <row r="918" spans="3:3" ht="15" x14ac:dyDescent="0.25">
      <c r="C918" s="95"/>
    </row>
    <row r="919" spans="3:3" ht="15" x14ac:dyDescent="0.25">
      <c r="C919" s="95"/>
    </row>
    <row r="920" spans="3:3" ht="15" x14ac:dyDescent="0.25">
      <c r="C920" s="95"/>
    </row>
    <row r="921" spans="3:3" ht="15" x14ac:dyDescent="0.25">
      <c r="C921" s="95"/>
    </row>
    <row r="922" spans="3:3" ht="15" x14ac:dyDescent="0.25">
      <c r="C922" s="95"/>
    </row>
    <row r="923" spans="3:3" ht="15" x14ac:dyDescent="0.25">
      <c r="C923" s="95"/>
    </row>
    <row r="924" spans="3:3" ht="15" x14ac:dyDescent="0.25">
      <c r="C924" s="95"/>
    </row>
    <row r="925" spans="3:3" ht="15" x14ac:dyDescent="0.25">
      <c r="C925" s="95"/>
    </row>
    <row r="926" spans="3:3" ht="15" x14ac:dyDescent="0.25">
      <c r="C926" s="95"/>
    </row>
    <row r="927" spans="3:3" ht="15" x14ac:dyDescent="0.25">
      <c r="C927" s="95"/>
    </row>
    <row r="928" spans="3:3" ht="15" x14ac:dyDescent="0.25">
      <c r="C928" s="95"/>
    </row>
    <row r="929" spans="3:3" ht="15" x14ac:dyDescent="0.25">
      <c r="C929" s="95"/>
    </row>
    <row r="930" spans="3:3" ht="15" x14ac:dyDescent="0.25">
      <c r="C930" s="95"/>
    </row>
    <row r="931" spans="3:3" ht="15" x14ac:dyDescent="0.25">
      <c r="C931" s="95"/>
    </row>
    <row r="932" spans="3:3" ht="15" x14ac:dyDescent="0.25">
      <c r="C932" s="95"/>
    </row>
    <row r="933" spans="3:3" ht="15" x14ac:dyDescent="0.25">
      <c r="C933" s="95"/>
    </row>
    <row r="934" spans="3:3" ht="15" x14ac:dyDescent="0.25">
      <c r="C934" s="95"/>
    </row>
    <row r="935" spans="3:3" ht="15" x14ac:dyDescent="0.25">
      <c r="C935" s="95"/>
    </row>
    <row r="936" spans="3:3" ht="15" x14ac:dyDescent="0.25">
      <c r="C936" s="95"/>
    </row>
    <row r="937" spans="3:3" ht="15" x14ac:dyDescent="0.25">
      <c r="C937" s="95"/>
    </row>
    <row r="938" spans="3:3" ht="15" x14ac:dyDescent="0.25">
      <c r="C938" s="95"/>
    </row>
    <row r="939" spans="3:3" ht="15" x14ac:dyDescent="0.25">
      <c r="C939" s="95"/>
    </row>
    <row r="940" spans="3:3" ht="15" x14ac:dyDescent="0.25">
      <c r="C940" s="95"/>
    </row>
    <row r="941" spans="3:3" ht="15" x14ac:dyDescent="0.25">
      <c r="C941" s="95"/>
    </row>
    <row r="942" spans="3:3" ht="15" x14ac:dyDescent="0.25">
      <c r="C942" s="95"/>
    </row>
    <row r="943" spans="3:3" ht="15" x14ac:dyDescent="0.25">
      <c r="C943" s="95"/>
    </row>
    <row r="944" spans="3:3" ht="15" x14ac:dyDescent="0.25">
      <c r="C944" s="95"/>
    </row>
    <row r="945" spans="3:3" ht="15" x14ac:dyDescent="0.25">
      <c r="C945" s="95"/>
    </row>
    <row r="946" spans="3:3" ht="15" x14ac:dyDescent="0.25">
      <c r="C946" s="95"/>
    </row>
    <row r="947" spans="3:3" ht="15" x14ac:dyDescent="0.25">
      <c r="C947" s="95"/>
    </row>
    <row r="948" spans="3:3" ht="15" x14ac:dyDescent="0.25">
      <c r="C948" s="95"/>
    </row>
    <row r="949" spans="3:3" ht="15" x14ac:dyDescent="0.25">
      <c r="C949" s="95"/>
    </row>
    <row r="950" spans="3:3" ht="15" x14ac:dyDescent="0.25">
      <c r="C950" s="95"/>
    </row>
    <row r="951" spans="3:3" ht="15" x14ac:dyDescent="0.25">
      <c r="C951" s="95"/>
    </row>
    <row r="952" spans="3:3" ht="15" x14ac:dyDescent="0.25">
      <c r="C952" s="95"/>
    </row>
    <row r="953" spans="3:3" ht="15" x14ac:dyDescent="0.25">
      <c r="C953" s="95"/>
    </row>
    <row r="954" spans="3:3" ht="15" x14ac:dyDescent="0.25">
      <c r="C954" s="95"/>
    </row>
    <row r="955" spans="3:3" ht="15" x14ac:dyDescent="0.25">
      <c r="C955" s="95"/>
    </row>
    <row r="956" spans="3:3" ht="15" x14ac:dyDescent="0.25">
      <c r="C956" s="95"/>
    </row>
    <row r="957" spans="3:3" ht="15" x14ac:dyDescent="0.25">
      <c r="C957" s="95"/>
    </row>
    <row r="958" spans="3:3" ht="15" x14ac:dyDescent="0.25">
      <c r="C958" s="95"/>
    </row>
    <row r="959" spans="3:3" ht="15" x14ac:dyDescent="0.25">
      <c r="C959" s="95"/>
    </row>
    <row r="960" spans="3:3" ht="15" x14ac:dyDescent="0.25">
      <c r="C960" s="95"/>
    </row>
    <row r="961" spans="3:3" ht="15" x14ac:dyDescent="0.25">
      <c r="C961" s="95"/>
    </row>
    <row r="962" spans="3:3" ht="15" x14ac:dyDescent="0.25">
      <c r="C962" s="95"/>
    </row>
    <row r="963" spans="3:3" ht="15" x14ac:dyDescent="0.25">
      <c r="C963" s="95"/>
    </row>
    <row r="964" spans="3:3" ht="15" x14ac:dyDescent="0.25">
      <c r="C964" s="95"/>
    </row>
    <row r="965" spans="3:3" ht="15" x14ac:dyDescent="0.25">
      <c r="C965" s="95"/>
    </row>
    <row r="966" spans="3:3" ht="15" x14ac:dyDescent="0.25">
      <c r="C966" s="95"/>
    </row>
    <row r="967" spans="3:3" ht="15" x14ac:dyDescent="0.25">
      <c r="C967" s="95"/>
    </row>
    <row r="968" spans="3:3" ht="15" x14ac:dyDescent="0.25">
      <c r="C968" s="95"/>
    </row>
    <row r="969" spans="3:3" ht="15" x14ac:dyDescent="0.25">
      <c r="C969" s="95"/>
    </row>
    <row r="970" spans="3:3" ht="15" x14ac:dyDescent="0.25">
      <c r="C970" s="95"/>
    </row>
    <row r="971" spans="3:3" ht="15" x14ac:dyDescent="0.25">
      <c r="C971" s="95"/>
    </row>
    <row r="972" spans="3:3" ht="15" x14ac:dyDescent="0.25">
      <c r="C972" s="95"/>
    </row>
    <row r="973" spans="3:3" ht="15" x14ac:dyDescent="0.25">
      <c r="C973" s="95"/>
    </row>
    <row r="974" spans="3:3" ht="15" x14ac:dyDescent="0.25">
      <c r="C974" s="95"/>
    </row>
    <row r="975" spans="3:3" ht="15" x14ac:dyDescent="0.25">
      <c r="C975" s="95"/>
    </row>
    <row r="976" spans="3:3" ht="15" x14ac:dyDescent="0.25">
      <c r="C976" s="95"/>
    </row>
    <row r="977" spans="3:3" ht="15" x14ac:dyDescent="0.25">
      <c r="C977" s="95"/>
    </row>
    <row r="978" spans="3:3" ht="15" x14ac:dyDescent="0.25">
      <c r="C978" s="95"/>
    </row>
    <row r="979" spans="3:3" ht="15" x14ac:dyDescent="0.25">
      <c r="C979" s="95"/>
    </row>
    <row r="980" spans="3:3" ht="15" x14ac:dyDescent="0.25">
      <c r="C980" s="95"/>
    </row>
    <row r="981" spans="3:3" ht="15" x14ac:dyDescent="0.25">
      <c r="C981" s="95"/>
    </row>
    <row r="982" spans="3:3" ht="15" x14ac:dyDescent="0.25">
      <c r="C982" s="95"/>
    </row>
    <row r="983" spans="3:3" ht="15" x14ac:dyDescent="0.25">
      <c r="C983" s="95"/>
    </row>
    <row r="984" spans="3:3" ht="15" x14ac:dyDescent="0.25">
      <c r="C984" s="95"/>
    </row>
    <row r="985" spans="3:3" ht="15" x14ac:dyDescent="0.25">
      <c r="C985" s="95"/>
    </row>
    <row r="986" spans="3:3" ht="15" x14ac:dyDescent="0.25">
      <c r="C986" s="95"/>
    </row>
    <row r="987" spans="3:3" ht="15" x14ac:dyDescent="0.25">
      <c r="C987" s="95"/>
    </row>
    <row r="988" spans="3:3" ht="15" x14ac:dyDescent="0.25">
      <c r="C988" s="95"/>
    </row>
    <row r="989" spans="3:3" ht="15" x14ac:dyDescent="0.25">
      <c r="C989" s="95"/>
    </row>
    <row r="990" spans="3:3" ht="15" x14ac:dyDescent="0.25">
      <c r="C990" s="95"/>
    </row>
    <row r="991" spans="3:3" ht="15" x14ac:dyDescent="0.25">
      <c r="C991" s="95"/>
    </row>
    <row r="992" spans="3:3" ht="15" x14ac:dyDescent="0.25">
      <c r="C992" s="95"/>
    </row>
    <row r="993" spans="3:3" ht="15" x14ac:dyDescent="0.25">
      <c r="C993" s="95"/>
    </row>
    <row r="994" spans="3:3" ht="15" x14ac:dyDescent="0.25">
      <c r="C994" s="95"/>
    </row>
    <row r="995" spans="3:3" ht="15" x14ac:dyDescent="0.25">
      <c r="C995" s="95"/>
    </row>
    <row r="996" spans="3:3" ht="15" x14ac:dyDescent="0.25">
      <c r="C996" s="95"/>
    </row>
    <row r="997" spans="3:3" ht="15" x14ac:dyDescent="0.25">
      <c r="C997" s="95"/>
    </row>
    <row r="998" spans="3:3" ht="15" x14ac:dyDescent="0.25">
      <c r="C998" s="95"/>
    </row>
    <row r="999" spans="3:3" ht="15" x14ac:dyDescent="0.25">
      <c r="C999" s="95"/>
    </row>
    <row r="1000" spans="3:3" ht="15" x14ac:dyDescent="0.25">
      <c r="C1000" s="95"/>
    </row>
    <row r="1001" spans="3:3" ht="15" x14ac:dyDescent="0.25">
      <c r="C1001" s="95"/>
    </row>
    <row r="1002" spans="3:3" ht="15" x14ac:dyDescent="0.25">
      <c r="C1002" s="95"/>
    </row>
    <row r="1003" spans="3:3" ht="15" x14ac:dyDescent="0.25">
      <c r="C1003" s="95"/>
    </row>
    <row r="1004" spans="3:3" ht="15" x14ac:dyDescent="0.25">
      <c r="C1004" s="95"/>
    </row>
    <row r="1005" spans="3:3" ht="15" x14ac:dyDescent="0.25">
      <c r="C1005" s="95"/>
    </row>
    <row r="1006" spans="3:3" ht="15" x14ac:dyDescent="0.25">
      <c r="C1006" s="95"/>
    </row>
    <row r="1007" spans="3:3" ht="15" x14ac:dyDescent="0.25">
      <c r="C1007" s="95"/>
    </row>
    <row r="1008" spans="3:3" ht="15" x14ac:dyDescent="0.25">
      <c r="C1008" s="95"/>
    </row>
    <row r="1009" spans="3:3" ht="15" x14ac:dyDescent="0.25">
      <c r="C1009" s="95"/>
    </row>
    <row r="1010" spans="3:3" ht="15" x14ac:dyDescent="0.25">
      <c r="C1010" s="95"/>
    </row>
    <row r="1011" spans="3:3" ht="15" x14ac:dyDescent="0.25">
      <c r="C1011" s="95"/>
    </row>
    <row r="1012" spans="3:3" ht="15" x14ac:dyDescent="0.25">
      <c r="C1012" s="95"/>
    </row>
    <row r="1013" spans="3:3" ht="15" x14ac:dyDescent="0.25">
      <c r="C1013" s="95"/>
    </row>
    <row r="1014" spans="3:3" ht="15" x14ac:dyDescent="0.25">
      <c r="C1014" s="95"/>
    </row>
    <row r="1015" spans="3:3" ht="15" x14ac:dyDescent="0.25">
      <c r="C1015" s="95"/>
    </row>
    <row r="1016" spans="3:3" ht="15" x14ac:dyDescent="0.25">
      <c r="C1016" s="95"/>
    </row>
    <row r="1017" spans="3:3" ht="15" x14ac:dyDescent="0.25">
      <c r="C1017" s="95"/>
    </row>
    <row r="1018" spans="3:3" ht="15" x14ac:dyDescent="0.25">
      <c r="C1018" s="95"/>
    </row>
    <row r="1019" spans="3:3" ht="15" x14ac:dyDescent="0.25">
      <c r="C1019" s="95"/>
    </row>
    <row r="1020" spans="3:3" ht="15" x14ac:dyDescent="0.25">
      <c r="C1020" s="95"/>
    </row>
    <row r="1021" spans="3:3" ht="15" x14ac:dyDescent="0.25">
      <c r="C1021" s="95"/>
    </row>
    <row r="1022" spans="3:3" ht="15" x14ac:dyDescent="0.25">
      <c r="C1022" s="95"/>
    </row>
    <row r="1023" spans="3:3" ht="15" x14ac:dyDescent="0.25">
      <c r="C1023" s="95"/>
    </row>
    <row r="1024" spans="3:3" ht="15" x14ac:dyDescent="0.25">
      <c r="C1024" s="95"/>
    </row>
    <row r="1025" spans="3:3" ht="15" x14ac:dyDescent="0.25">
      <c r="C1025" s="95"/>
    </row>
    <row r="1026" spans="3:3" ht="15" x14ac:dyDescent="0.25">
      <c r="C1026" s="95"/>
    </row>
    <row r="1027" spans="3:3" ht="15" x14ac:dyDescent="0.25">
      <c r="C1027" s="95"/>
    </row>
    <row r="1028" spans="3:3" ht="15" x14ac:dyDescent="0.25">
      <c r="C1028" s="95"/>
    </row>
    <row r="1029" spans="3:3" ht="15" x14ac:dyDescent="0.25">
      <c r="C1029" s="95"/>
    </row>
    <row r="1030" spans="3:3" ht="15" x14ac:dyDescent="0.25">
      <c r="C1030" s="95"/>
    </row>
    <row r="1031" spans="3:3" ht="15" x14ac:dyDescent="0.25">
      <c r="C1031" s="95"/>
    </row>
    <row r="1032" spans="3:3" ht="15" x14ac:dyDescent="0.25">
      <c r="C1032" s="95"/>
    </row>
    <row r="1033" spans="3:3" ht="15" x14ac:dyDescent="0.25">
      <c r="C1033" s="95"/>
    </row>
    <row r="1034" spans="3:3" ht="15" x14ac:dyDescent="0.25">
      <c r="C1034" s="95"/>
    </row>
    <row r="1035" spans="3:3" ht="15" x14ac:dyDescent="0.25">
      <c r="C1035" s="95"/>
    </row>
    <row r="1036" spans="3:3" ht="15" x14ac:dyDescent="0.25">
      <c r="C1036" s="95"/>
    </row>
    <row r="1037" spans="3:3" ht="15" x14ac:dyDescent="0.25">
      <c r="C1037" s="95"/>
    </row>
    <row r="1038" spans="3:3" ht="15" x14ac:dyDescent="0.25">
      <c r="C1038" s="95"/>
    </row>
    <row r="1039" spans="3:3" ht="15" x14ac:dyDescent="0.25">
      <c r="C1039" s="95"/>
    </row>
    <row r="1040" spans="3:3" ht="15" x14ac:dyDescent="0.25">
      <c r="C1040" s="95"/>
    </row>
    <row r="1041" spans="3:3" ht="15" x14ac:dyDescent="0.25">
      <c r="C1041" s="95"/>
    </row>
    <row r="1042" spans="3:3" ht="15" x14ac:dyDescent="0.25">
      <c r="C1042" s="95"/>
    </row>
    <row r="1043" spans="3:3" ht="15" x14ac:dyDescent="0.25">
      <c r="C1043" s="95"/>
    </row>
    <row r="1044" spans="3:3" ht="15" x14ac:dyDescent="0.25">
      <c r="C1044" s="95"/>
    </row>
    <row r="1045" spans="3:3" ht="15" x14ac:dyDescent="0.25">
      <c r="C1045" s="95"/>
    </row>
    <row r="1046" spans="3:3" ht="15" x14ac:dyDescent="0.25">
      <c r="C1046" s="95"/>
    </row>
    <row r="1047" spans="3:3" ht="15" x14ac:dyDescent="0.25">
      <c r="C1047" s="95"/>
    </row>
    <row r="1048" spans="3:3" ht="15" x14ac:dyDescent="0.25">
      <c r="C1048" s="95"/>
    </row>
    <row r="1049" spans="3:3" ht="15" x14ac:dyDescent="0.25">
      <c r="C1049" s="95"/>
    </row>
    <row r="1050" spans="3:3" ht="15" x14ac:dyDescent="0.25">
      <c r="C1050" s="95"/>
    </row>
    <row r="1051" spans="3:3" ht="15" x14ac:dyDescent="0.25">
      <c r="C1051" s="95"/>
    </row>
    <row r="1052" spans="3:3" ht="15" x14ac:dyDescent="0.25">
      <c r="C1052" s="95"/>
    </row>
    <row r="1053" spans="3:3" ht="15" x14ac:dyDescent="0.25">
      <c r="C1053" s="95"/>
    </row>
    <row r="1054" spans="3:3" ht="15" x14ac:dyDescent="0.25">
      <c r="C1054" s="95"/>
    </row>
    <row r="1055" spans="3:3" ht="15" x14ac:dyDescent="0.25">
      <c r="C1055" s="95"/>
    </row>
    <row r="1056" spans="3:3" ht="15" x14ac:dyDescent="0.25">
      <c r="C1056" s="95"/>
    </row>
    <row r="1057" spans="3:3" ht="15" x14ac:dyDescent="0.25">
      <c r="C1057" s="95"/>
    </row>
    <row r="1058" spans="3:3" ht="15" x14ac:dyDescent="0.25">
      <c r="C1058" s="95"/>
    </row>
    <row r="1059" spans="3:3" ht="15" x14ac:dyDescent="0.25">
      <c r="C1059" s="95"/>
    </row>
    <row r="1060" spans="3:3" ht="15" x14ac:dyDescent="0.25">
      <c r="C1060" s="95"/>
    </row>
    <row r="1061" spans="3:3" ht="15" x14ac:dyDescent="0.25">
      <c r="C1061" s="95"/>
    </row>
    <row r="1062" spans="3:3" ht="15" x14ac:dyDescent="0.25">
      <c r="C1062" s="95"/>
    </row>
    <row r="1063" spans="3:3" ht="15" x14ac:dyDescent="0.25">
      <c r="C1063" s="95"/>
    </row>
    <row r="1064" spans="3:3" ht="15" x14ac:dyDescent="0.25">
      <c r="C1064" s="95"/>
    </row>
    <row r="1065" spans="3:3" ht="15" x14ac:dyDescent="0.25">
      <c r="C1065" s="95"/>
    </row>
    <row r="1066" spans="3:3" ht="15" x14ac:dyDescent="0.25">
      <c r="C1066" s="95"/>
    </row>
    <row r="1067" spans="3:3" ht="15" x14ac:dyDescent="0.25">
      <c r="C1067" s="95"/>
    </row>
    <row r="1068" spans="3:3" ht="15" x14ac:dyDescent="0.25">
      <c r="C1068" s="95"/>
    </row>
    <row r="1069" spans="3:3" ht="15" x14ac:dyDescent="0.25">
      <c r="C1069" s="95"/>
    </row>
    <row r="1070" spans="3:3" ht="15" x14ac:dyDescent="0.25">
      <c r="C1070" s="95"/>
    </row>
    <row r="1071" spans="3:3" ht="15" x14ac:dyDescent="0.25">
      <c r="C1071" s="95"/>
    </row>
    <row r="1072" spans="3:3" ht="15" x14ac:dyDescent="0.25">
      <c r="C1072" s="95"/>
    </row>
    <row r="1073" spans="3:3" ht="15" x14ac:dyDescent="0.25">
      <c r="C1073" s="95"/>
    </row>
    <row r="1074" spans="3:3" ht="15" x14ac:dyDescent="0.25">
      <c r="C1074" s="95"/>
    </row>
    <row r="1075" spans="3:3" ht="15" x14ac:dyDescent="0.25">
      <c r="C1075" s="95"/>
    </row>
    <row r="1076" spans="3:3" ht="15" x14ac:dyDescent="0.25">
      <c r="C1076" s="95"/>
    </row>
    <row r="1077" spans="3:3" ht="15" x14ac:dyDescent="0.25">
      <c r="C1077" s="95"/>
    </row>
    <row r="1078" spans="3:3" ht="15" x14ac:dyDescent="0.25">
      <c r="C1078" s="95"/>
    </row>
    <row r="1079" spans="3:3" ht="15" x14ac:dyDescent="0.25">
      <c r="C1079" s="95"/>
    </row>
    <row r="1080" spans="3:3" ht="15" x14ac:dyDescent="0.25">
      <c r="C1080" s="95"/>
    </row>
    <row r="1081" spans="3:3" ht="15" x14ac:dyDescent="0.25">
      <c r="C1081" s="95"/>
    </row>
    <row r="1082" spans="3:3" ht="15" x14ac:dyDescent="0.25">
      <c r="C1082" s="95"/>
    </row>
    <row r="1083" spans="3:3" ht="15" x14ac:dyDescent="0.25">
      <c r="C1083" s="95"/>
    </row>
    <row r="1084" spans="3:3" ht="15" x14ac:dyDescent="0.25">
      <c r="C1084" s="95"/>
    </row>
    <row r="1085" spans="3:3" ht="15" x14ac:dyDescent="0.25">
      <c r="C1085" s="95"/>
    </row>
    <row r="1086" spans="3:3" ht="15" x14ac:dyDescent="0.25">
      <c r="C1086" s="95"/>
    </row>
    <row r="1087" spans="3:3" ht="15" x14ac:dyDescent="0.25">
      <c r="C1087" s="95"/>
    </row>
    <row r="1088" spans="3:3" ht="15" x14ac:dyDescent="0.25">
      <c r="C1088" s="95"/>
    </row>
    <row r="1089" spans="3:3" ht="15" x14ac:dyDescent="0.25">
      <c r="C1089" s="95"/>
    </row>
    <row r="1090" spans="3:3" ht="15" x14ac:dyDescent="0.25">
      <c r="C1090" s="95"/>
    </row>
    <row r="1091" spans="3:3" ht="15" x14ac:dyDescent="0.25">
      <c r="C1091" s="95"/>
    </row>
    <row r="1092" spans="3:3" ht="15" x14ac:dyDescent="0.25">
      <c r="C1092" s="95"/>
    </row>
    <row r="1093" spans="3:3" ht="15" x14ac:dyDescent="0.25">
      <c r="C1093" s="95"/>
    </row>
    <row r="1094" spans="3:3" ht="15" x14ac:dyDescent="0.25">
      <c r="C1094" s="95"/>
    </row>
    <row r="1095" spans="3:3" ht="15" x14ac:dyDescent="0.25">
      <c r="C1095" s="95"/>
    </row>
    <row r="1096" spans="3:3" ht="15" x14ac:dyDescent="0.25">
      <c r="C1096" s="95"/>
    </row>
    <row r="1097" spans="3:3" ht="15" x14ac:dyDescent="0.25">
      <c r="C1097" s="95"/>
    </row>
    <row r="1098" spans="3:3" ht="15" x14ac:dyDescent="0.25">
      <c r="C1098" s="95"/>
    </row>
    <row r="1099" spans="3:3" ht="15" x14ac:dyDescent="0.25">
      <c r="C1099" s="95"/>
    </row>
    <row r="1100" spans="3:3" ht="15" x14ac:dyDescent="0.25">
      <c r="C1100" s="95"/>
    </row>
    <row r="1101" spans="3:3" ht="15" x14ac:dyDescent="0.25">
      <c r="C1101" s="95"/>
    </row>
    <row r="1102" spans="3:3" ht="15" x14ac:dyDescent="0.25">
      <c r="C1102" s="95"/>
    </row>
    <row r="1103" spans="3:3" ht="15" x14ac:dyDescent="0.25">
      <c r="C1103" s="95"/>
    </row>
    <row r="1104" spans="3:3" ht="15" x14ac:dyDescent="0.25">
      <c r="C1104" s="95"/>
    </row>
    <row r="1105" spans="3:3" ht="15" x14ac:dyDescent="0.25">
      <c r="C1105" s="95"/>
    </row>
    <row r="1106" spans="3:3" ht="15" x14ac:dyDescent="0.25">
      <c r="C1106" s="95"/>
    </row>
    <row r="1107" spans="3:3" ht="15" x14ac:dyDescent="0.25">
      <c r="C1107" s="95"/>
    </row>
    <row r="1108" spans="3:3" ht="15" x14ac:dyDescent="0.25">
      <c r="C1108" s="95"/>
    </row>
    <row r="1109" spans="3:3" ht="15" x14ac:dyDescent="0.25">
      <c r="C1109" s="95"/>
    </row>
    <row r="1110" spans="3:3" ht="15" x14ac:dyDescent="0.25">
      <c r="C1110" s="95"/>
    </row>
    <row r="1111" spans="3:3" ht="15" x14ac:dyDescent="0.25">
      <c r="C1111" s="95"/>
    </row>
    <row r="1112" spans="3:3" ht="15" x14ac:dyDescent="0.25">
      <c r="C1112" s="95"/>
    </row>
    <row r="1113" spans="3:3" ht="15" x14ac:dyDescent="0.25">
      <c r="C1113" s="95"/>
    </row>
    <row r="1114" spans="3:3" ht="15" x14ac:dyDescent="0.25">
      <c r="C1114" s="95"/>
    </row>
    <row r="1115" spans="3:3" ht="15" x14ac:dyDescent="0.25">
      <c r="C1115" s="95"/>
    </row>
    <row r="1116" spans="3:3" ht="15" x14ac:dyDescent="0.25">
      <c r="C1116" s="95"/>
    </row>
    <row r="1117" spans="3:3" ht="15" x14ac:dyDescent="0.25">
      <c r="C1117" s="95"/>
    </row>
    <row r="1118" spans="3:3" ht="15" x14ac:dyDescent="0.25">
      <c r="C1118" s="95"/>
    </row>
    <row r="1119" spans="3:3" ht="15" x14ac:dyDescent="0.25">
      <c r="C1119" s="95"/>
    </row>
    <row r="1120" spans="3:3" ht="15" x14ac:dyDescent="0.25">
      <c r="C1120" s="95"/>
    </row>
    <row r="1121" spans="3:3" ht="15" x14ac:dyDescent="0.25">
      <c r="C1121" s="95"/>
    </row>
    <row r="1122" spans="3:3" ht="15" x14ac:dyDescent="0.25">
      <c r="C1122" s="95"/>
    </row>
    <row r="1123" spans="3:3" ht="15" x14ac:dyDescent="0.25">
      <c r="C1123" s="95"/>
    </row>
    <row r="1124" spans="3:3" ht="15" x14ac:dyDescent="0.25">
      <c r="C1124" s="95"/>
    </row>
    <row r="1125" spans="3:3" ht="15" x14ac:dyDescent="0.25">
      <c r="C1125" s="95"/>
    </row>
    <row r="1126" spans="3:3" ht="15" x14ac:dyDescent="0.25">
      <c r="C1126" s="95"/>
    </row>
    <row r="1127" spans="3:3" ht="15" x14ac:dyDescent="0.25">
      <c r="C1127" s="95"/>
    </row>
    <row r="1128" spans="3:3" ht="15" x14ac:dyDescent="0.25">
      <c r="C1128" s="95"/>
    </row>
    <row r="1129" spans="3:3" ht="15" x14ac:dyDescent="0.25">
      <c r="C1129" s="95"/>
    </row>
    <row r="1130" spans="3:3" ht="15" x14ac:dyDescent="0.25">
      <c r="C1130" s="95"/>
    </row>
    <row r="1131" spans="3:3" ht="15" x14ac:dyDescent="0.25">
      <c r="C1131" s="95"/>
    </row>
    <row r="1132" spans="3:3" ht="15" x14ac:dyDescent="0.25">
      <c r="C1132" s="95"/>
    </row>
    <row r="1133" spans="3:3" ht="15" x14ac:dyDescent="0.25">
      <c r="C1133" s="95"/>
    </row>
    <row r="1134" spans="3:3" ht="15" x14ac:dyDescent="0.25">
      <c r="C1134" s="95"/>
    </row>
    <row r="1135" spans="3:3" ht="15" x14ac:dyDescent="0.25">
      <c r="C1135" s="95"/>
    </row>
    <row r="1136" spans="3:3" ht="15" x14ac:dyDescent="0.25">
      <c r="C1136" s="95"/>
    </row>
    <row r="1137" spans="3:3" ht="15" x14ac:dyDescent="0.25">
      <c r="C1137" s="95"/>
    </row>
    <row r="1138" spans="3:3" ht="15" x14ac:dyDescent="0.25">
      <c r="C1138" s="95"/>
    </row>
    <row r="1139" spans="3:3" ht="15" x14ac:dyDescent="0.25">
      <c r="C1139" s="95"/>
    </row>
    <row r="1140" spans="3:3" ht="15" x14ac:dyDescent="0.25">
      <c r="C1140" s="95"/>
    </row>
    <row r="1141" spans="3:3" ht="15" x14ac:dyDescent="0.25">
      <c r="C1141" s="95"/>
    </row>
    <row r="1142" spans="3:3" ht="15" x14ac:dyDescent="0.25">
      <c r="C1142" s="95"/>
    </row>
    <row r="1143" spans="3:3" ht="15" x14ac:dyDescent="0.25">
      <c r="C1143" s="95"/>
    </row>
    <row r="1144" spans="3:3" ht="15" x14ac:dyDescent="0.25">
      <c r="C1144" s="95"/>
    </row>
    <row r="1145" spans="3:3" ht="15" x14ac:dyDescent="0.25">
      <c r="C1145" s="95"/>
    </row>
    <row r="1146" spans="3:3" ht="15" x14ac:dyDescent="0.25">
      <c r="C1146" s="95"/>
    </row>
    <row r="1147" spans="3:3" ht="15" x14ac:dyDescent="0.25">
      <c r="C1147" s="95"/>
    </row>
    <row r="1148" spans="3:3" ht="15" x14ac:dyDescent="0.25">
      <c r="C1148" s="95"/>
    </row>
    <row r="1149" spans="3:3" ht="15" x14ac:dyDescent="0.25">
      <c r="C1149" s="95"/>
    </row>
    <row r="1150" spans="3:3" ht="15" x14ac:dyDescent="0.25">
      <c r="C1150" s="95"/>
    </row>
    <row r="1151" spans="3:3" ht="15" x14ac:dyDescent="0.25">
      <c r="C1151" s="95"/>
    </row>
    <row r="1152" spans="3:3" ht="15" x14ac:dyDescent="0.25">
      <c r="C1152" s="95"/>
    </row>
    <row r="1153" spans="3:3" ht="15" x14ac:dyDescent="0.25">
      <c r="C1153" s="95"/>
    </row>
    <row r="1154" spans="3:3" ht="15" x14ac:dyDescent="0.25">
      <c r="C1154" s="95"/>
    </row>
    <row r="1155" spans="3:3" ht="15" x14ac:dyDescent="0.25">
      <c r="C1155" s="95"/>
    </row>
    <row r="1156" spans="3:3" ht="15" x14ac:dyDescent="0.25">
      <c r="C1156" s="95"/>
    </row>
    <row r="1157" spans="3:3" ht="15" x14ac:dyDescent="0.25">
      <c r="C1157" s="95"/>
    </row>
    <row r="1158" spans="3:3" ht="15" x14ac:dyDescent="0.25">
      <c r="C1158" s="95"/>
    </row>
    <row r="1159" spans="3:3" ht="15" x14ac:dyDescent="0.25">
      <c r="C1159" s="95"/>
    </row>
    <row r="1160" spans="3:3" ht="15" x14ac:dyDescent="0.25">
      <c r="C1160" s="95"/>
    </row>
    <row r="1161" spans="3:3" ht="15" x14ac:dyDescent="0.25">
      <c r="C1161" s="95"/>
    </row>
    <row r="1162" spans="3:3" ht="15" x14ac:dyDescent="0.25">
      <c r="C1162" s="95"/>
    </row>
    <row r="1163" spans="3:3" ht="15" x14ac:dyDescent="0.25">
      <c r="C1163" s="95"/>
    </row>
    <row r="1164" spans="3:3" ht="15" x14ac:dyDescent="0.25">
      <c r="C1164" s="95"/>
    </row>
    <row r="1165" spans="3:3" ht="15" x14ac:dyDescent="0.25">
      <c r="C1165" s="95"/>
    </row>
    <row r="1166" spans="3:3" ht="15" x14ac:dyDescent="0.25">
      <c r="C1166" s="95"/>
    </row>
    <row r="1167" spans="3:3" ht="15" x14ac:dyDescent="0.25">
      <c r="C1167" s="95"/>
    </row>
    <row r="1168" spans="3:3" ht="15" x14ac:dyDescent="0.25">
      <c r="C1168" s="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AX106"/>
  <sheetViews>
    <sheetView workbookViewId="0"/>
  </sheetViews>
  <sheetFormatPr baseColWidth="10" defaultColWidth="12.5703125" defaultRowHeight="15.75" customHeight="1" x14ac:dyDescent="0.2"/>
  <cols>
    <col min="1" max="1" width="5" customWidth="1"/>
    <col min="2" max="2" width="39.140625" customWidth="1"/>
    <col min="3" max="3" width="11.140625" customWidth="1"/>
    <col min="4" max="7" width="9.85546875" customWidth="1"/>
    <col min="8" max="8" width="8.5703125" customWidth="1"/>
    <col min="9" max="12" width="16.140625" customWidth="1"/>
    <col min="13" max="50" width="8.42578125" customWidth="1"/>
  </cols>
  <sheetData>
    <row r="1" spans="1:50" ht="12.75" x14ac:dyDescent="0.2">
      <c r="C1" s="96"/>
      <c r="D1" s="96"/>
      <c r="E1" s="96"/>
      <c r="F1" s="96"/>
      <c r="G1" s="96"/>
      <c r="H1" s="96"/>
      <c r="I1" s="96"/>
      <c r="J1" s="96"/>
      <c r="K1" s="96"/>
      <c r="L1" s="74" t="s">
        <v>4</v>
      </c>
      <c r="M1" s="86" t="s">
        <v>625</v>
      </c>
      <c r="N1" s="86" t="s">
        <v>836</v>
      </c>
      <c r="O1" s="86" t="s">
        <v>854</v>
      </c>
      <c r="P1" s="86" t="s">
        <v>766</v>
      </c>
      <c r="Q1" s="86" t="s">
        <v>627</v>
      </c>
      <c r="R1" s="86" t="s">
        <v>639</v>
      </c>
      <c r="S1" s="86" t="s">
        <v>758</v>
      </c>
      <c r="T1" s="86" t="s">
        <v>768</v>
      </c>
      <c r="U1" s="86" t="s">
        <v>641</v>
      </c>
      <c r="V1" s="86" t="s">
        <v>649</v>
      </c>
      <c r="W1" s="86" t="s">
        <v>629</v>
      </c>
      <c r="X1" s="86" t="s">
        <v>850</v>
      </c>
      <c r="Y1" s="86" t="s">
        <v>617</v>
      </c>
      <c r="Z1" s="86" t="s">
        <v>774</v>
      </c>
      <c r="AA1" s="86" t="s">
        <v>643</v>
      </c>
      <c r="AB1" s="86" t="s">
        <v>619</v>
      </c>
      <c r="AC1" s="86" t="s">
        <v>651</v>
      </c>
      <c r="AD1" s="86" t="s">
        <v>653</v>
      </c>
      <c r="AE1" s="86" t="s">
        <v>760</v>
      </c>
      <c r="AF1" s="86" t="s">
        <v>631</v>
      </c>
      <c r="AG1" s="86" t="s">
        <v>838</v>
      </c>
      <c r="AH1" s="86" t="s">
        <v>645</v>
      </c>
      <c r="AI1" s="86" t="s">
        <v>647</v>
      </c>
      <c r="AJ1" s="86" t="s">
        <v>621</v>
      </c>
      <c r="AK1" s="86" t="s">
        <v>776</v>
      </c>
      <c r="AL1" s="86" t="s">
        <v>623</v>
      </c>
      <c r="AM1" s="86" t="s">
        <v>770</v>
      </c>
      <c r="AN1" s="86" t="s">
        <v>655</v>
      </c>
      <c r="AO1" s="86" t="s">
        <v>657</v>
      </c>
      <c r="AP1" s="86" t="s">
        <v>659</v>
      </c>
      <c r="AQ1" s="86" t="s">
        <v>756</v>
      </c>
      <c r="AR1" s="86" t="s">
        <v>1205</v>
      </c>
      <c r="AS1" s="86" t="s">
        <v>1207</v>
      </c>
      <c r="AT1" s="86" t="s">
        <v>852</v>
      </c>
      <c r="AU1" s="86" t="s">
        <v>840</v>
      </c>
      <c r="AV1" s="86" t="s">
        <v>871</v>
      </c>
      <c r="AW1" s="86" t="s">
        <v>848</v>
      </c>
      <c r="AX1" s="86" t="s">
        <v>762</v>
      </c>
    </row>
    <row r="2" spans="1:50" ht="56.25" x14ac:dyDescent="0.2">
      <c r="C2" s="96"/>
      <c r="D2" s="96"/>
      <c r="E2" s="96"/>
      <c r="F2" s="96"/>
      <c r="G2" s="96"/>
      <c r="H2" s="96"/>
      <c r="I2" s="96"/>
      <c r="J2" s="96"/>
      <c r="K2" s="96"/>
      <c r="L2" s="75" t="s">
        <v>101</v>
      </c>
      <c r="M2" s="83" t="s">
        <v>626</v>
      </c>
      <c r="N2" s="83" t="s">
        <v>837</v>
      </c>
      <c r="O2" s="83" t="s">
        <v>855</v>
      </c>
      <c r="P2" s="83" t="s">
        <v>767</v>
      </c>
      <c r="Q2" s="83" t="s">
        <v>628</v>
      </c>
      <c r="R2" s="83" t="s">
        <v>1224</v>
      </c>
      <c r="S2" s="83" t="s">
        <v>1225</v>
      </c>
      <c r="T2" s="83" t="s">
        <v>769</v>
      </c>
      <c r="U2" s="83" t="s">
        <v>642</v>
      </c>
      <c r="V2" s="83" t="s">
        <v>650</v>
      </c>
      <c r="W2" s="83" t="s">
        <v>630</v>
      </c>
      <c r="X2" s="83" t="s">
        <v>851</v>
      </c>
      <c r="Y2" s="83" t="s">
        <v>618</v>
      </c>
      <c r="Z2" s="83" t="s">
        <v>775</v>
      </c>
      <c r="AA2" s="83" t="s">
        <v>644</v>
      </c>
      <c r="AB2" s="83" t="s">
        <v>620</v>
      </c>
      <c r="AC2" s="83" t="s">
        <v>1226</v>
      </c>
      <c r="AD2" s="83" t="s">
        <v>654</v>
      </c>
      <c r="AE2" s="83" t="s">
        <v>761</v>
      </c>
      <c r="AF2" s="83" t="s">
        <v>632</v>
      </c>
      <c r="AG2" s="83" t="s">
        <v>839</v>
      </c>
      <c r="AH2" s="83" t="s">
        <v>1227</v>
      </c>
      <c r="AI2" s="83" t="s">
        <v>648</v>
      </c>
      <c r="AJ2" s="83" t="s">
        <v>622</v>
      </c>
      <c r="AK2" s="83" t="s">
        <v>777</v>
      </c>
      <c r="AL2" s="83" t="s">
        <v>624</v>
      </c>
      <c r="AM2" s="83" t="s">
        <v>771</v>
      </c>
      <c r="AN2" s="83" t="s">
        <v>656</v>
      </c>
      <c r="AO2" s="83" t="s">
        <v>1228</v>
      </c>
      <c r="AP2" s="83" t="s">
        <v>1229</v>
      </c>
      <c r="AQ2" s="83" t="s">
        <v>757</v>
      </c>
      <c r="AR2" s="83" t="s">
        <v>1206</v>
      </c>
      <c r="AS2" s="83" t="s">
        <v>1208</v>
      </c>
      <c r="AT2" s="83" t="s">
        <v>853</v>
      </c>
      <c r="AU2" s="83" t="s">
        <v>1230</v>
      </c>
      <c r="AV2" s="83" t="s">
        <v>872</v>
      </c>
      <c r="AW2" s="83" t="s">
        <v>849</v>
      </c>
      <c r="AX2" s="83" t="s">
        <v>1231</v>
      </c>
    </row>
    <row r="3" spans="1:50" ht="12.75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76" t="s">
        <v>197</v>
      </c>
      <c r="M3" s="80">
        <v>3</v>
      </c>
      <c r="N3" s="80">
        <v>2</v>
      </c>
      <c r="O3" s="80">
        <v>2</v>
      </c>
      <c r="P3" s="80">
        <v>2</v>
      </c>
      <c r="Q3" s="80">
        <v>2</v>
      </c>
      <c r="R3" s="80">
        <v>3</v>
      </c>
      <c r="S3" s="80">
        <v>2</v>
      </c>
      <c r="T3" s="80">
        <v>2</v>
      </c>
      <c r="U3" s="80">
        <v>2</v>
      </c>
      <c r="V3" s="80">
        <v>2</v>
      </c>
      <c r="W3" s="80">
        <v>2</v>
      </c>
      <c r="X3" s="80">
        <v>2</v>
      </c>
      <c r="Y3" s="80">
        <v>3</v>
      </c>
      <c r="Z3" s="80">
        <v>2</v>
      </c>
      <c r="AA3" s="80">
        <v>2</v>
      </c>
      <c r="AB3" s="80">
        <v>2</v>
      </c>
      <c r="AC3" s="80">
        <v>3</v>
      </c>
      <c r="AD3" s="80">
        <v>2</v>
      </c>
      <c r="AE3" s="80">
        <v>3</v>
      </c>
      <c r="AF3" s="80">
        <v>3</v>
      </c>
      <c r="AG3" s="80">
        <v>2</v>
      </c>
      <c r="AH3" s="80">
        <v>3</v>
      </c>
      <c r="AI3" s="80">
        <v>1</v>
      </c>
      <c r="AJ3" s="80">
        <v>2</v>
      </c>
      <c r="AK3" s="80">
        <v>3</v>
      </c>
      <c r="AL3" s="80">
        <v>2</v>
      </c>
      <c r="AM3" s="80">
        <v>2</v>
      </c>
      <c r="AN3" s="80">
        <v>2</v>
      </c>
      <c r="AO3" s="80">
        <v>3</v>
      </c>
      <c r="AP3" s="80">
        <v>3</v>
      </c>
      <c r="AQ3" s="80">
        <v>3</v>
      </c>
      <c r="AR3" s="80">
        <v>3</v>
      </c>
      <c r="AS3" s="80">
        <v>3</v>
      </c>
      <c r="AT3" s="80">
        <v>3</v>
      </c>
      <c r="AU3" s="80">
        <v>3</v>
      </c>
      <c r="AV3" s="80">
        <v>3</v>
      </c>
      <c r="AW3" s="80">
        <v>3</v>
      </c>
      <c r="AX3" s="80">
        <v>4</v>
      </c>
    </row>
    <row r="4" spans="1:50" ht="24" x14ac:dyDescent="0.2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76" t="s">
        <v>201</v>
      </c>
      <c r="M4" s="80" t="s">
        <v>202</v>
      </c>
      <c r="N4" s="80" t="s">
        <v>202</v>
      </c>
      <c r="O4" s="80" t="s">
        <v>202</v>
      </c>
      <c r="P4" s="80" t="s">
        <v>202</v>
      </c>
      <c r="Q4" s="80" t="s">
        <v>202</v>
      </c>
      <c r="R4" s="80" t="s">
        <v>202</v>
      </c>
      <c r="S4" s="80" t="s">
        <v>202</v>
      </c>
      <c r="T4" s="80" t="s">
        <v>202</v>
      </c>
      <c r="U4" s="80" t="s">
        <v>202</v>
      </c>
      <c r="V4" s="80" t="s">
        <v>202</v>
      </c>
      <c r="W4" s="80" t="s">
        <v>202</v>
      </c>
      <c r="X4" s="80" t="s">
        <v>202</v>
      </c>
      <c r="Y4" s="80" t="s">
        <v>202</v>
      </c>
      <c r="Z4" s="80" t="s">
        <v>202</v>
      </c>
      <c r="AA4" s="80" t="s">
        <v>202</v>
      </c>
      <c r="AB4" s="80" t="s">
        <v>202</v>
      </c>
      <c r="AC4" s="80" t="s">
        <v>202</v>
      </c>
      <c r="AD4" s="80" t="s">
        <v>202</v>
      </c>
      <c r="AE4" s="80" t="s">
        <v>202</v>
      </c>
      <c r="AF4" s="80" t="s">
        <v>202</v>
      </c>
      <c r="AG4" s="80" t="s">
        <v>202</v>
      </c>
      <c r="AH4" s="80" t="s">
        <v>202</v>
      </c>
      <c r="AI4" s="80" t="s">
        <v>202</v>
      </c>
      <c r="AJ4" s="80" t="s">
        <v>202</v>
      </c>
      <c r="AK4" s="80" t="s">
        <v>202</v>
      </c>
      <c r="AL4" s="80" t="s">
        <v>202</v>
      </c>
      <c r="AM4" s="80" t="s">
        <v>202</v>
      </c>
      <c r="AN4" s="80" t="s">
        <v>202</v>
      </c>
      <c r="AO4" s="80" t="s">
        <v>202</v>
      </c>
      <c r="AP4" s="80" t="s">
        <v>202</v>
      </c>
      <c r="AQ4" s="80" t="s">
        <v>202</v>
      </c>
      <c r="AR4" s="80" t="s">
        <v>202</v>
      </c>
      <c r="AS4" s="80" t="s">
        <v>202</v>
      </c>
      <c r="AT4" s="80" t="s">
        <v>202</v>
      </c>
      <c r="AU4" s="80" t="s">
        <v>202</v>
      </c>
      <c r="AV4" s="80" t="s">
        <v>202</v>
      </c>
      <c r="AW4" s="80" t="s">
        <v>202</v>
      </c>
      <c r="AX4" s="80" t="s">
        <v>202</v>
      </c>
    </row>
    <row r="5" spans="1:50" ht="24" x14ac:dyDescent="0.2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76" t="s">
        <v>204</v>
      </c>
      <c r="M5" s="97">
        <v>2</v>
      </c>
      <c r="N5" s="97">
        <v>2</v>
      </c>
      <c r="O5" s="97">
        <v>2</v>
      </c>
      <c r="P5" s="97">
        <v>2</v>
      </c>
      <c r="Q5" s="97">
        <v>2</v>
      </c>
      <c r="R5" s="97">
        <v>2</v>
      </c>
      <c r="S5" s="97">
        <v>2</v>
      </c>
      <c r="T5" s="97">
        <v>2</v>
      </c>
      <c r="U5" s="97">
        <v>2</v>
      </c>
      <c r="V5" s="97">
        <v>2</v>
      </c>
      <c r="W5" s="97">
        <v>2</v>
      </c>
      <c r="X5" s="97">
        <v>1</v>
      </c>
      <c r="Y5" s="97">
        <v>1</v>
      </c>
      <c r="Z5" s="97">
        <v>2</v>
      </c>
      <c r="AA5" s="97">
        <v>2</v>
      </c>
      <c r="AB5" s="97">
        <v>1</v>
      </c>
      <c r="AC5" s="97">
        <v>2</v>
      </c>
      <c r="AD5" s="97">
        <v>2</v>
      </c>
      <c r="AE5" s="97">
        <v>2</v>
      </c>
      <c r="AF5" s="97">
        <v>1</v>
      </c>
      <c r="AG5" s="97">
        <v>2</v>
      </c>
      <c r="AH5" s="97">
        <v>1</v>
      </c>
      <c r="AI5" s="97">
        <v>1</v>
      </c>
      <c r="AJ5" s="97">
        <v>1</v>
      </c>
      <c r="AK5" s="97">
        <v>1</v>
      </c>
      <c r="AL5" s="97">
        <v>1</v>
      </c>
      <c r="AM5" s="97">
        <v>2</v>
      </c>
      <c r="AN5" s="97">
        <v>2</v>
      </c>
      <c r="AO5" s="97">
        <v>2</v>
      </c>
      <c r="AP5" s="97">
        <v>2</v>
      </c>
      <c r="AQ5" s="97">
        <v>2</v>
      </c>
      <c r="AR5" s="97">
        <v>2</v>
      </c>
      <c r="AS5" s="97">
        <v>2</v>
      </c>
      <c r="AT5" s="97">
        <v>2</v>
      </c>
      <c r="AU5" s="97">
        <v>2</v>
      </c>
      <c r="AV5" s="97">
        <v>2</v>
      </c>
      <c r="AW5" s="97">
        <v>2</v>
      </c>
      <c r="AX5" s="97">
        <v>2</v>
      </c>
    </row>
    <row r="6" spans="1:50" ht="24" x14ac:dyDescent="0.2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76" t="s">
        <v>206</v>
      </c>
      <c r="M6" s="80">
        <v>90296.333329999994</v>
      </c>
      <c r="N6" s="80">
        <v>124927</v>
      </c>
      <c r="O6" s="80">
        <v>51647.666669999999</v>
      </c>
      <c r="P6" s="80">
        <v>70541.333329999994</v>
      </c>
      <c r="Q6" s="80">
        <v>103269.3333</v>
      </c>
      <c r="R6" s="80">
        <v>39699.666669999999</v>
      </c>
      <c r="S6" s="80">
        <v>106926</v>
      </c>
      <c r="T6" s="80">
        <v>63695</v>
      </c>
      <c r="U6" s="80">
        <v>44091.666669999999</v>
      </c>
      <c r="V6" s="80">
        <v>92505</v>
      </c>
      <c r="W6" s="80">
        <v>88250.666670000006</v>
      </c>
      <c r="X6" s="80">
        <v>80932.333329999994</v>
      </c>
      <c r="Y6" s="80">
        <v>121646.6667</v>
      </c>
      <c r="Z6" s="80">
        <v>113607.3333</v>
      </c>
      <c r="AA6" s="80">
        <v>77033.666670000006</v>
      </c>
      <c r="AB6" s="80">
        <v>106846.3333</v>
      </c>
      <c r="AC6" s="80">
        <v>83808.333329999994</v>
      </c>
      <c r="AD6" s="80">
        <v>92037</v>
      </c>
      <c r="AE6" s="80">
        <v>79659</v>
      </c>
      <c r="AF6" s="80">
        <v>79749</v>
      </c>
      <c r="AG6" s="80">
        <v>54773</v>
      </c>
      <c r="AH6" s="80">
        <v>51463.666669999999</v>
      </c>
      <c r="AI6" s="80">
        <v>82851.666670000006</v>
      </c>
      <c r="AJ6" s="80">
        <v>100680.6667</v>
      </c>
      <c r="AK6" s="80">
        <v>67552</v>
      </c>
      <c r="AL6" s="80">
        <v>110469</v>
      </c>
      <c r="AM6" s="80">
        <v>110919.6667</v>
      </c>
      <c r="AN6" s="80">
        <v>102363</v>
      </c>
      <c r="AO6" s="80">
        <v>167146</v>
      </c>
      <c r="AP6" s="80">
        <v>106468.6667</v>
      </c>
      <c r="AQ6" s="80">
        <v>228063.6667</v>
      </c>
      <c r="AR6" s="80">
        <v>43229</v>
      </c>
      <c r="AS6" s="80">
        <v>90127</v>
      </c>
      <c r="AT6" s="80">
        <v>125367.6667</v>
      </c>
      <c r="AU6" s="80">
        <v>85998</v>
      </c>
      <c r="AV6" s="80">
        <v>308781</v>
      </c>
      <c r="AW6" s="80">
        <v>255657.3333</v>
      </c>
      <c r="AX6" s="80">
        <v>270272.6667</v>
      </c>
    </row>
    <row r="7" spans="1:50" ht="12.75" x14ac:dyDescent="0.2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76" t="s">
        <v>1232</v>
      </c>
      <c r="M7" s="98">
        <v>1.7000000000000001E-2</v>
      </c>
      <c r="N7" s="98">
        <v>1.2999999999999999E-2</v>
      </c>
      <c r="O7" s="98">
        <v>1.0999999999999999E-2</v>
      </c>
      <c r="P7" s="98">
        <v>8.9999999999999993E-3</v>
      </c>
      <c r="Q7" s="98">
        <v>1.2E-2</v>
      </c>
      <c r="R7" s="98">
        <v>8.0000000000000002E-3</v>
      </c>
      <c r="S7" s="98">
        <v>1.0999999999999999E-2</v>
      </c>
      <c r="T7" s="98">
        <v>8.0000000000000002E-3</v>
      </c>
      <c r="U7" s="98">
        <v>0.01</v>
      </c>
      <c r="V7" s="98">
        <v>1.7999999999999999E-2</v>
      </c>
      <c r="W7" s="98">
        <v>1.4E-2</v>
      </c>
      <c r="X7" s="98">
        <v>1.2E-2</v>
      </c>
      <c r="Y7" s="98">
        <v>2.1999999999999999E-2</v>
      </c>
      <c r="Z7" s="98">
        <v>1.2999999999999999E-2</v>
      </c>
      <c r="AA7" s="98">
        <v>1.0999999999999999E-2</v>
      </c>
      <c r="AB7" s="98">
        <v>1.4999999999999999E-2</v>
      </c>
      <c r="AC7" s="98">
        <v>8.0000000000000002E-3</v>
      </c>
      <c r="AD7" s="98">
        <v>1.6E-2</v>
      </c>
      <c r="AE7" s="98">
        <v>1.2E-2</v>
      </c>
      <c r="AF7" s="98">
        <v>1.2999999999999999E-2</v>
      </c>
      <c r="AG7" s="98">
        <v>0.01</v>
      </c>
      <c r="AH7" s="98">
        <v>6.0000000000000001E-3</v>
      </c>
      <c r="AI7" s="98">
        <v>0.01</v>
      </c>
      <c r="AJ7" s="98">
        <v>8.9999999999999993E-3</v>
      </c>
      <c r="AK7" s="98">
        <v>1.2E-2</v>
      </c>
      <c r="AL7" s="98">
        <v>2.1999999999999999E-2</v>
      </c>
      <c r="AM7" s="98">
        <v>1.2999999999999999E-2</v>
      </c>
      <c r="AN7" s="98">
        <v>1.4E-2</v>
      </c>
      <c r="AO7" s="98">
        <v>2.3E-2</v>
      </c>
      <c r="AP7" s="98">
        <v>1.7999999999999999E-2</v>
      </c>
      <c r="AQ7" s="98">
        <v>0.02</v>
      </c>
      <c r="AR7" s="98">
        <v>1.9E-2</v>
      </c>
      <c r="AS7" s="98">
        <v>1.7999999999999999E-2</v>
      </c>
      <c r="AT7" s="98">
        <v>2.4E-2</v>
      </c>
      <c r="AU7" s="98">
        <v>2.1000000000000001E-2</v>
      </c>
      <c r="AV7" s="98">
        <v>3.5999999999999997E-2</v>
      </c>
      <c r="AW7" s="98">
        <v>4.7E-2</v>
      </c>
      <c r="AX7" s="98">
        <v>2.9000000000000001E-2</v>
      </c>
    </row>
    <row r="8" spans="1:50" ht="24" x14ac:dyDescent="0.2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75" t="s">
        <v>207</v>
      </c>
      <c r="M8" s="81" t="s">
        <v>208</v>
      </c>
      <c r="N8" s="81" t="s">
        <v>208</v>
      </c>
      <c r="O8" s="81" t="s">
        <v>208</v>
      </c>
      <c r="P8" s="81" t="s">
        <v>208</v>
      </c>
      <c r="Q8" s="81" t="s">
        <v>208</v>
      </c>
      <c r="R8" s="81" t="s">
        <v>208</v>
      </c>
      <c r="S8" s="81" t="s">
        <v>208</v>
      </c>
      <c r="T8" s="81" t="s">
        <v>208</v>
      </c>
      <c r="U8" s="81" t="s">
        <v>208</v>
      </c>
      <c r="V8" s="81" t="s">
        <v>208</v>
      </c>
      <c r="W8" s="81" t="s">
        <v>208</v>
      </c>
      <c r="X8" s="81" t="s">
        <v>208</v>
      </c>
      <c r="Y8" s="81" t="s">
        <v>208</v>
      </c>
      <c r="Z8" s="81" t="s">
        <v>208</v>
      </c>
      <c r="AA8" s="81" t="s">
        <v>208</v>
      </c>
      <c r="AB8" s="81" t="s">
        <v>208</v>
      </c>
      <c r="AC8" s="81" t="s">
        <v>208</v>
      </c>
      <c r="AD8" s="81" t="s">
        <v>208</v>
      </c>
      <c r="AE8" s="81" t="s">
        <v>208</v>
      </c>
      <c r="AF8" s="81" t="s">
        <v>208</v>
      </c>
      <c r="AG8" s="81" t="s">
        <v>208</v>
      </c>
      <c r="AH8" s="81" t="s">
        <v>208</v>
      </c>
      <c r="AI8" s="81" t="s">
        <v>208</v>
      </c>
      <c r="AJ8" s="81" t="s">
        <v>208</v>
      </c>
      <c r="AK8" s="81" t="s">
        <v>208</v>
      </c>
      <c r="AL8" s="81" t="s">
        <v>208</v>
      </c>
      <c r="AM8" s="81" t="s">
        <v>208</v>
      </c>
      <c r="AN8" s="81" t="s">
        <v>208</v>
      </c>
      <c r="AO8" s="81" t="s">
        <v>208</v>
      </c>
      <c r="AP8" s="81" t="s">
        <v>208</v>
      </c>
      <c r="AQ8" s="87" t="s">
        <v>209</v>
      </c>
      <c r="AR8" s="87" t="s">
        <v>209</v>
      </c>
      <c r="AS8" s="87" t="s">
        <v>209</v>
      </c>
      <c r="AT8" s="87" t="s">
        <v>209</v>
      </c>
      <c r="AU8" s="87" t="s">
        <v>209</v>
      </c>
      <c r="AV8" s="88" t="s">
        <v>210</v>
      </c>
      <c r="AW8" s="88" t="s">
        <v>210</v>
      </c>
      <c r="AX8" s="88" t="s">
        <v>210</v>
      </c>
    </row>
    <row r="9" spans="1:50" ht="36" x14ac:dyDescent="0.2">
      <c r="A9" s="99" t="s">
        <v>212</v>
      </c>
      <c r="B9" s="99" t="s">
        <v>213</v>
      </c>
      <c r="C9" s="99" t="s">
        <v>214</v>
      </c>
      <c r="D9" s="99" t="s">
        <v>215</v>
      </c>
      <c r="E9" s="99" t="s">
        <v>1233</v>
      </c>
      <c r="F9" s="99" t="s">
        <v>1234</v>
      </c>
      <c r="G9" s="99" t="s">
        <v>1235</v>
      </c>
      <c r="H9" s="99" t="s">
        <v>219</v>
      </c>
      <c r="I9" s="99" t="s">
        <v>220</v>
      </c>
      <c r="J9" s="99" t="s">
        <v>221</v>
      </c>
      <c r="K9" s="99" t="s">
        <v>222</v>
      </c>
      <c r="L9" s="99" t="s">
        <v>223</v>
      </c>
      <c r="M9" s="100">
        <v>18</v>
      </c>
      <c r="N9" s="100">
        <v>18</v>
      </c>
      <c r="O9" s="100">
        <v>18</v>
      </c>
      <c r="P9" s="100">
        <v>18</v>
      </c>
      <c r="Q9" s="100">
        <v>18</v>
      </c>
      <c r="R9" s="100">
        <v>18</v>
      </c>
      <c r="S9" s="100">
        <v>18</v>
      </c>
      <c r="T9" s="100">
        <v>18</v>
      </c>
      <c r="U9" s="100">
        <v>18</v>
      </c>
      <c r="V9" s="100">
        <v>18</v>
      </c>
      <c r="W9" s="100">
        <v>18</v>
      </c>
      <c r="X9" s="100">
        <v>18</v>
      </c>
      <c r="Y9" s="100">
        <v>18</v>
      </c>
      <c r="Z9" s="100">
        <v>18</v>
      </c>
      <c r="AA9" s="100">
        <v>18</v>
      </c>
      <c r="AB9" s="100">
        <v>18</v>
      </c>
      <c r="AC9" s="100">
        <v>18</v>
      </c>
      <c r="AD9" s="100">
        <v>18</v>
      </c>
      <c r="AE9" s="100">
        <v>18</v>
      </c>
      <c r="AF9" s="100">
        <v>18</v>
      </c>
      <c r="AG9" s="100">
        <v>18</v>
      </c>
      <c r="AH9" s="100">
        <v>18</v>
      </c>
      <c r="AI9" s="100">
        <v>18</v>
      </c>
      <c r="AJ9" s="100">
        <v>18</v>
      </c>
      <c r="AK9" s="100">
        <v>18</v>
      </c>
      <c r="AL9" s="100">
        <v>18</v>
      </c>
      <c r="AM9" s="100">
        <v>18</v>
      </c>
      <c r="AN9" s="100">
        <v>18</v>
      </c>
      <c r="AO9" s="100">
        <v>18</v>
      </c>
      <c r="AP9" s="100">
        <v>18</v>
      </c>
      <c r="AQ9" s="100">
        <v>31</v>
      </c>
      <c r="AR9" s="100">
        <v>31</v>
      </c>
      <c r="AS9" s="100">
        <v>31</v>
      </c>
      <c r="AT9" s="100">
        <v>31</v>
      </c>
      <c r="AU9" s="100">
        <v>31</v>
      </c>
      <c r="AV9" s="100">
        <v>42</v>
      </c>
      <c r="AW9" s="100">
        <v>42</v>
      </c>
      <c r="AX9" s="100">
        <v>42</v>
      </c>
    </row>
    <row r="10" spans="1:50" ht="12.75" hidden="1" x14ac:dyDescent="0.2">
      <c r="A10" s="101">
        <v>1561</v>
      </c>
      <c r="B10" s="102" t="s">
        <v>224</v>
      </c>
      <c r="C10" s="103" t="s">
        <v>100</v>
      </c>
      <c r="D10" s="103" t="s">
        <v>226</v>
      </c>
      <c r="E10" s="103">
        <v>1074733.3400000001</v>
      </c>
      <c r="F10" s="104">
        <v>0.21267866274053496</v>
      </c>
      <c r="G10" s="103">
        <v>5053320</v>
      </c>
      <c r="H10" s="105" t="s">
        <v>227</v>
      </c>
      <c r="I10" s="105">
        <v>1</v>
      </c>
      <c r="J10" s="105">
        <v>1</v>
      </c>
      <c r="K10" s="105">
        <v>1</v>
      </c>
      <c r="L10" s="105" t="s">
        <v>228</v>
      </c>
      <c r="M10" s="106" t="s">
        <v>229</v>
      </c>
      <c r="N10" s="106" t="s">
        <v>229</v>
      </c>
      <c r="O10" s="106" t="s">
        <v>229</v>
      </c>
      <c r="P10" s="106" t="s">
        <v>229</v>
      </c>
      <c r="Q10" s="106" t="s">
        <v>229</v>
      </c>
      <c r="R10" s="106" t="s">
        <v>229</v>
      </c>
      <c r="S10" s="106" t="s">
        <v>229</v>
      </c>
      <c r="T10" s="106" t="s">
        <v>229</v>
      </c>
      <c r="U10" s="106" t="s">
        <v>229</v>
      </c>
      <c r="V10" s="106" t="s">
        <v>229</v>
      </c>
      <c r="W10" s="106" t="s">
        <v>229</v>
      </c>
      <c r="X10" s="106" t="s">
        <v>229</v>
      </c>
      <c r="Y10" s="106" t="s">
        <v>229</v>
      </c>
      <c r="Z10" s="106" t="s">
        <v>229</v>
      </c>
      <c r="AA10" s="106" t="s">
        <v>229</v>
      </c>
      <c r="AB10" s="106" t="s">
        <v>229</v>
      </c>
      <c r="AC10" s="106" t="s">
        <v>229</v>
      </c>
      <c r="AD10" s="106" t="s">
        <v>229</v>
      </c>
      <c r="AE10" s="106" t="s">
        <v>229</v>
      </c>
      <c r="AF10" s="106" t="s">
        <v>229</v>
      </c>
      <c r="AG10" s="106" t="s">
        <v>229</v>
      </c>
      <c r="AH10" s="106" t="s">
        <v>229</v>
      </c>
      <c r="AI10" s="106" t="s">
        <v>229</v>
      </c>
      <c r="AJ10" s="106" t="s">
        <v>229</v>
      </c>
      <c r="AK10" s="106" t="s">
        <v>229</v>
      </c>
      <c r="AL10" s="106" t="s">
        <v>229</v>
      </c>
      <c r="AM10" s="106" t="s">
        <v>229</v>
      </c>
      <c r="AN10" s="106" t="s">
        <v>229</v>
      </c>
      <c r="AO10" s="106" t="s">
        <v>229</v>
      </c>
      <c r="AP10" s="106" t="s">
        <v>229</v>
      </c>
      <c r="AQ10" s="106" t="s">
        <v>229</v>
      </c>
      <c r="AR10" s="106" t="s">
        <v>229</v>
      </c>
      <c r="AS10" s="106" t="s">
        <v>229</v>
      </c>
      <c r="AT10" s="106" t="s">
        <v>229</v>
      </c>
      <c r="AU10" s="106" t="s">
        <v>229</v>
      </c>
      <c r="AV10" s="106" t="s">
        <v>229</v>
      </c>
      <c r="AW10" s="106" t="s">
        <v>229</v>
      </c>
      <c r="AX10" s="106" t="s">
        <v>229</v>
      </c>
    </row>
    <row r="11" spans="1:50" ht="12.75" hidden="1" x14ac:dyDescent="0.2">
      <c r="A11" s="101">
        <v>1074</v>
      </c>
      <c r="B11" s="102" t="s">
        <v>1236</v>
      </c>
      <c r="C11" s="103" t="s">
        <v>200</v>
      </c>
      <c r="D11" s="103" t="s">
        <v>226</v>
      </c>
      <c r="E11" s="103">
        <v>264052.52</v>
      </c>
      <c r="F11" s="104">
        <v>0.16702353677898454</v>
      </c>
      <c r="G11" s="103">
        <v>1580930</v>
      </c>
      <c r="H11" s="105" t="s">
        <v>227</v>
      </c>
      <c r="I11" s="105"/>
      <c r="J11" s="105">
        <v>1</v>
      </c>
      <c r="K11" s="105">
        <v>1</v>
      </c>
      <c r="L11" s="105" t="s">
        <v>232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 t="s">
        <v>229</v>
      </c>
      <c r="AR11" s="106" t="s">
        <v>229</v>
      </c>
      <c r="AS11" s="106" t="s">
        <v>229</v>
      </c>
      <c r="AT11" s="106" t="s">
        <v>229</v>
      </c>
      <c r="AU11" s="106" t="s">
        <v>229</v>
      </c>
      <c r="AV11" s="106"/>
      <c r="AW11" s="106"/>
      <c r="AX11" s="106"/>
    </row>
    <row r="12" spans="1:50" ht="12.75" hidden="1" x14ac:dyDescent="0.2">
      <c r="A12" s="101">
        <v>1819</v>
      </c>
      <c r="B12" s="102" t="s">
        <v>233</v>
      </c>
      <c r="C12" s="103" t="s">
        <v>200</v>
      </c>
      <c r="D12" s="103" t="s">
        <v>226</v>
      </c>
      <c r="E12" s="103">
        <v>33929.72</v>
      </c>
      <c r="F12" s="104">
        <v>0.10273638951129413</v>
      </c>
      <c r="G12" s="103">
        <v>330260</v>
      </c>
      <c r="H12" s="105" t="s">
        <v>227</v>
      </c>
      <c r="I12" s="105"/>
      <c r="J12" s="105"/>
      <c r="K12" s="105">
        <v>1</v>
      </c>
      <c r="L12" s="105" t="s">
        <v>232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 t="s">
        <v>229</v>
      </c>
      <c r="AR12" s="106" t="s">
        <v>229</v>
      </c>
      <c r="AS12" s="106" t="s">
        <v>229</v>
      </c>
      <c r="AT12" s="106" t="s">
        <v>229</v>
      </c>
      <c r="AU12" s="106" t="s">
        <v>229</v>
      </c>
      <c r="AV12" s="106"/>
      <c r="AW12" s="106"/>
      <c r="AX12" s="106"/>
    </row>
    <row r="13" spans="1:50" ht="12.75" hidden="1" x14ac:dyDescent="0.2">
      <c r="A13" s="101">
        <v>155</v>
      </c>
      <c r="B13" s="102" t="s">
        <v>234</v>
      </c>
      <c r="C13" s="103" t="s">
        <v>100</v>
      </c>
      <c r="D13" s="103" t="s">
        <v>226</v>
      </c>
      <c r="E13" s="103">
        <v>161213.59</v>
      </c>
      <c r="F13" s="104">
        <v>2.6931232584712635E-2</v>
      </c>
      <c r="G13" s="103">
        <v>5986120</v>
      </c>
      <c r="H13" s="105" t="s">
        <v>227</v>
      </c>
      <c r="I13" s="105">
        <v>1</v>
      </c>
      <c r="J13" s="105">
        <v>1</v>
      </c>
      <c r="K13" s="105">
        <v>1</v>
      </c>
      <c r="L13" s="105" t="s">
        <v>235</v>
      </c>
      <c r="M13" s="106" t="s">
        <v>229</v>
      </c>
      <c r="N13" s="106" t="s">
        <v>229</v>
      </c>
      <c r="O13" s="106" t="s">
        <v>229</v>
      </c>
      <c r="P13" s="106" t="s">
        <v>229</v>
      </c>
      <c r="Q13" s="106" t="s">
        <v>229</v>
      </c>
      <c r="R13" s="106" t="s">
        <v>229</v>
      </c>
      <c r="S13" s="106" t="s">
        <v>229</v>
      </c>
      <c r="T13" s="106" t="s">
        <v>229</v>
      </c>
      <c r="U13" s="106" t="s">
        <v>229</v>
      </c>
      <c r="V13" s="106" t="s">
        <v>229</v>
      </c>
      <c r="W13" s="106" t="s">
        <v>229</v>
      </c>
      <c r="X13" s="106" t="s">
        <v>229</v>
      </c>
      <c r="Y13" s="106" t="s">
        <v>229</v>
      </c>
      <c r="Z13" s="106" t="s">
        <v>229</v>
      </c>
      <c r="AA13" s="106" t="s">
        <v>229</v>
      </c>
      <c r="AB13" s="106" t="s">
        <v>229</v>
      </c>
      <c r="AC13" s="106" t="s">
        <v>229</v>
      </c>
      <c r="AD13" s="106" t="s">
        <v>229</v>
      </c>
      <c r="AE13" s="106" t="s">
        <v>229</v>
      </c>
      <c r="AF13" s="106" t="s">
        <v>229</v>
      </c>
      <c r="AG13" s="106" t="s">
        <v>229</v>
      </c>
      <c r="AH13" s="106" t="s">
        <v>229</v>
      </c>
      <c r="AI13" s="106" t="s">
        <v>229</v>
      </c>
      <c r="AJ13" s="106" t="s">
        <v>229</v>
      </c>
      <c r="AK13" s="106" t="s">
        <v>229</v>
      </c>
      <c r="AL13" s="106" t="s">
        <v>229</v>
      </c>
      <c r="AM13" s="106" t="s">
        <v>229</v>
      </c>
      <c r="AN13" s="106" t="s">
        <v>229</v>
      </c>
      <c r="AO13" s="106" t="s">
        <v>229</v>
      </c>
      <c r="AP13" s="106" t="s">
        <v>229</v>
      </c>
      <c r="AQ13" s="106" t="s">
        <v>229</v>
      </c>
      <c r="AR13" s="106" t="s">
        <v>229</v>
      </c>
      <c r="AS13" s="106" t="s">
        <v>229</v>
      </c>
      <c r="AT13" s="106" t="s">
        <v>229</v>
      </c>
      <c r="AU13" s="106" t="s">
        <v>229</v>
      </c>
      <c r="AV13" s="106" t="s">
        <v>229</v>
      </c>
      <c r="AW13" s="106" t="s">
        <v>229</v>
      </c>
      <c r="AX13" s="106" t="s">
        <v>229</v>
      </c>
    </row>
    <row r="14" spans="1:50" ht="12.75" x14ac:dyDescent="0.2">
      <c r="A14" s="101">
        <v>1793</v>
      </c>
      <c r="B14" s="102" t="s">
        <v>236</v>
      </c>
      <c r="C14" s="103" t="s">
        <v>203</v>
      </c>
      <c r="D14" s="103" t="s">
        <v>226</v>
      </c>
      <c r="E14" s="103">
        <v>50563.66</v>
      </c>
      <c r="F14" s="104">
        <v>0.17455608105775539</v>
      </c>
      <c r="G14" s="103">
        <v>289670</v>
      </c>
      <c r="H14" s="105" t="s">
        <v>238</v>
      </c>
      <c r="I14" s="105"/>
      <c r="J14" s="105"/>
      <c r="K14" s="105">
        <v>1</v>
      </c>
      <c r="L14" s="105" t="s">
        <v>239</v>
      </c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7"/>
      <c r="AU14" s="106"/>
      <c r="AV14" s="106" t="s">
        <v>229</v>
      </c>
      <c r="AW14" s="106" t="s">
        <v>229</v>
      </c>
      <c r="AX14" s="106" t="s">
        <v>229</v>
      </c>
    </row>
    <row r="15" spans="1:50" ht="12.75" hidden="1" x14ac:dyDescent="0.2">
      <c r="A15" s="101">
        <v>157</v>
      </c>
      <c r="B15" s="102" t="s">
        <v>240</v>
      </c>
      <c r="C15" s="103" t="s">
        <v>100</v>
      </c>
      <c r="D15" s="103" t="s">
        <v>226</v>
      </c>
      <c r="E15" s="103">
        <v>490300.95</v>
      </c>
      <c r="F15" s="104">
        <v>5.4286493285339577E-2</v>
      </c>
      <c r="G15" s="103">
        <v>9031730</v>
      </c>
      <c r="H15" s="105" t="s">
        <v>238</v>
      </c>
      <c r="I15" s="105">
        <v>1</v>
      </c>
      <c r="J15" s="105">
        <v>1</v>
      </c>
      <c r="K15" s="105">
        <v>1</v>
      </c>
      <c r="L15" s="105" t="s">
        <v>241</v>
      </c>
      <c r="M15" s="106" t="s">
        <v>229</v>
      </c>
      <c r="N15" s="106" t="s">
        <v>229</v>
      </c>
      <c r="O15" s="106" t="s">
        <v>229</v>
      </c>
      <c r="P15" s="106" t="s">
        <v>229</v>
      </c>
      <c r="Q15" s="106" t="s">
        <v>229</v>
      </c>
      <c r="R15" s="106" t="s">
        <v>229</v>
      </c>
      <c r="S15" s="106" t="s">
        <v>229</v>
      </c>
      <c r="T15" s="106" t="s">
        <v>229</v>
      </c>
      <c r="U15" s="106" t="s">
        <v>229</v>
      </c>
      <c r="V15" s="106" t="s">
        <v>229</v>
      </c>
      <c r="W15" s="106" t="s">
        <v>229</v>
      </c>
      <c r="X15" s="106" t="s">
        <v>229</v>
      </c>
      <c r="Y15" s="106" t="s">
        <v>229</v>
      </c>
      <c r="Z15" s="106" t="s">
        <v>229</v>
      </c>
      <c r="AA15" s="106" t="s">
        <v>229</v>
      </c>
      <c r="AB15" s="106" t="s">
        <v>229</v>
      </c>
      <c r="AC15" s="106" t="s">
        <v>229</v>
      </c>
      <c r="AD15" s="106" t="s">
        <v>229</v>
      </c>
      <c r="AE15" s="106" t="s">
        <v>229</v>
      </c>
      <c r="AF15" s="106" t="s">
        <v>229</v>
      </c>
      <c r="AG15" s="106" t="s">
        <v>229</v>
      </c>
      <c r="AH15" s="106" t="s">
        <v>229</v>
      </c>
      <c r="AI15" s="106" t="s">
        <v>229</v>
      </c>
      <c r="AJ15" s="106" t="s">
        <v>229</v>
      </c>
      <c r="AK15" s="106" t="s">
        <v>229</v>
      </c>
      <c r="AL15" s="106" t="s">
        <v>229</v>
      </c>
      <c r="AM15" s="106" t="s">
        <v>229</v>
      </c>
      <c r="AN15" s="106" t="s">
        <v>229</v>
      </c>
      <c r="AO15" s="106" t="s">
        <v>229</v>
      </c>
      <c r="AP15" s="106" t="s">
        <v>229</v>
      </c>
      <c r="AQ15" s="106" t="s">
        <v>229</v>
      </c>
      <c r="AR15" s="106" t="s">
        <v>229</v>
      </c>
      <c r="AS15" s="106" t="s">
        <v>229</v>
      </c>
      <c r="AT15" s="106" t="s">
        <v>229</v>
      </c>
      <c r="AU15" s="106" t="s">
        <v>229</v>
      </c>
      <c r="AV15" s="106" t="s">
        <v>229</v>
      </c>
      <c r="AW15" s="106" t="s">
        <v>229</v>
      </c>
      <c r="AX15" s="106" t="s">
        <v>229</v>
      </c>
    </row>
    <row r="16" spans="1:50" ht="12.75" hidden="1" x14ac:dyDescent="0.2">
      <c r="A16" s="101">
        <v>1210</v>
      </c>
      <c r="B16" s="102" t="s">
        <v>245</v>
      </c>
      <c r="C16" s="103" t="s">
        <v>100</v>
      </c>
      <c r="D16" s="103" t="s">
        <v>226</v>
      </c>
      <c r="E16" s="103">
        <v>2624081.2400000002</v>
      </c>
      <c r="F16" s="104">
        <v>0.41699740020340709</v>
      </c>
      <c r="G16" s="103">
        <v>6292800</v>
      </c>
      <c r="H16" s="105" t="s">
        <v>227</v>
      </c>
      <c r="I16" s="105">
        <v>1</v>
      </c>
      <c r="J16" s="105">
        <v>1</v>
      </c>
      <c r="K16" s="105">
        <v>1</v>
      </c>
      <c r="L16" s="105" t="s">
        <v>246</v>
      </c>
      <c r="M16" s="106" t="s">
        <v>229</v>
      </c>
      <c r="N16" s="106" t="s">
        <v>229</v>
      </c>
      <c r="O16" s="106" t="s">
        <v>229</v>
      </c>
      <c r="P16" s="106" t="s">
        <v>229</v>
      </c>
      <c r="Q16" s="106" t="s">
        <v>229</v>
      </c>
      <c r="R16" s="106" t="s">
        <v>229</v>
      </c>
      <c r="S16" s="106" t="s">
        <v>229</v>
      </c>
      <c r="T16" s="106" t="s">
        <v>229</v>
      </c>
      <c r="U16" s="106" t="s">
        <v>229</v>
      </c>
      <c r="V16" s="106" t="s">
        <v>229</v>
      </c>
      <c r="W16" s="106" t="s">
        <v>229</v>
      </c>
      <c r="X16" s="106" t="s">
        <v>229</v>
      </c>
      <c r="Y16" s="106" t="s">
        <v>229</v>
      </c>
      <c r="Z16" s="106" t="s">
        <v>229</v>
      </c>
      <c r="AA16" s="106" t="s">
        <v>229</v>
      </c>
      <c r="AB16" s="106" t="s">
        <v>229</v>
      </c>
      <c r="AC16" s="106" t="s">
        <v>229</v>
      </c>
      <c r="AD16" s="106" t="s">
        <v>229</v>
      </c>
      <c r="AE16" s="106" t="s">
        <v>229</v>
      </c>
      <c r="AF16" s="106" t="s">
        <v>229</v>
      </c>
      <c r="AG16" s="106" t="s">
        <v>229</v>
      </c>
      <c r="AH16" s="106" t="s">
        <v>229</v>
      </c>
      <c r="AI16" s="106" t="s">
        <v>229</v>
      </c>
      <c r="AJ16" s="106" t="s">
        <v>229</v>
      </c>
      <c r="AK16" s="106" t="s">
        <v>229</v>
      </c>
      <c r="AL16" s="106" t="s">
        <v>229</v>
      </c>
      <c r="AM16" s="106" t="s">
        <v>229</v>
      </c>
      <c r="AN16" s="106" t="s">
        <v>229</v>
      </c>
      <c r="AO16" s="106" t="s">
        <v>229</v>
      </c>
      <c r="AP16" s="106" t="s">
        <v>229</v>
      </c>
      <c r="AQ16" s="106" t="s">
        <v>229</v>
      </c>
      <c r="AR16" s="106" t="s">
        <v>229</v>
      </c>
      <c r="AS16" s="106" t="s">
        <v>229</v>
      </c>
      <c r="AT16" s="106" t="s">
        <v>229</v>
      </c>
      <c r="AU16" s="106" t="s">
        <v>229</v>
      </c>
      <c r="AV16" s="106" t="s">
        <v>229</v>
      </c>
      <c r="AW16" s="106" t="s">
        <v>229</v>
      </c>
      <c r="AX16" s="106" t="s">
        <v>229</v>
      </c>
    </row>
    <row r="17" spans="1:50" ht="12.75" x14ac:dyDescent="0.2">
      <c r="A17" s="101">
        <v>1795</v>
      </c>
      <c r="B17" s="102" t="s">
        <v>247</v>
      </c>
      <c r="C17" s="103" t="s">
        <v>203</v>
      </c>
      <c r="D17" s="103" t="s">
        <v>226</v>
      </c>
      <c r="E17" s="103">
        <v>0</v>
      </c>
      <c r="F17" s="104">
        <v>0</v>
      </c>
      <c r="G17" s="103">
        <v>414960</v>
      </c>
      <c r="H17" s="105" t="s">
        <v>238</v>
      </c>
      <c r="I17" s="105"/>
      <c r="J17" s="105"/>
      <c r="K17" s="105">
        <v>1</v>
      </c>
      <c r="L17" s="105" t="s">
        <v>248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7"/>
      <c r="AU17" s="106"/>
      <c r="AV17" s="106" t="s">
        <v>229</v>
      </c>
      <c r="AW17" s="106" t="s">
        <v>229</v>
      </c>
      <c r="AX17" s="106" t="s">
        <v>229</v>
      </c>
    </row>
    <row r="18" spans="1:50" ht="12.75" hidden="1" x14ac:dyDescent="0.2">
      <c r="A18" s="101">
        <v>2472</v>
      </c>
      <c r="B18" s="102" t="s">
        <v>249</v>
      </c>
      <c r="C18" s="103" t="s">
        <v>100</v>
      </c>
      <c r="D18" s="103" t="s">
        <v>237</v>
      </c>
      <c r="E18" s="103" t="e">
        <v>#N/A</v>
      </c>
      <c r="F18" s="104" t="e">
        <v>#N/A</v>
      </c>
      <c r="G18" s="103" t="e">
        <v>#N/A</v>
      </c>
      <c r="H18" s="105" t="s">
        <v>227</v>
      </c>
      <c r="I18" s="105">
        <v>1</v>
      </c>
      <c r="J18" s="105">
        <v>1</v>
      </c>
      <c r="K18" s="105">
        <v>1</v>
      </c>
      <c r="L18" s="105" t="s">
        <v>232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7"/>
      <c r="AU18" s="106"/>
      <c r="AV18" s="106"/>
      <c r="AW18" s="106"/>
      <c r="AX18" s="106"/>
    </row>
    <row r="19" spans="1:50" ht="12.75" hidden="1" x14ac:dyDescent="0.2">
      <c r="A19" s="101">
        <v>175</v>
      </c>
      <c r="B19" s="102" t="s">
        <v>250</v>
      </c>
      <c r="C19" s="103" t="s">
        <v>100</v>
      </c>
      <c r="D19" s="103" t="s">
        <v>226</v>
      </c>
      <c r="E19" s="103">
        <v>116093.7</v>
      </c>
      <c r="F19" s="104">
        <v>3.3191440089201475E-2</v>
      </c>
      <c r="G19" s="103">
        <v>3497700</v>
      </c>
      <c r="H19" s="105" t="s">
        <v>227</v>
      </c>
      <c r="I19" s="105">
        <v>1</v>
      </c>
      <c r="J19" s="105">
        <v>1</v>
      </c>
      <c r="K19" s="105">
        <v>1</v>
      </c>
      <c r="L19" s="105" t="s">
        <v>241</v>
      </c>
      <c r="M19" s="106" t="s">
        <v>229</v>
      </c>
      <c r="N19" s="106" t="s">
        <v>229</v>
      </c>
      <c r="O19" s="106" t="s">
        <v>229</v>
      </c>
      <c r="P19" s="106" t="s">
        <v>229</v>
      </c>
      <c r="Q19" s="106" t="s">
        <v>229</v>
      </c>
      <c r="R19" s="106" t="s">
        <v>229</v>
      </c>
      <c r="S19" s="106" t="s">
        <v>229</v>
      </c>
      <c r="T19" s="106" t="s">
        <v>229</v>
      </c>
      <c r="U19" s="106" t="s">
        <v>229</v>
      </c>
      <c r="V19" s="106" t="s">
        <v>229</v>
      </c>
      <c r="W19" s="106" t="s">
        <v>229</v>
      </c>
      <c r="X19" s="106" t="s">
        <v>229</v>
      </c>
      <c r="Y19" s="106" t="s">
        <v>229</v>
      </c>
      <c r="Z19" s="106" t="s">
        <v>229</v>
      </c>
      <c r="AA19" s="106" t="s">
        <v>229</v>
      </c>
      <c r="AB19" s="106" t="s">
        <v>229</v>
      </c>
      <c r="AC19" s="106" t="s">
        <v>229</v>
      </c>
      <c r="AD19" s="106" t="s">
        <v>229</v>
      </c>
      <c r="AE19" s="106" t="s">
        <v>229</v>
      </c>
      <c r="AF19" s="106" t="s">
        <v>229</v>
      </c>
      <c r="AG19" s="106" t="s">
        <v>229</v>
      </c>
      <c r="AH19" s="106" t="s">
        <v>229</v>
      </c>
      <c r="AI19" s="106" t="s">
        <v>229</v>
      </c>
      <c r="AJ19" s="106" t="s">
        <v>229</v>
      </c>
      <c r="AK19" s="106" t="s">
        <v>229</v>
      </c>
      <c r="AL19" s="106" t="s">
        <v>229</v>
      </c>
      <c r="AM19" s="106" t="s">
        <v>229</v>
      </c>
      <c r="AN19" s="106" t="s">
        <v>229</v>
      </c>
      <c r="AO19" s="106" t="s">
        <v>229</v>
      </c>
      <c r="AP19" s="106" t="s">
        <v>229</v>
      </c>
      <c r="AQ19" s="106" t="s">
        <v>229</v>
      </c>
      <c r="AR19" s="106" t="s">
        <v>229</v>
      </c>
      <c r="AS19" s="106" t="s">
        <v>229</v>
      </c>
      <c r="AT19" s="106" t="s">
        <v>229</v>
      </c>
      <c r="AU19" s="106" t="s">
        <v>229</v>
      </c>
      <c r="AV19" s="106" t="s">
        <v>229</v>
      </c>
      <c r="AW19" s="106" t="s">
        <v>229</v>
      </c>
      <c r="AX19" s="106" t="s">
        <v>229</v>
      </c>
    </row>
    <row r="20" spans="1:50" ht="12.75" hidden="1" x14ac:dyDescent="0.2">
      <c r="A20" s="101">
        <v>2052</v>
      </c>
      <c r="B20" s="102" t="s">
        <v>251</v>
      </c>
      <c r="C20" s="103" t="s">
        <v>200</v>
      </c>
      <c r="D20" s="103" t="s">
        <v>226</v>
      </c>
      <c r="E20" s="103">
        <v>82832.3</v>
      </c>
      <c r="F20" s="104">
        <v>0.10739867230246609</v>
      </c>
      <c r="G20" s="103">
        <v>771260</v>
      </c>
      <c r="H20" s="105" t="s">
        <v>238</v>
      </c>
      <c r="I20" s="105"/>
      <c r="J20" s="105">
        <v>1</v>
      </c>
      <c r="K20" s="105">
        <v>1</v>
      </c>
      <c r="L20" s="105" t="s">
        <v>232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 t="s">
        <v>229</v>
      </c>
      <c r="AR20" s="106" t="s">
        <v>229</v>
      </c>
      <c r="AS20" s="106" t="s">
        <v>229</v>
      </c>
      <c r="AT20" s="106" t="s">
        <v>229</v>
      </c>
      <c r="AU20" s="106" t="s">
        <v>229</v>
      </c>
      <c r="AV20" s="106"/>
      <c r="AW20" s="106"/>
      <c r="AX20" s="106"/>
    </row>
    <row r="21" spans="1:50" ht="12.75" hidden="1" x14ac:dyDescent="0.2">
      <c r="A21" s="101">
        <v>754</v>
      </c>
      <c r="B21" s="102" t="s">
        <v>252</v>
      </c>
      <c r="C21" s="103" t="s">
        <v>200</v>
      </c>
      <c r="D21" s="103" t="s">
        <v>237</v>
      </c>
      <c r="E21" s="103" t="e">
        <v>#N/A</v>
      </c>
      <c r="F21" s="104" t="e">
        <v>#N/A</v>
      </c>
      <c r="G21" s="103" t="e">
        <v>#N/A</v>
      </c>
      <c r="H21" s="105" t="s">
        <v>227</v>
      </c>
      <c r="I21" s="105"/>
      <c r="J21" s="105">
        <v>1</v>
      </c>
      <c r="K21" s="105">
        <v>1</v>
      </c>
      <c r="L21" s="105" t="s">
        <v>241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7"/>
      <c r="AU21" s="106"/>
      <c r="AV21" s="106"/>
      <c r="AW21" s="106"/>
      <c r="AX21" s="106"/>
    </row>
    <row r="22" spans="1:50" ht="12.75" hidden="1" x14ac:dyDescent="0.2">
      <c r="A22" s="101">
        <v>1796</v>
      </c>
      <c r="B22" s="102" t="s">
        <v>254</v>
      </c>
      <c r="C22" s="103" t="s">
        <v>203</v>
      </c>
      <c r="D22" s="103" t="s">
        <v>237</v>
      </c>
      <c r="E22" s="103">
        <v>10666.66</v>
      </c>
      <c r="F22" s="104" t="e">
        <v>#DIV/0!</v>
      </c>
      <c r="G22" s="103">
        <v>0</v>
      </c>
      <c r="H22" s="105" t="s">
        <v>238</v>
      </c>
      <c r="I22" s="105"/>
      <c r="J22" s="105"/>
      <c r="K22" s="105">
        <v>1</v>
      </c>
      <c r="L22" s="105" t="s">
        <v>232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7"/>
      <c r="AU22" s="106"/>
      <c r="AV22" s="106"/>
      <c r="AW22" s="106"/>
      <c r="AX22" s="106"/>
    </row>
    <row r="23" spans="1:50" ht="12.75" hidden="1" x14ac:dyDescent="0.2">
      <c r="A23" s="101">
        <v>2606</v>
      </c>
      <c r="B23" s="102" t="s">
        <v>255</v>
      </c>
      <c r="C23" s="103" t="s">
        <v>203</v>
      </c>
      <c r="D23" s="103" t="s">
        <v>237</v>
      </c>
      <c r="E23" s="103" t="e">
        <v>#N/A</v>
      </c>
      <c r="F23" s="104" t="e">
        <v>#N/A</v>
      </c>
      <c r="G23" s="103" t="e">
        <v>#N/A</v>
      </c>
      <c r="H23" s="105" t="s">
        <v>238</v>
      </c>
      <c r="I23" s="105"/>
      <c r="J23" s="105"/>
      <c r="K23" s="105">
        <v>1</v>
      </c>
      <c r="L23" s="105" t="s">
        <v>241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7"/>
      <c r="AN23" s="106"/>
      <c r="AO23" s="106"/>
      <c r="AP23" s="106"/>
      <c r="AQ23" s="106"/>
      <c r="AR23" s="106"/>
      <c r="AS23" s="107"/>
      <c r="AT23" s="107"/>
      <c r="AU23" s="106"/>
      <c r="AV23" s="106"/>
      <c r="AW23" s="106"/>
      <c r="AX23" s="106"/>
    </row>
    <row r="24" spans="1:50" ht="12.75" x14ac:dyDescent="0.2">
      <c r="A24" s="101">
        <v>1797</v>
      </c>
      <c r="B24" s="102" t="s">
        <v>256</v>
      </c>
      <c r="C24" s="103" t="s">
        <v>203</v>
      </c>
      <c r="D24" s="103" t="s">
        <v>226</v>
      </c>
      <c r="E24" s="103">
        <v>2600</v>
      </c>
      <c r="F24" s="104">
        <v>1.172544421394426E-2</v>
      </c>
      <c r="G24" s="103">
        <v>221740</v>
      </c>
      <c r="H24" s="105" t="s">
        <v>238</v>
      </c>
      <c r="I24" s="105"/>
      <c r="J24" s="105"/>
      <c r="K24" s="105">
        <v>1</v>
      </c>
      <c r="L24" s="105" t="s">
        <v>248</v>
      </c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7"/>
      <c r="AU24" s="106"/>
      <c r="AV24" s="106" t="s">
        <v>229</v>
      </c>
      <c r="AW24" s="106" t="s">
        <v>229</v>
      </c>
      <c r="AX24" s="106" t="s">
        <v>229</v>
      </c>
    </row>
    <row r="25" spans="1:50" ht="12.75" x14ac:dyDescent="0.2">
      <c r="A25" s="101">
        <v>1071</v>
      </c>
      <c r="B25" s="102" t="s">
        <v>257</v>
      </c>
      <c r="C25" s="103" t="s">
        <v>203</v>
      </c>
      <c r="D25" s="103" t="s">
        <v>226</v>
      </c>
      <c r="E25" s="103">
        <v>192962.37</v>
      </c>
      <c r="F25" s="104">
        <v>0.30390646360286011</v>
      </c>
      <c r="G25" s="103">
        <v>634940</v>
      </c>
      <c r="H25" s="105" t="s">
        <v>238</v>
      </c>
      <c r="I25" s="105"/>
      <c r="J25" s="105"/>
      <c r="K25" s="105">
        <v>1</v>
      </c>
      <c r="L25" s="105" t="s">
        <v>232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7"/>
      <c r="AU25" s="106"/>
      <c r="AV25" s="106" t="s">
        <v>229</v>
      </c>
      <c r="AW25" s="106" t="s">
        <v>229</v>
      </c>
      <c r="AX25" s="106" t="s">
        <v>229</v>
      </c>
    </row>
    <row r="26" spans="1:50" ht="12.75" x14ac:dyDescent="0.2">
      <c r="A26" s="101">
        <v>1072</v>
      </c>
      <c r="B26" s="102" t="s">
        <v>258</v>
      </c>
      <c r="C26" s="103" t="s">
        <v>203</v>
      </c>
      <c r="D26" s="103" t="s">
        <v>226</v>
      </c>
      <c r="E26" s="103">
        <v>23800</v>
      </c>
      <c r="F26" s="104">
        <v>3.5295338939063635E-2</v>
      </c>
      <c r="G26" s="103">
        <v>674310</v>
      </c>
      <c r="H26" s="105" t="s">
        <v>238</v>
      </c>
      <c r="I26" s="105"/>
      <c r="J26" s="105"/>
      <c r="K26" s="105">
        <v>1</v>
      </c>
      <c r="L26" s="105" t="s">
        <v>232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7"/>
      <c r="AU26" s="106"/>
      <c r="AV26" s="106" t="s">
        <v>229</v>
      </c>
      <c r="AW26" s="106" t="s">
        <v>229</v>
      </c>
      <c r="AX26" s="106" t="s">
        <v>229</v>
      </c>
    </row>
    <row r="27" spans="1:50" ht="12.75" hidden="1" x14ac:dyDescent="0.2">
      <c r="A27" s="101">
        <v>1084</v>
      </c>
      <c r="B27" s="102" t="s">
        <v>1237</v>
      </c>
      <c r="C27" s="103" t="s">
        <v>203</v>
      </c>
      <c r="D27" s="103" t="s">
        <v>237</v>
      </c>
      <c r="E27" s="103">
        <v>4500</v>
      </c>
      <c r="F27" s="104" t="e">
        <v>#DIV/0!</v>
      </c>
      <c r="G27" s="103">
        <v>0</v>
      </c>
      <c r="H27" s="105" t="s">
        <v>238</v>
      </c>
      <c r="I27" s="105"/>
      <c r="J27" s="105">
        <v>1</v>
      </c>
      <c r="K27" s="105">
        <v>1</v>
      </c>
      <c r="L27" s="105" t="s">
        <v>241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7"/>
      <c r="AU27" s="106"/>
      <c r="AV27" s="106"/>
      <c r="AW27" s="106"/>
      <c r="AX27" s="106"/>
    </row>
    <row r="28" spans="1:50" ht="12.75" hidden="1" x14ac:dyDescent="0.2">
      <c r="A28" s="101">
        <v>1800</v>
      </c>
      <c r="B28" s="102" t="s">
        <v>262</v>
      </c>
      <c r="C28" s="103" t="s">
        <v>200</v>
      </c>
      <c r="D28" s="103" t="s">
        <v>237</v>
      </c>
      <c r="E28" s="103" t="e">
        <v>#N/A</v>
      </c>
      <c r="F28" s="104" t="e">
        <v>#N/A</v>
      </c>
      <c r="G28" s="103" t="e">
        <v>#N/A</v>
      </c>
      <c r="H28" s="105" t="s">
        <v>227</v>
      </c>
      <c r="I28" s="105"/>
      <c r="J28" s="105">
        <v>1</v>
      </c>
      <c r="K28" s="105">
        <v>1</v>
      </c>
      <c r="L28" s="105" t="s">
        <v>239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7"/>
      <c r="AU28" s="106"/>
      <c r="AV28" s="106"/>
      <c r="AW28" s="106"/>
      <c r="AX28" s="106"/>
    </row>
    <row r="29" spans="1:50" ht="12.75" hidden="1" x14ac:dyDescent="0.2">
      <c r="A29" s="101">
        <v>1801</v>
      </c>
      <c r="B29" s="102" t="s">
        <v>263</v>
      </c>
      <c r="C29" s="103" t="s">
        <v>200</v>
      </c>
      <c r="D29" s="103" t="s">
        <v>237</v>
      </c>
      <c r="E29" s="103" t="e">
        <v>#N/A</v>
      </c>
      <c r="F29" s="104" t="e">
        <v>#N/A</v>
      </c>
      <c r="G29" s="103" t="e">
        <v>#N/A</v>
      </c>
      <c r="H29" s="105" t="s">
        <v>227</v>
      </c>
      <c r="I29" s="105"/>
      <c r="J29" s="105">
        <v>1</v>
      </c>
      <c r="K29" s="105">
        <v>1</v>
      </c>
      <c r="L29" s="105" t="s">
        <v>239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7"/>
      <c r="AU29" s="106"/>
      <c r="AV29" s="106"/>
      <c r="AW29" s="106"/>
      <c r="AX29" s="106"/>
    </row>
    <row r="30" spans="1:50" ht="12.75" hidden="1" x14ac:dyDescent="0.2">
      <c r="A30" s="101">
        <v>1820</v>
      </c>
      <c r="B30" s="102" t="s">
        <v>264</v>
      </c>
      <c r="C30" s="103" t="s">
        <v>200</v>
      </c>
      <c r="D30" s="103" t="s">
        <v>237</v>
      </c>
      <c r="E30" s="103" t="e">
        <v>#N/A</v>
      </c>
      <c r="F30" s="104" t="e">
        <v>#N/A</v>
      </c>
      <c r="G30" s="103" t="e">
        <v>#N/A</v>
      </c>
      <c r="H30" s="105" t="s">
        <v>227</v>
      </c>
      <c r="I30" s="105"/>
      <c r="J30" s="105">
        <v>1</v>
      </c>
      <c r="K30" s="105">
        <v>1</v>
      </c>
      <c r="L30" s="105" t="s">
        <v>232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7"/>
      <c r="AU30" s="106"/>
      <c r="AV30" s="106"/>
      <c r="AW30" s="106"/>
      <c r="AX30" s="106"/>
    </row>
    <row r="31" spans="1:50" ht="12.75" hidden="1" x14ac:dyDescent="0.2">
      <c r="A31" s="101">
        <v>2608</v>
      </c>
      <c r="B31" s="102" t="s">
        <v>1238</v>
      </c>
      <c r="C31" s="103" t="s">
        <v>203</v>
      </c>
      <c r="D31" s="103" t="s">
        <v>237</v>
      </c>
      <c r="E31" s="103" t="e">
        <v>#N/A</v>
      </c>
      <c r="F31" s="104" t="e">
        <v>#N/A</v>
      </c>
      <c r="G31" s="103" t="e">
        <v>#N/A</v>
      </c>
      <c r="H31" s="105" t="s">
        <v>238</v>
      </c>
      <c r="I31" s="105"/>
      <c r="J31" s="105"/>
      <c r="K31" s="105">
        <v>1</v>
      </c>
      <c r="L31" s="105" t="s">
        <v>241</v>
      </c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7"/>
      <c r="AU31" s="106"/>
      <c r="AV31" s="106"/>
      <c r="AW31" s="106"/>
      <c r="AX31" s="106"/>
    </row>
    <row r="32" spans="1:50" ht="12.75" hidden="1" x14ac:dyDescent="0.2">
      <c r="A32" s="101">
        <v>1803</v>
      </c>
      <c r="B32" s="102" t="s">
        <v>265</v>
      </c>
      <c r="C32" s="103" t="s">
        <v>200</v>
      </c>
      <c r="D32" s="103" t="s">
        <v>226</v>
      </c>
      <c r="E32" s="103">
        <v>100323.74</v>
      </c>
      <c r="F32" s="104">
        <v>7.7751054002108008E-2</v>
      </c>
      <c r="G32" s="103">
        <v>1290320</v>
      </c>
      <c r="H32" s="105" t="s">
        <v>227</v>
      </c>
      <c r="I32" s="105"/>
      <c r="J32" s="105">
        <v>1</v>
      </c>
      <c r="K32" s="105">
        <v>1</v>
      </c>
      <c r="L32" s="105" t="s">
        <v>239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 t="s">
        <v>229</v>
      </c>
      <c r="AR32" s="106" t="s">
        <v>229</v>
      </c>
      <c r="AS32" s="106" t="s">
        <v>229</v>
      </c>
      <c r="AT32" s="106" t="s">
        <v>229</v>
      </c>
      <c r="AU32" s="106" t="s">
        <v>229</v>
      </c>
      <c r="AV32" s="106"/>
      <c r="AW32" s="106"/>
      <c r="AX32" s="106"/>
    </row>
    <row r="33" spans="1:50" ht="12.75" x14ac:dyDescent="0.2">
      <c r="A33" s="101">
        <v>1079</v>
      </c>
      <c r="B33" s="102" t="s">
        <v>267</v>
      </c>
      <c r="C33" s="103" t="s">
        <v>203</v>
      </c>
      <c r="D33" s="103" t="s">
        <v>226</v>
      </c>
      <c r="E33" s="103">
        <v>421282.2</v>
      </c>
      <c r="F33" s="104">
        <v>0.42111796399404233</v>
      </c>
      <c r="G33" s="103">
        <v>1000390</v>
      </c>
      <c r="H33" s="105" t="s">
        <v>238</v>
      </c>
      <c r="I33" s="105"/>
      <c r="J33" s="105">
        <v>1</v>
      </c>
      <c r="K33" s="105">
        <v>1</v>
      </c>
      <c r="L33" s="105" t="s">
        <v>241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7"/>
      <c r="AU33" s="106"/>
      <c r="AV33" s="106" t="s">
        <v>229</v>
      </c>
      <c r="AW33" s="106" t="s">
        <v>229</v>
      </c>
      <c r="AX33" s="106" t="s">
        <v>229</v>
      </c>
    </row>
    <row r="34" spans="1:50" ht="12.75" hidden="1" x14ac:dyDescent="0.2">
      <c r="A34" s="101">
        <v>965</v>
      </c>
      <c r="B34" s="102" t="s">
        <v>268</v>
      </c>
      <c r="C34" s="103" t="s">
        <v>100</v>
      </c>
      <c r="D34" s="103" t="s">
        <v>226</v>
      </c>
      <c r="E34" s="103">
        <v>468136.21</v>
      </c>
      <c r="F34" s="104">
        <v>0.32631828384218597</v>
      </c>
      <c r="G34" s="103">
        <v>1434600</v>
      </c>
      <c r="H34" s="105" t="s">
        <v>227</v>
      </c>
      <c r="I34" s="105">
        <v>1</v>
      </c>
      <c r="J34" s="105">
        <v>1</v>
      </c>
      <c r="K34" s="105">
        <v>1</v>
      </c>
      <c r="L34" s="105" t="s">
        <v>241</v>
      </c>
      <c r="M34" s="106" t="s">
        <v>229</v>
      </c>
      <c r="N34" s="106" t="s">
        <v>229</v>
      </c>
      <c r="O34" s="106" t="s">
        <v>229</v>
      </c>
      <c r="P34" s="106" t="s">
        <v>229</v>
      </c>
      <c r="Q34" s="106" t="s">
        <v>229</v>
      </c>
      <c r="R34" s="106" t="s">
        <v>229</v>
      </c>
      <c r="S34" s="106" t="s">
        <v>229</v>
      </c>
      <c r="T34" s="106" t="s">
        <v>229</v>
      </c>
      <c r="U34" s="106" t="s">
        <v>229</v>
      </c>
      <c r="V34" s="106" t="s">
        <v>229</v>
      </c>
      <c r="W34" s="106" t="s">
        <v>229</v>
      </c>
      <c r="X34" s="106" t="s">
        <v>229</v>
      </c>
      <c r="Y34" s="106" t="s">
        <v>229</v>
      </c>
      <c r="Z34" s="106" t="s">
        <v>229</v>
      </c>
      <c r="AA34" s="106" t="s">
        <v>229</v>
      </c>
      <c r="AB34" s="106" t="s">
        <v>229</v>
      </c>
      <c r="AC34" s="106" t="s">
        <v>229</v>
      </c>
      <c r="AD34" s="106" t="s">
        <v>229</v>
      </c>
      <c r="AE34" s="106" t="s">
        <v>229</v>
      </c>
      <c r="AF34" s="106" t="s">
        <v>229</v>
      </c>
      <c r="AG34" s="106" t="s">
        <v>229</v>
      </c>
      <c r="AH34" s="106" t="s">
        <v>229</v>
      </c>
      <c r="AI34" s="106" t="s">
        <v>229</v>
      </c>
      <c r="AJ34" s="106" t="s">
        <v>229</v>
      </c>
      <c r="AK34" s="106" t="s">
        <v>229</v>
      </c>
      <c r="AL34" s="106" t="s">
        <v>229</v>
      </c>
      <c r="AM34" s="106" t="s">
        <v>229</v>
      </c>
      <c r="AN34" s="106" t="s">
        <v>229</v>
      </c>
      <c r="AO34" s="106" t="s">
        <v>229</v>
      </c>
      <c r="AP34" s="106" t="s">
        <v>229</v>
      </c>
      <c r="AQ34" s="106" t="s">
        <v>229</v>
      </c>
      <c r="AR34" s="106" t="s">
        <v>229</v>
      </c>
      <c r="AS34" s="106" t="s">
        <v>229</v>
      </c>
      <c r="AT34" s="106" t="s">
        <v>229</v>
      </c>
      <c r="AU34" s="106" t="s">
        <v>229</v>
      </c>
      <c r="AV34" s="106" t="s">
        <v>229</v>
      </c>
      <c r="AW34" s="106" t="s">
        <v>229</v>
      </c>
      <c r="AX34" s="106" t="s">
        <v>229</v>
      </c>
    </row>
    <row r="35" spans="1:50" ht="12.75" hidden="1" x14ac:dyDescent="0.2">
      <c r="A35" s="101">
        <v>2247</v>
      </c>
      <c r="B35" s="102" t="s">
        <v>269</v>
      </c>
      <c r="C35" s="103" t="s">
        <v>100</v>
      </c>
      <c r="D35" s="103" t="s">
        <v>237</v>
      </c>
      <c r="E35" s="103" t="e">
        <v>#N/A</v>
      </c>
      <c r="F35" s="104" t="e">
        <v>#N/A</v>
      </c>
      <c r="G35" s="103" t="e">
        <v>#N/A</v>
      </c>
      <c r="H35" s="105" t="s">
        <v>227</v>
      </c>
      <c r="I35" s="105">
        <v>1</v>
      </c>
      <c r="J35" s="105">
        <v>1</v>
      </c>
      <c r="K35" s="105">
        <v>1</v>
      </c>
      <c r="L35" s="105" t="s">
        <v>232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7"/>
      <c r="AU35" s="106"/>
      <c r="AV35" s="106"/>
      <c r="AW35" s="106"/>
      <c r="AX35" s="106"/>
    </row>
    <row r="36" spans="1:50" ht="12.75" x14ac:dyDescent="0.2">
      <c r="A36" s="101">
        <v>1804</v>
      </c>
      <c r="B36" s="102" t="s">
        <v>270</v>
      </c>
      <c r="C36" s="103" t="s">
        <v>203</v>
      </c>
      <c r="D36" s="103" t="s">
        <v>226</v>
      </c>
      <c r="E36" s="103">
        <v>93190.65</v>
      </c>
      <c r="F36" s="104">
        <v>0.30671971168087414</v>
      </c>
      <c r="G36" s="103">
        <v>303830</v>
      </c>
      <c r="H36" s="105" t="s">
        <v>238</v>
      </c>
      <c r="I36" s="105"/>
      <c r="J36" s="105"/>
      <c r="K36" s="105">
        <v>1</v>
      </c>
      <c r="L36" s="105" t="s">
        <v>239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7"/>
      <c r="AU36" s="106"/>
      <c r="AV36" s="106" t="s">
        <v>229</v>
      </c>
      <c r="AW36" s="106" t="s">
        <v>229</v>
      </c>
      <c r="AX36" s="106" t="s">
        <v>229</v>
      </c>
    </row>
    <row r="37" spans="1:50" ht="12.75" hidden="1" x14ac:dyDescent="0.2">
      <c r="A37" s="101">
        <v>1805</v>
      </c>
      <c r="B37" s="102" t="s">
        <v>271</v>
      </c>
      <c r="C37" s="103" t="s">
        <v>200</v>
      </c>
      <c r="D37" s="103" t="s">
        <v>237</v>
      </c>
      <c r="E37" s="103">
        <v>2898</v>
      </c>
      <c r="F37" s="104" t="e">
        <v>#DIV/0!</v>
      </c>
      <c r="G37" s="103">
        <v>0</v>
      </c>
      <c r="H37" s="105" t="s">
        <v>227</v>
      </c>
      <c r="I37" s="105"/>
      <c r="J37" s="105">
        <v>1</v>
      </c>
      <c r="K37" s="105">
        <v>1</v>
      </c>
      <c r="L37" s="105" t="s">
        <v>239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7"/>
      <c r="AU37" s="106"/>
      <c r="AV37" s="106"/>
      <c r="AW37" s="106"/>
      <c r="AX37" s="106"/>
    </row>
    <row r="38" spans="1:50" ht="12.75" hidden="1" x14ac:dyDescent="0.2">
      <c r="A38" s="101">
        <v>2600</v>
      </c>
      <c r="B38" s="102" t="s">
        <v>272</v>
      </c>
      <c r="C38" s="103" t="s">
        <v>203</v>
      </c>
      <c r="D38" s="103" t="s">
        <v>237</v>
      </c>
      <c r="E38" s="103" t="e">
        <v>#N/A</v>
      </c>
      <c r="F38" s="104" t="e">
        <v>#N/A</v>
      </c>
      <c r="G38" s="103" t="e">
        <v>#N/A</v>
      </c>
      <c r="H38" s="105" t="s">
        <v>238</v>
      </c>
      <c r="I38" s="105"/>
      <c r="J38" s="105"/>
      <c r="K38" s="105">
        <v>1</v>
      </c>
      <c r="L38" s="105" t="s">
        <v>241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7"/>
      <c r="AU38" s="106"/>
      <c r="AV38" s="106"/>
      <c r="AW38" s="106"/>
      <c r="AX38" s="106"/>
    </row>
    <row r="39" spans="1:50" ht="12.75" hidden="1" x14ac:dyDescent="0.2">
      <c r="A39" s="101">
        <v>1807</v>
      </c>
      <c r="B39" s="102" t="s">
        <v>273</v>
      </c>
      <c r="C39" s="103" t="s">
        <v>200</v>
      </c>
      <c r="D39" s="103" t="s">
        <v>226</v>
      </c>
      <c r="E39" s="103">
        <v>342900.27</v>
      </c>
      <c r="F39" s="104">
        <v>0.37751458202596033</v>
      </c>
      <c r="G39" s="103">
        <v>908310</v>
      </c>
      <c r="H39" s="105" t="s">
        <v>227</v>
      </c>
      <c r="I39" s="105"/>
      <c r="J39" s="105">
        <v>1</v>
      </c>
      <c r="K39" s="105">
        <v>1</v>
      </c>
      <c r="L39" s="105" t="s">
        <v>232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7"/>
      <c r="AN39" s="106"/>
      <c r="AO39" s="106"/>
      <c r="AP39" s="106"/>
      <c r="AQ39" s="106" t="s">
        <v>229</v>
      </c>
      <c r="AR39" s="106" t="s">
        <v>229</v>
      </c>
      <c r="AS39" s="106" t="s">
        <v>229</v>
      </c>
      <c r="AT39" s="106" t="s">
        <v>229</v>
      </c>
      <c r="AU39" s="106" t="s">
        <v>229</v>
      </c>
      <c r="AV39" s="106"/>
      <c r="AW39" s="106"/>
      <c r="AX39" s="106"/>
    </row>
    <row r="40" spans="1:50" ht="12.75" hidden="1" x14ac:dyDescent="0.2">
      <c r="A40" s="101">
        <v>1671</v>
      </c>
      <c r="B40" s="102" t="s">
        <v>277</v>
      </c>
      <c r="C40" s="103" t="s">
        <v>100</v>
      </c>
      <c r="D40" s="103" t="s">
        <v>226</v>
      </c>
      <c r="E40" s="103">
        <v>1436150.31</v>
      </c>
      <c r="F40" s="104">
        <v>0.17945149443958516</v>
      </c>
      <c r="G40" s="103">
        <v>8003000</v>
      </c>
      <c r="H40" s="105" t="s">
        <v>227</v>
      </c>
      <c r="I40" s="105">
        <v>1</v>
      </c>
      <c r="J40" s="105">
        <v>1</v>
      </c>
      <c r="K40" s="105">
        <v>1</v>
      </c>
      <c r="L40" s="105" t="s">
        <v>278</v>
      </c>
      <c r="M40" s="106" t="s">
        <v>229</v>
      </c>
      <c r="N40" s="106" t="s">
        <v>229</v>
      </c>
      <c r="O40" s="106" t="s">
        <v>229</v>
      </c>
      <c r="P40" s="106" t="s">
        <v>229</v>
      </c>
      <c r="Q40" s="106" t="s">
        <v>229</v>
      </c>
      <c r="R40" s="106" t="s">
        <v>229</v>
      </c>
      <c r="S40" s="106" t="s">
        <v>229</v>
      </c>
      <c r="T40" s="106" t="s">
        <v>229</v>
      </c>
      <c r="U40" s="106" t="s">
        <v>229</v>
      </c>
      <c r="V40" s="106" t="s">
        <v>229</v>
      </c>
      <c r="W40" s="106" t="s">
        <v>229</v>
      </c>
      <c r="X40" s="106" t="s">
        <v>229</v>
      </c>
      <c r="Y40" s="106" t="s">
        <v>229</v>
      </c>
      <c r="Z40" s="106" t="s">
        <v>229</v>
      </c>
      <c r="AA40" s="106" t="s">
        <v>229</v>
      </c>
      <c r="AB40" s="106" t="s">
        <v>229</v>
      </c>
      <c r="AC40" s="106" t="s">
        <v>229</v>
      </c>
      <c r="AD40" s="106" t="s">
        <v>229</v>
      </c>
      <c r="AE40" s="106" t="s">
        <v>229</v>
      </c>
      <c r="AF40" s="106" t="s">
        <v>229</v>
      </c>
      <c r="AG40" s="106" t="s">
        <v>229</v>
      </c>
      <c r="AH40" s="106" t="s">
        <v>229</v>
      </c>
      <c r="AI40" s="106" t="s">
        <v>229</v>
      </c>
      <c r="AJ40" s="106" t="s">
        <v>229</v>
      </c>
      <c r="AK40" s="106" t="s">
        <v>229</v>
      </c>
      <c r="AL40" s="106" t="s">
        <v>229</v>
      </c>
      <c r="AM40" s="106" t="s">
        <v>229</v>
      </c>
      <c r="AN40" s="106" t="s">
        <v>229</v>
      </c>
      <c r="AO40" s="106" t="s">
        <v>229</v>
      </c>
      <c r="AP40" s="106" t="s">
        <v>229</v>
      </c>
      <c r="AQ40" s="106" t="s">
        <v>229</v>
      </c>
      <c r="AR40" s="106" t="s">
        <v>229</v>
      </c>
      <c r="AS40" s="106" t="s">
        <v>229</v>
      </c>
      <c r="AT40" s="106" t="s">
        <v>229</v>
      </c>
      <c r="AU40" s="106" t="s">
        <v>229</v>
      </c>
      <c r="AV40" s="106" t="s">
        <v>229</v>
      </c>
      <c r="AW40" s="106" t="s">
        <v>229</v>
      </c>
      <c r="AX40" s="106" t="s">
        <v>229</v>
      </c>
    </row>
    <row r="41" spans="1:50" ht="12.75" hidden="1" x14ac:dyDescent="0.2">
      <c r="A41" s="101">
        <v>2243</v>
      </c>
      <c r="B41" s="102" t="s">
        <v>279</v>
      </c>
      <c r="C41" s="103" t="s">
        <v>100</v>
      </c>
      <c r="D41" s="103" t="s">
        <v>226</v>
      </c>
      <c r="E41" s="103">
        <v>759895.04000000004</v>
      </c>
      <c r="F41" s="104">
        <v>4.4951888328818794E-2</v>
      </c>
      <c r="G41" s="103">
        <v>16904630</v>
      </c>
      <c r="H41" s="105" t="s">
        <v>227</v>
      </c>
      <c r="I41" s="105">
        <v>1</v>
      </c>
      <c r="J41" s="105">
        <v>1</v>
      </c>
      <c r="K41" s="105">
        <v>1</v>
      </c>
      <c r="L41" s="105" t="s">
        <v>241</v>
      </c>
      <c r="M41" s="106" t="s">
        <v>229</v>
      </c>
      <c r="N41" s="106" t="s">
        <v>229</v>
      </c>
      <c r="O41" s="106" t="s">
        <v>229</v>
      </c>
      <c r="P41" s="106" t="s">
        <v>229</v>
      </c>
      <c r="Q41" s="106" t="s">
        <v>229</v>
      </c>
      <c r="R41" s="106" t="s">
        <v>229</v>
      </c>
      <c r="S41" s="106" t="s">
        <v>229</v>
      </c>
      <c r="T41" s="106" t="s">
        <v>229</v>
      </c>
      <c r="U41" s="106" t="s">
        <v>229</v>
      </c>
      <c r="V41" s="106" t="s">
        <v>229</v>
      </c>
      <c r="W41" s="106" t="s">
        <v>229</v>
      </c>
      <c r="X41" s="106" t="s">
        <v>229</v>
      </c>
      <c r="Y41" s="106" t="s">
        <v>229</v>
      </c>
      <c r="Z41" s="106" t="s">
        <v>229</v>
      </c>
      <c r="AA41" s="106" t="s">
        <v>229</v>
      </c>
      <c r="AB41" s="106" t="s">
        <v>229</v>
      </c>
      <c r="AC41" s="106" t="s">
        <v>229</v>
      </c>
      <c r="AD41" s="106" t="s">
        <v>229</v>
      </c>
      <c r="AE41" s="106" t="s">
        <v>229</v>
      </c>
      <c r="AF41" s="106" t="s">
        <v>229</v>
      </c>
      <c r="AG41" s="106" t="s">
        <v>229</v>
      </c>
      <c r="AH41" s="106" t="s">
        <v>229</v>
      </c>
      <c r="AI41" s="106" t="s">
        <v>229</v>
      </c>
      <c r="AJ41" s="106" t="s">
        <v>229</v>
      </c>
      <c r="AK41" s="106" t="s">
        <v>229</v>
      </c>
      <c r="AL41" s="106" t="s">
        <v>229</v>
      </c>
      <c r="AM41" s="106" t="s">
        <v>229</v>
      </c>
      <c r="AN41" s="106" t="s">
        <v>229</v>
      </c>
      <c r="AO41" s="106" t="s">
        <v>229</v>
      </c>
      <c r="AP41" s="106" t="s">
        <v>229</v>
      </c>
      <c r="AQ41" s="106" t="s">
        <v>229</v>
      </c>
      <c r="AR41" s="106" t="s">
        <v>229</v>
      </c>
      <c r="AS41" s="106" t="s">
        <v>229</v>
      </c>
      <c r="AT41" s="106" t="s">
        <v>229</v>
      </c>
      <c r="AU41" s="106" t="s">
        <v>229</v>
      </c>
      <c r="AV41" s="106" t="s">
        <v>229</v>
      </c>
      <c r="AW41" s="106" t="s">
        <v>229</v>
      </c>
      <c r="AX41" s="106" t="s">
        <v>229</v>
      </c>
    </row>
    <row r="42" spans="1:50" ht="12.75" hidden="1" x14ac:dyDescent="0.2">
      <c r="A42" s="101">
        <v>2244</v>
      </c>
      <c r="B42" s="102" t="s">
        <v>280</v>
      </c>
      <c r="C42" s="103" t="s">
        <v>100</v>
      </c>
      <c r="D42" s="103" t="s">
        <v>226</v>
      </c>
      <c r="E42" s="103">
        <v>643517.02</v>
      </c>
      <c r="F42" s="104">
        <v>8.3929412470524406E-2</v>
      </c>
      <c r="G42" s="103">
        <v>7667360</v>
      </c>
      <c r="H42" s="105" t="s">
        <v>227</v>
      </c>
      <c r="I42" s="105">
        <v>1</v>
      </c>
      <c r="J42" s="105">
        <v>1</v>
      </c>
      <c r="K42" s="105">
        <v>1</v>
      </c>
      <c r="L42" s="105" t="s">
        <v>241</v>
      </c>
      <c r="M42" s="106" t="s">
        <v>229</v>
      </c>
      <c r="N42" s="106" t="s">
        <v>229</v>
      </c>
      <c r="O42" s="106" t="s">
        <v>229</v>
      </c>
      <c r="P42" s="106" t="s">
        <v>229</v>
      </c>
      <c r="Q42" s="106" t="s">
        <v>229</v>
      </c>
      <c r="R42" s="106" t="s">
        <v>229</v>
      </c>
      <c r="S42" s="106" t="s">
        <v>229</v>
      </c>
      <c r="T42" s="106" t="s">
        <v>229</v>
      </c>
      <c r="U42" s="106" t="s">
        <v>229</v>
      </c>
      <c r="V42" s="106" t="s">
        <v>229</v>
      </c>
      <c r="W42" s="106" t="s">
        <v>229</v>
      </c>
      <c r="X42" s="106" t="s">
        <v>229</v>
      </c>
      <c r="Y42" s="106" t="s">
        <v>229</v>
      </c>
      <c r="Z42" s="106" t="s">
        <v>229</v>
      </c>
      <c r="AA42" s="106" t="s">
        <v>229</v>
      </c>
      <c r="AB42" s="106" t="s">
        <v>229</v>
      </c>
      <c r="AC42" s="106" t="s">
        <v>229</v>
      </c>
      <c r="AD42" s="106" t="s">
        <v>229</v>
      </c>
      <c r="AE42" s="106" t="s">
        <v>229</v>
      </c>
      <c r="AF42" s="106" t="s">
        <v>229</v>
      </c>
      <c r="AG42" s="106" t="s">
        <v>229</v>
      </c>
      <c r="AH42" s="106" t="s">
        <v>229</v>
      </c>
      <c r="AI42" s="106" t="s">
        <v>229</v>
      </c>
      <c r="AJ42" s="106" t="s">
        <v>229</v>
      </c>
      <c r="AK42" s="106" t="s">
        <v>229</v>
      </c>
      <c r="AL42" s="106" t="s">
        <v>229</v>
      </c>
      <c r="AM42" s="106" t="s">
        <v>229</v>
      </c>
      <c r="AN42" s="106" t="s">
        <v>229</v>
      </c>
      <c r="AO42" s="106" t="s">
        <v>229</v>
      </c>
      <c r="AP42" s="106" t="s">
        <v>229</v>
      </c>
      <c r="AQ42" s="106" t="s">
        <v>229</v>
      </c>
      <c r="AR42" s="106" t="s">
        <v>229</v>
      </c>
      <c r="AS42" s="106" t="s">
        <v>229</v>
      </c>
      <c r="AT42" s="106" t="s">
        <v>229</v>
      </c>
      <c r="AU42" s="106" t="s">
        <v>229</v>
      </c>
      <c r="AV42" s="106" t="s">
        <v>229</v>
      </c>
      <c r="AW42" s="106" t="s">
        <v>229</v>
      </c>
      <c r="AX42" s="106" t="s">
        <v>229</v>
      </c>
    </row>
    <row r="43" spans="1:50" ht="12.75" hidden="1" x14ac:dyDescent="0.2">
      <c r="A43" s="101">
        <v>1673</v>
      </c>
      <c r="B43" s="102" t="s">
        <v>281</v>
      </c>
      <c r="C43" s="103" t="s">
        <v>100</v>
      </c>
      <c r="D43" s="103" t="s">
        <v>226</v>
      </c>
      <c r="E43" s="103">
        <v>737029.84</v>
      </c>
      <c r="F43" s="104">
        <v>0.11693262446791464</v>
      </c>
      <c r="G43" s="103">
        <v>6303030</v>
      </c>
      <c r="H43" s="105" t="s">
        <v>227</v>
      </c>
      <c r="I43" s="105">
        <v>1</v>
      </c>
      <c r="J43" s="105">
        <v>1</v>
      </c>
      <c r="K43" s="105">
        <v>1</v>
      </c>
      <c r="L43" s="105" t="s">
        <v>278</v>
      </c>
      <c r="M43" s="106" t="s">
        <v>229</v>
      </c>
      <c r="N43" s="106" t="s">
        <v>229</v>
      </c>
      <c r="O43" s="106" t="s">
        <v>229</v>
      </c>
      <c r="P43" s="106" t="s">
        <v>229</v>
      </c>
      <c r="Q43" s="106" t="s">
        <v>229</v>
      </c>
      <c r="R43" s="106" t="s">
        <v>229</v>
      </c>
      <c r="S43" s="106" t="s">
        <v>229</v>
      </c>
      <c r="T43" s="106" t="s">
        <v>229</v>
      </c>
      <c r="U43" s="106" t="s">
        <v>229</v>
      </c>
      <c r="V43" s="106" t="s">
        <v>229</v>
      </c>
      <c r="W43" s="106" t="s">
        <v>229</v>
      </c>
      <c r="X43" s="106" t="s">
        <v>229</v>
      </c>
      <c r="Y43" s="106" t="s">
        <v>229</v>
      </c>
      <c r="Z43" s="106" t="s">
        <v>229</v>
      </c>
      <c r="AA43" s="106" t="s">
        <v>229</v>
      </c>
      <c r="AB43" s="106" t="s">
        <v>229</v>
      </c>
      <c r="AC43" s="106" t="s">
        <v>229</v>
      </c>
      <c r="AD43" s="106" t="s">
        <v>229</v>
      </c>
      <c r="AE43" s="106" t="s">
        <v>229</v>
      </c>
      <c r="AF43" s="106" t="s">
        <v>229</v>
      </c>
      <c r="AG43" s="106" t="s">
        <v>229</v>
      </c>
      <c r="AH43" s="106" t="s">
        <v>229</v>
      </c>
      <c r="AI43" s="106" t="s">
        <v>229</v>
      </c>
      <c r="AJ43" s="106" t="s">
        <v>229</v>
      </c>
      <c r="AK43" s="106" t="s">
        <v>229</v>
      </c>
      <c r="AL43" s="106" t="s">
        <v>229</v>
      </c>
      <c r="AM43" s="106" t="s">
        <v>229</v>
      </c>
      <c r="AN43" s="106" t="s">
        <v>229</v>
      </c>
      <c r="AO43" s="106" t="s">
        <v>229</v>
      </c>
      <c r="AP43" s="106" t="s">
        <v>229</v>
      </c>
      <c r="AQ43" s="106" t="s">
        <v>229</v>
      </c>
      <c r="AR43" s="106" t="s">
        <v>229</v>
      </c>
      <c r="AS43" s="106" t="s">
        <v>229</v>
      </c>
      <c r="AT43" s="106" t="s">
        <v>229</v>
      </c>
      <c r="AU43" s="106" t="s">
        <v>229</v>
      </c>
      <c r="AV43" s="106" t="s">
        <v>229</v>
      </c>
      <c r="AW43" s="106" t="s">
        <v>229</v>
      </c>
      <c r="AX43" s="106" t="s">
        <v>229</v>
      </c>
    </row>
    <row r="44" spans="1:50" ht="12.75" hidden="1" x14ac:dyDescent="0.2">
      <c r="A44" s="101">
        <v>1075</v>
      </c>
      <c r="B44" s="102" t="s">
        <v>282</v>
      </c>
      <c r="C44" s="103" t="s">
        <v>200</v>
      </c>
      <c r="D44" s="103" t="s">
        <v>237</v>
      </c>
      <c r="E44" s="103" t="e">
        <v>#N/A</v>
      </c>
      <c r="F44" s="104" t="e">
        <v>#N/A</v>
      </c>
      <c r="G44" s="103" t="e">
        <v>#N/A</v>
      </c>
      <c r="H44" s="105" t="s">
        <v>227</v>
      </c>
      <c r="I44" s="105"/>
      <c r="J44" s="105">
        <v>1</v>
      </c>
      <c r="K44" s="105">
        <v>1</v>
      </c>
      <c r="L44" s="105" t="s">
        <v>232</v>
      </c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7"/>
      <c r="AU44" s="106"/>
      <c r="AV44" s="106"/>
      <c r="AW44" s="106"/>
      <c r="AX44" s="106"/>
    </row>
    <row r="45" spans="1:50" ht="12.75" hidden="1" x14ac:dyDescent="0.2">
      <c r="A45" s="101">
        <v>1816</v>
      </c>
      <c r="B45" s="102" t="s">
        <v>283</v>
      </c>
      <c r="C45" s="103" t="s">
        <v>203</v>
      </c>
      <c r="D45" s="103" t="s">
        <v>237</v>
      </c>
      <c r="E45" s="103">
        <v>80704.97</v>
      </c>
      <c r="F45" s="104">
        <v>0.18418223104660186</v>
      </c>
      <c r="G45" s="103">
        <v>438180</v>
      </c>
      <c r="H45" s="105" t="s">
        <v>238</v>
      </c>
      <c r="I45" s="105"/>
      <c r="J45" s="105"/>
      <c r="K45" s="105">
        <v>1</v>
      </c>
      <c r="L45" s="105" t="s">
        <v>239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7"/>
      <c r="AN45" s="106"/>
      <c r="AO45" s="106"/>
      <c r="AP45" s="106"/>
      <c r="AQ45" s="106"/>
      <c r="AR45" s="106"/>
      <c r="AS45" s="107"/>
      <c r="AT45" s="107"/>
      <c r="AU45" s="106"/>
      <c r="AV45" s="106"/>
      <c r="AW45" s="106"/>
      <c r="AX45" s="106"/>
    </row>
    <row r="46" spans="1:50" ht="12.75" hidden="1" x14ac:dyDescent="0.2">
      <c r="A46" s="101">
        <v>2050</v>
      </c>
      <c r="B46" s="102" t="s">
        <v>284</v>
      </c>
      <c r="C46" s="103" t="s">
        <v>100</v>
      </c>
      <c r="D46" s="103" t="s">
        <v>226</v>
      </c>
      <c r="E46" s="103">
        <v>317730.18</v>
      </c>
      <c r="F46" s="104">
        <v>5.7715500689359524E-2</v>
      </c>
      <c r="G46" s="103">
        <v>5505110</v>
      </c>
      <c r="H46" s="105" t="s">
        <v>238</v>
      </c>
      <c r="I46" s="105">
        <v>1</v>
      </c>
      <c r="J46" s="105">
        <v>1</v>
      </c>
      <c r="K46" s="105">
        <v>1</v>
      </c>
      <c r="L46" s="105" t="s">
        <v>248</v>
      </c>
      <c r="M46" s="106" t="s">
        <v>229</v>
      </c>
      <c r="N46" s="106" t="s">
        <v>229</v>
      </c>
      <c r="O46" s="106" t="s">
        <v>229</v>
      </c>
      <c r="P46" s="106" t="s">
        <v>229</v>
      </c>
      <c r="Q46" s="106" t="s">
        <v>229</v>
      </c>
      <c r="R46" s="106" t="s">
        <v>229</v>
      </c>
      <c r="S46" s="106" t="s">
        <v>229</v>
      </c>
      <c r="T46" s="106" t="s">
        <v>229</v>
      </c>
      <c r="U46" s="106" t="s">
        <v>229</v>
      </c>
      <c r="V46" s="106" t="s">
        <v>229</v>
      </c>
      <c r="W46" s="106" t="s">
        <v>229</v>
      </c>
      <c r="X46" s="106" t="s">
        <v>229</v>
      </c>
      <c r="Y46" s="106" t="s">
        <v>229</v>
      </c>
      <c r="Z46" s="106" t="s">
        <v>229</v>
      </c>
      <c r="AA46" s="106" t="s">
        <v>229</v>
      </c>
      <c r="AB46" s="106" t="s">
        <v>229</v>
      </c>
      <c r="AC46" s="106" t="s">
        <v>229</v>
      </c>
      <c r="AD46" s="106" t="s">
        <v>229</v>
      </c>
      <c r="AE46" s="106" t="s">
        <v>229</v>
      </c>
      <c r="AF46" s="106" t="s">
        <v>229</v>
      </c>
      <c r="AG46" s="106" t="s">
        <v>229</v>
      </c>
      <c r="AH46" s="106" t="s">
        <v>229</v>
      </c>
      <c r="AI46" s="106" t="s">
        <v>229</v>
      </c>
      <c r="AJ46" s="106" t="s">
        <v>229</v>
      </c>
      <c r="AK46" s="106" t="s">
        <v>229</v>
      </c>
      <c r="AL46" s="106" t="s">
        <v>229</v>
      </c>
      <c r="AM46" s="106" t="s">
        <v>229</v>
      </c>
      <c r="AN46" s="106" t="s">
        <v>229</v>
      </c>
      <c r="AO46" s="106" t="s">
        <v>229</v>
      </c>
      <c r="AP46" s="106" t="s">
        <v>229</v>
      </c>
      <c r="AQ46" s="106" t="s">
        <v>229</v>
      </c>
      <c r="AR46" s="106" t="s">
        <v>229</v>
      </c>
      <c r="AS46" s="106" t="s">
        <v>229</v>
      </c>
      <c r="AT46" s="106" t="s">
        <v>229</v>
      </c>
      <c r="AU46" s="106" t="s">
        <v>229</v>
      </c>
      <c r="AV46" s="106" t="s">
        <v>229</v>
      </c>
      <c r="AW46" s="106" t="s">
        <v>229</v>
      </c>
      <c r="AX46" s="106" t="s">
        <v>229</v>
      </c>
    </row>
    <row r="47" spans="1:50" ht="12.75" hidden="1" x14ac:dyDescent="0.2">
      <c r="A47" s="101">
        <v>1806</v>
      </c>
      <c r="B47" s="102" t="s">
        <v>285</v>
      </c>
      <c r="C47" s="103" t="s">
        <v>200</v>
      </c>
      <c r="D47" s="103" t="s">
        <v>226</v>
      </c>
      <c r="E47" s="103">
        <v>108044.91</v>
      </c>
      <c r="F47" s="104">
        <v>0.14859295577071185</v>
      </c>
      <c r="G47" s="103">
        <v>727120</v>
      </c>
      <c r="H47" s="105" t="s">
        <v>227</v>
      </c>
      <c r="I47" s="105"/>
      <c r="J47" s="105">
        <v>1</v>
      </c>
      <c r="K47" s="105">
        <v>1</v>
      </c>
      <c r="L47" s="105" t="s">
        <v>239</v>
      </c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7"/>
      <c r="AN47" s="106"/>
      <c r="AO47" s="106"/>
      <c r="AP47" s="106"/>
      <c r="AQ47" s="106" t="s">
        <v>229</v>
      </c>
      <c r="AR47" s="106" t="s">
        <v>229</v>
      </c>
      <c r="AS47" s="106" t="s">
        <v>229</v>
      </c>
      <c r="AT47" s="106" t="s">
        <v>229</v>
      </c>
      <c r="AU47" s="106" t="s">
        <v>229</v>
      </c>
      <c r="AV47" s="106"/>
      <c r="AW47" s="106"/>
      <c r="AX47" s="106"/>
    </row>
    <row r="48" spans="1:50" ht="12.75" hidden="1" x14ac:dyDescent="0.2">
      <c r="A48" s="101">
        <v>1068</v>
      </c>
      <c r="B48" s="102" t="s">
        <v>286</v>
      </c>
      <c r="C48" s="103" t="s">
        <v>200</v>
      </c>
      <c r="D48" s="103" t="s">
        <v>237</v>
      </c>
      <c r="E48" s="103">
        <v>0</v>
      </c>
      <c r="F48" s="104" t="e">
        <v>#DIV/0!</v>
      </c>
      <c r="G48" s="103">
        <v>0</v>
      </c>
      <c r="H48" s="105" t="s">
        <v>227</v>
      </c>
      <c r="I48" s="105"/>
      <c r="J48" s="105">
        <v>1</v>
      </c>
      <c r="K48" s="105">
        <v>1</v>
      </c>
      <c r="L48" s="105" t="s">
        <v>239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7"/>
      <c r="AN48" s="106"/>
      <c r="AO48" s="106"/>
      <c r="AP48" s="106"/>
      <c r="AQ48" s="106"/>
      <c r="AR48" s="106"/>
      <c r="AS48" s="107"/>
      <c r="AT48" s="107"/>
      <c r="AU48" s="106"/>
      <c r="AV48" s="106"/>
      <c r="AW48" s="106"/>
      <c r="AX48" s="106"/>
    </row>
    <row r="49" spans="1:50" ht="12.75" hidden="1" x14ac:dyDescent="0.2">
      <c r="A49" s="101">
        <v>2607</v>
      </c>
      <c r="B49" s="102" t="s">
        <v>287</v>
      </c>
      <c r="C49" s="103" t="s">
        <v>203</v>
      </c>
      <c r="D49" s="103" t="s">
        <v>237</v>
      </c>
      <c r="E49" s="103" t="e">
        <v>#N/A</v>
      </c>
      <c r="F49" s="104" t="e">
        <v>#N/A</v>
      </c>
      <c r="G49" s="103" t="e">
        <v>#N/A</v>
      </c>
      <c r="H49" s="105" t="s">
        <v>238</v>
      </c>
      <c r="I49" s="105"/>
      <c r="J49" s="105"/>
      <c r="K49" s="105">
        <v>1</v>
      </c>
      <c r="L49" s="105" t="s">
        <v>241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7"/>
      <c r="AU49" s="106"/>
      <c r="AV49" s="106"/>
      <c r="AW49" s="106"/>
      <c r="AX49" s="106"/>
    </row>
    <row r="50" spans="1:50" ht="12.75" hidden="1" x14ac:dyDescent="0.2">
      <c r="A50" s="101">
        <v>1675</v>
      </c>
      <c r="B50" s="102" t="s">
        <v>288</v>
      </c>
      <c r="C50" s="103" t="s">
        <v>100</v>
      </c>
      <c r="D50" s="103" t="s">
        <v>226</v>
      </c>
      <c r="E50" s="103">
        <v>1418652.31</v>
      </c>
      <c r="F50" s="104">
        <v>0.19579419732997683</v>
      </c>
      <c r="G50" s="103">
        <v>7245630</v>
      </c>
      <c r="H50" s="105" t="s">
        <v>227</v>
      </c>
      <c r="I50" s="105">
        <v>1</v>
      </c>
      <c r="J50" s="105">
        <v>1</v>
      </c>
      <c r="K50" s="105">
        <v>1</v>
      </c>
      <c r="L50" s="105" t="s">
        <v>232</v>
      </c>
      <c r="M50" s="106" t="s">
        <v>229</v>
      </c>
      <c r="N50" s="106" t="s">
        <v>229</v>
      </c>
      <c r="O50" s="106" t="s">
        <v>229</v>
      </c>
      <c r="P50" s="106" t="s">
        <v>229</v>
      </c>
      <c r="Q50" s="106" t="s">
        <v>229</v>
      </c>
      <c r="R50" s="106" t="s">
        <v>229</v>
      </c>
      <c r="S50" s="106" t="s">
        <v>229</v>
      </c>
      <c r="T50" s="106" t="s">
        <v>229</v>
      </c>
      <c r="U50" s="106" t="s">
        <v>229</v>
      </c>
      <c r="V50" s="106" t="s">
        <v>229</v>
      </c>
      <c r="W50" s="106" t="s">
        <v>229</v>
      </c>
      <c r="X50" s="106" t="s">
        <v>229</v>
      </c>
      <c r="Y50" s="106" t="s">
        <v>229</v>
      </c>
      <c r="Z50" s="106" t="s">
        <v>229</v>
      </c>
      <c r="AA50" s="106" t="s">
        <v>229</v>
      </c>
      <c r="AB50" s="106" t="s">
        <v>229</v>
      </c>
      <c r="AC50" s="106" t="s">
        <v>229</v>
      </c>
      <c r="AD50" s="106" t="s">
        <v>229</v>
      </c>
      <c r="AE50" s="106" t="s">
        <v>229</v>
      </c>
      <c r="AF50" s="106" t="s">
        <v>229</v>
      </c>
      <c r="AG50" s="106" t="s">
        <v>229</v>
      </c>
      <c r="AH50" s="106" t="s">
        <v>229</v>
      </c>
      <c r="AI50" s="106" t="s">
        <v>229</v>
      </c>
      <c r="AJ50" s="106" t="s">
        <v>229</v>
      </c>
      <c r="AK50" s="106" t="s">
        <v>229</v>
      </c>
      <c r="AL50" s="106" t="s">
        <v>229</v>
      </c>
      <c r="AM50" s="106" t="s">
        <v>229</v>
      </c>
      <c r="AN50" s="106" t="s">
        <v>229</v>
      </c>
      <c r="AO50" s="106" t="s">
        <v>229</v>
      </c>
      <c r="AP50" s="106" t="s">
        <v>229</v>
      </c>
      <c r="AQ50" s="106" t="s">
        <v>229</v>
      </c>
      <c r="AR50" s="106" t="s">
        <v>229</v>
      </c>
      <c r="AS50" s="106" t="s">
        <v>229</v>
      </c>
      <c r="AT50" s="106" t="s">
        <v>229</v>
      </c>
      <c r="AU50" s="106" t="s">
        <v>229</v>
      </c>
      <c r="AV50" s="106" t="s">
        <v>229</v>
      </c>
      <c r="AW50" s="106" t="s">
        <v>229</v>
      </c>
      <c r="AX50" s="106" t="s">
        <v>229</v>
      </c>
    </row>
    <row r="51" spans="1:50" ht="12.75" hidden="1" x14ac:dyDescent="0.2">
      <c r="A51" s="101">
        <v>231</v>
      </c>
      <c r="B51" s="102" t="s">
        <v>289</v>
      </c>
      <c r="C51" s="103" t="s">
        <v>100</v>
      </c>
      <c r="D51" s="103" t="s">
        <v>237</v>
      </c>
      <c r="E51" s="103">
        <v>0</v>
      </c>
      <c r="F51" s="104" t="e">
        <v>#DIV/0!</v>
      </c>
      <c r="G51" s="103">
        <v>0</v>
      </c>
      <c r="H51" s="105" t="s">
        <v>227</v>
      </c>
      <c r="I51" s="105">
        <v>2</v>
      </c>
      <c r="J51" s="105">
        <v>1</v>
      </c>
      <c r="K51" s="105">
        <v>1</v>
      </c>
      <c r="L51" s="105" t="s">
        <v>239</v>
      </c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7"/>
      <c r="AU51" s="106"/>
      <c r="AV51" s="106"/>
      <c r="AW51" s="106"/>
      <c r="AX51" s="106"/>
    </row>
    <row r="52" spans="1:50" ht="12.75" hidden="1" x14ac:dyDescent="0.2">
      <c r="A52" s="101">
        <v>1868</v>
      </c>
      <c r="B52" s="102" t="s">
        <v>290</v>
      </c>
      <c r="C52" s="103" t="s">
        <v>100</v>
      </c>
      <c r="D52" s="103" t="s">
        <v>226</v>
      </c>
      <c r="E52" s="103">
        <v>69600</v>
      </c>
      <c r="F52" s="104">
        <v>1.2538281390740407</v>
      </c>
      <c r="G52" s="103">
        <v>55510</v>
      </c>
      <c r="H52" s="105" t="s">
        <v>227</v>
      </c>
      <c r="I52" s="105">
        <v>2</v>
      </c>
      <c r="J52" s="105">
        <v>1</v>
      </c>
      <c r="K52" s="105">
        <v>1</v>
      </c>
      <c r="L52" s="105" t="s">
        <v>232</v>
      </c>
      <c r="M52" s="106" t="s">
        <v>229</v>
      </c>
      <c r="N52" s="106" t="s">
        <v>229</v>
      </c>
      <c r="O52" s="106" t="s">
        <v>229</v>
      </c>
      <c r="P52" s="106" t="s">
        <v>229</v>
      </c>
      <c r="Q52" s="106" t="s">
        <v>229</v>
      </c>
      <c r="R52" s="106" t="s">
        <v>229</v>
      </c>
      <c r="S52" s="106" t="s">
        <v>229</v>
      </c>
      <c r="T52" s="106" t="s">
        <v>229</v>
      </c>
      <c r="U52" s="106" t="s">
        <v>229</v>
      </c>
      <c r="V52" s="106" t="s">
        <v>229</v>
      </c>
      <c r="W52" s="106" t="s">
        <v>229</v>
      </c>
      <c r="X52" s="106" t="s">
        <v>229</v>
      </c>
      <c r="Y52" s="106" t="s">
        <v>229</v>
      </c>
      <c r="Z52" s="106" t="s">
        <v>229</v>
      </c>
      <c r="AA52" s="106" t="s">
        <v>229</v>
      </c>
      <c r="AB52" s="106" t="s">
        <v>229</v>
      </c>
      <c r="AC52" s="106" t="s">
        <v>229</v>
      </c>
      <c r="AD52" s="106" t="s">
        <v>229</v>
      </c>
      <c r="AE52" s="106" t="s">
        <v>229</v>
      </c>
      <c r="AF52" s="106" t="s">
        <v>229</v>
      </c>
      <c r="AG52" s="106" t="s">
        <v>229</v>
      </c>
      <c r="AH52" s="106" t="s">
        <v>229</v>
      </c>
      <c r="AI52" s="106" t="s">
        <v>229</v>
      </c>
      <c r="AJ52" s="106" t="s">
        <v>229</v>
      </c>
      <c r="AK52" s="106" t="s">
        <v>229</v>
      </c>
      <c r="AL52" s="106" t="s">
        <v>229</v>
      </c>
      <c r="AM52" s="106" t="s">
        <v>229</v>
      </c>
      <c r="AN52" s="106" t="s">
        <v>229</v>
      </c>
      <c r="AO52" s="106" t="s">
        <v>229</v>
      </c>
      <c r="AP52" s="106" t="s">
        <v>229</v>
      </c>
      <c r="AQ52" s="106" t="s">
        <v>229</v>
      </c>
      <c r="AR52" s="106" t="s">
        <v>229</v>
      </c>
      <c r="AS52" s="106" t="s">
        <v>229</v>
      </c>
      <c r="AT52" s="106" t="s">
        <v>229</v>
      </c>
      <c r="AU52" s="106" t="s">
        <v>229</v>
      </c>
      <c r="AV52" s="106" t="s">
        <v>229</v>
      </c>
      <c r="AW52" s="106" t="s">
        <v>229</v>
      </c>
      <c r="AX52" s="106" t="s">
        <v>229</v>
      </c>
    </row>
    <row r="53" spans="1:50" ht="12.75" hidden="1" x14ac:dyDescent="0.2">
      <c r="A53" s="101">
        <v>1076</v>
      </c>
      <c r="B53" s="102" t="s">
        <v>291</v>
      </c>
      <c r="C53" s="103" t="s">
        <v>200</v>
      </c>
      <c r="D53" s="103" t="s">
        <v>226</v>
      </c>
      <c r="E53" s="103">
        <v>144698.48000000001</v>
      </c>
      <c r="F53" s="104">
        <v>0.13246288345523954</v>
      </c>
      <c r="G53" s="103">
        <v>1092370</v>
      </c>
      <c r="H53" s="105" t="s">
        <v>227</v>
      </c>
      <c r="I53" s="105"/>
      <c r="J53" s="105">
        <v>1</v>
      </c>
      <c r="K53" s="105">
        <v>1</v>
      </c>
      <c r="L53" s="105" t="s">
        <v>232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 t="s">
        <v>229</v>
      </c>
      <c r="AR53" s="106" t="s">
        <v>229</v>
      </c>
      <c r="AS53" s="106" t="s">
        <v>229</v>
      </c>
      <c r="AT53" s="106" t="s">
        <v>229</v>
      </c>
      <c r="AU53" s="106" t="s">
        <v>229</v>
      </c>
      <c r="AV53" s="106"/>
      <c r="AW53" s="106"/>
      <c r="AX53" s="106"/>
    </row>
    <row r="54" spans="1:50" ht="12.75" hidden="1" x14ac:dyDescent="0.2">
      <c r="A54" s="101">
        <v>2473</v>
      </c>
      <c r="B54" s="102" t="s">
        <v>292</v>
      </c>
      <c r="C54" s="103" t="s">
        <v>200</v>
      </c>
      <c r="D54" s="103" t="s">
        <v>237</v>
      </c>
      <c r="E54" s="103" t="e">
        <v>#N/A</v>
      </c>
      <c r="F54" s="104" t="e">
        <v>#N/A</v>
      </c>
      <c r="G54" s="103" t="e">
        <v>#N/A</v>
      </c>
      <c r="H54" s="105" t="s">
        <v>227</v>
      </c>
      <c r="I54" s="105"/>
      <c r="J54" s="105">
        <v>1</v>
      </c>
      <c r="K54" s="105">
        <v>1</v>
      </c>
      <c r="L54" s="105" t="s">
        <v>239</v>
      </c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7"/>
      <c r="AU54" s="106"/>
      <c r="AV54" s="106"/>
      <c r="AW54" s="106"/>
      <c r="AX54" s="106"/>
    </row>
    <row r="55" spans="1:50" ht="12.75" hidden="1" x14ac:dyDescent="0.2">
      <c r="A55" s="101">
        <v>1623</v>
      </c>
      <c r="B55" s="102" t="s">
        <v>293</v>
      </c>
      <c r="C55" s="103" t="s">
        <v>200</v>
      </c>
      <c r="D55" s="103" t="s">
        <v>226</v>
      </c>
      <c r="E55" s="103">
        <v>97925.78</v>
      </c>
      <c r="F55" s="104">
        <v>0.23455276646706585</v>
      </c>
      <c r="G55" s="103">
        <v>417500</v>
      </c>
      <c r="H55" s="105" t="s">
        <v>238</v>
      </c>
      <c r="I55" s="105"/>
      <c r="J55" s="105">
        <v>1</v>
      </c>
      <c r="K55" s="105">
        <v>1</v>
      </c>
      <c r="L55" s="105" t="s">
        <v>232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 t="s">
        <v>229</v>
      </c>
      <c r="AR55" s="106" t="s">
        <v>229</v>
      </c>
      <c r="AS55" s="106" t="s">
        <v>229</v>
      </c>
      <c r="AT55" s="106" t="s">
        <v>229</v>
      </c>
      <c r="AU55" s="106" t="s">
        <v>229</v>
      </c>
      <c r="AV55" s="106"/>
      <c r="AW55" s="106"/>
      <c r="AX55" s="106"/>
    </row>
    <row r="56" spans="1:50" ht="12.75" hidden="1" x14ac:dyDescent="0.2">
      <c r="A56" s="101">
        <v>1867</v>
      </c>
      <c r="B56" s="102" t="s">
        <v>294</v>
      </c>
      <c r="C56" s="103" t="s">
        <v>200</v>
      </c>
      <c r="D56" s="103" t="s">
        <v>226</v>
      </c>
      <c r="E56" s="103">
        <v>81817.350000000006</v>
      </c>
      <c r="F56" s="104">
        <v>7.1285613466464531E-2</v>
      </c>
      <c r="G56" s="103">
        <v>1147740</v>
      </c>
      <c r="H56" s="105" t="s">
        <v>238</v>
      </c>
      <c r="I56" s="105"/>
      <c r="J56" s="105">
        <v>1</v>
      </c>
      <c r="K56" s="105">
        <v>1</v>
      </c>
      <c r="L56" s="105" t="s">
        <v>295</v>
      </c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 t="s">
        <v>229</v>
      </c>
      <c r="AR56" s="106" t="s">
        <v>229</v>
      </c>
      <c r="AS56" s="106" t="s">
        <v>229</v>
      </c>
      <c r="AT56" s="106" t="s">
        <v>229</v>
      </c>
      <c r="AU56" s="106" t="s">
        <v>229</v>
      </c>
      <c r="AV56" s="106"/>
      <c r="AW56" s="106"/>
      <c r="AX56" s="106"/>
    </row>
    <row r="57" spans="1:50" ht="12.75" x14ac:dyDescent="0.2">
      <c r="A57" s="101">
        <v>2001</v>
      </c>
      <c r="B57" s="102" t="s">
        <v>296</v>
      </c>
      <c r="C57" s="103" t="s">
        <v>203</v>
      </c>
      <c r="D57" s="103" t="s">
        <v>226</v>
      </c>
      <c r="E57" s="103">
        <v>50585.279999999999</v>
      </c>
      <c r="F57" s="104">
        <v>0.11833367642930663</v>
      </c>
      <c r="G57" s="103">
        <v>427480</v>
      </c>
      <c r="H57" s="105" t="s">
        <v>238</v>
      </c>
      <c r="I57" s="105"/>
      <c r="J57" s="105"/>
      <c r="K57" s="105">
        <v>1</v>
      </c>
      <c r="L57" s="105" t="s">
        <v>241</v>
      </c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7"/>
      <c r="AU57" s="106"/>
      <c r="AV57" s="106" t="s">
        <v>229</v>
      </c>
      <c r="AW57" s="106" t="s">
        <v>229</v>
      </c>
      <c r="AX57" s="106" t="s">
        <v>229</v>
      </c>
    </row>
    <row r="58" spans="1:50" ht="12.75" hidden="1" x14ac:dyDescent="0.2">
      <c r="A58" s="101">
        <v>883</v>
      </c>
      <c r="B58" s="102" t="s">
        <v>297</v>
      </c>
      <c r="C58" s="103" t="s">
        <v>200</v>
      </c>
      <c r="D58" s="103" t="s">
        <v>226</v>
      </c>
      <c r="E58" s="103">
        <v>129366.67</v>
      </c>
      <c r="F58" s="104">
        <v>0.13056789463060153</v>
      </c>
      <c r="G58" s="103">
        <v>990800</v>
      </c>
      <c r="H58" s="105" t="s">
        <v>227</v>
      </c>
      <c r="I58" s="105"/>
      <c r="J58" s="105">
        <v>1</v>
      </c>
      <c r="K58" s="105">
        <v>1</v>
      </c>
      <c r="L58" s="105" t="s">
        <v>248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 t="s">
        <v>229</v>
      </c>
      <c r="AR58" s="106" t="s">
        <v>229</v>
      </c>
      <c r="AS58" s="106" t="s">
        <v>229</v>
      </c>
      <c r="AT58" s="106" t="s">
        <v>229</v>
      </c>
      <c r="AU58" s="106" t="s">
        <v>229</v>
      </c>
      <c r="AV58" s="106"/>
      <c r="AW58" s="106"/>
      <c r="AX58" s="106"/>
    </row>
    <row r="59" spans="1:50" ht="12.75" hidden="1" x14ac:dyDescent="0.2">
      <c r="A59" s="101">
        <v>233</v>
      </c>
      <c r="B59" s="102" t="s">
        <v>298</v>
      </c>
      <c r="C59" s="103" t="s">
        <v>100</v>
      </c>
      <c r="D59" s="103" t="s">
        <v>226</v>
      </c>
      <c r="E59" s="103">
        <v>560817.78</v>
      </c>
      <c r="F59" s="104">
        <v>0.12996574371048777</v>
      </c>
      <c r="G59" s="103">
        <v>4315120</v>
      </c>
      <c r="H59" s="105" t="s">
        <v>227</v>
      </c>
      <c r="I59" s="105">
        <v>2</v>
      </c>
      <c r="J59" s="105">
        <v>1</v>
      </c>
      <c r="K59" s="105">
        <v>1</v>
      </c>
      <c r="L59" s="105" t="s">
        <v>239</v>
      </c>
      <c r="M59" s="106" t="s">
        <v>229</v>
      </c>
      <c r="N59" s="106" t="s">
        <v>229</v>
      </c>
      <c r="O59" s="106" t="s">
        <v>229</v>
      </c>
      <c r="P59" s="106" t="s">
        <v>229</v>
      </c>
      <c r="Q59" s="106" t="s">
        <v>229</v>
      </c>
      <c r="R59" s="106" t="s">
        <v>229</v>
      </c>
      <c r="S59" s="106" t="s">
        <v>229</v>
      </c>
      <c r="T59" s="106" t="s">
        <v>229</v>
      </c>
      <c r="U59" s="106" t="s">
        <v>229</v>
      </c>
      <c r="V59" s="106" t="s">
        <v>229</v>
      </c>
      <c r="W59" s="106" t="s">
        <v>229</v>
      </c>
      <c r="X59" s="106" t="s">
        <v>229</v>
      </c>
      <c r="Y59" s="106" t="s">
        <v>229</v>
      </c>
      <c r="Z59" s="106" t="s">
        <v>229</v>
      </c>
      <c r="AA59" s="106" t="s">
        <v>229</v>
      </c>
      <c r="AB59" s="106" t="s">
        <v>229</v>
      </c>
      <c r="AC59" s="106" t="s">
        <v>229</v>
      </c>
      <c r="AD59" s="106" t="s">
        <v>229</v>
      </c>
      <c r="AE59" s="106" t="s">
        <v>229</v>
      </c>
      <c r="AF59" s="106" t="s">
        <v>229</v>
      </c>
      <c r="AG59" s="106" t="s">
        <v>229</v>
      </c>
      <c r="AH59" s="106" t="s">
        <v>229</v>
      </c>
      <c r="AI59" s="106" t="s">
        <v>229</v>
      </c>
      <c r="AJ59" s="106" t="s">
        <v>229</v>
      </c>
      <c r="AK59" s="106" t="s">
        <v>229</v>
      </c>
      <c r="AL59" s="106" t="s">
        <v>229</v>
      </c>
      <c r="AM59" s="106" t="s">
        <v>229</v>
      </c>
      <c r="AN59" s="106" t="s">
        <v>229</v>
      </c>
      <c r="AO59" s="106" t="s">
        <v>229</v>
      </c>
      <c r="AP59" s="106" t="s">
        <v>229</v>
      </c>
      <c r="AQ59" s="106" t="s">
        <v>229</v>
      </c>
      <c r="AR59" s="106" t="s">
        <v>229</v>
      </c>
      <c r="AS59" s="106" t="s">
        <v>229</v>
      </c>
      <c r="AT59" s="106" t="s">
        <v>229</v>
      </c>
      <c r="AU59" s="106" t="s">
        <v>229</v>
      </c>
      <c r="AV59" s="106" t="s">
        <v>229</v>
      </c>
      <c r="AW59" s="106" t="s">
        <v>229</v>
      </c>
      <c r="AX59" s="106" t="s">
        <v>229</v>
      </c>
    </row>
    <row r="60" spans="1:50" ht="12.75" hidden="1" x14ac:dyDescent="0.2">
      <c r="A60" s="101">
        <v>1601</v>
      </c>
      <c r="B60" s="102" t="s">
        <v>299</v>
      </c>
      <c r="C60" s="103" t="s">
        <v>100</v>
      </c>
      <c r="D60" s="103" t="s">
        <v>226</v>
      </c>
      <c r="E60" s="103">
        <v>651235.67000000004</v>
      </c>
      <c r="F60" s="104">
        <v>0.12121605317430183</v>
      </c>
      <c r="G60" s="103">
        <v>5372520</v>
      </c>
      <c r="H60" s="105" t="s">
        <v>227</v>
      </c>
      <c r="I60" s="105">
        <v>1</v>
      </c>
      <c r="J60" s="105">
        <v>1</v>
      </c>
      <c r="K60" s="105">
        <v>1</v>
      </c>
      <c r="L60" s="105" t="s">
        <v>300</v>
      </c>
      <c r="M60" s="106" t="s">
        <v>229</v>
      </c>
      <c r="N60" s="106" t="s">
        <v>229</v>
      </c>
      <c r="O60" s="106" t="s">
        <v>229</v>
      </c>
      <c r="P60" s="106" t="s">
        <v>229</v>
      </c>
      <c r="Q60" s="106" t="s">
        <v>229</v>
      </c>
      <c r="R60" s="106" t="s">
        <v>229</v>
      </c>
      <c r="S60" s="106" t="s">
        <v>229</v>
      </c>
      <c r="T60" s="106" t="s">
        <v>229</v>
      </c>
      <c r="U60" s="106" t="s">
        <v>229</v>
      </c>
      <c r="V60" s="106" t="s">
        <v>229</v>
      </c>
      <c r="W60" s="106" t="s">
        <v>229</v>
      </c>
      <c r="X60" s="106" t="s">
        <v>229</v>
      </c>
      <c r="Y60" s="106" t="s">
        <v>229</v>
      </c>
      <c r="Z60" s="106" t="s">
        <v>229</v>
      </c>
      <c r="AA60" s="106" t="s">
        <v>229</v>
      </c>
      <c r="AB60" s="106" t="s">
        <v>229</v>
      </c>
      <c r="AC60" s="106" t="s">
        <v>229</v>
      </c>
      <c r="AD60" s="106" t="s">
        <v>229</v>
      </c>
      <c r="AE60" s="106" t="s">
        <v>229</v>
      </c>
      <c r="AF60" s="106" t="s">
        <v>229</v>
      </c>
      <c r="AG60" s="106" t="s">
        <v>229</v>
      </c>
      <c r="AH60" s="106" t="s">
        <v>229</v>
      </c>
      <c r="AI60" s="106" t="s">
        <v>229</v>
      </c>
      <c r="AJ60" s="106" t="s">
        <v>229</v>
      </c>
      <c r="AK60" s="106" t="s">
        <v>229</v>
      </c>
      <c r="AL60" s="106" t="s">
        <v>229</v>
      </c>
      <c r="AM60" s="106" t="s">
        <v>229</v>
      </c>
      <c r="AN60" s="106" t="s">
        <v>229</v>
      </c>
      <c r="AO60" s="106" t="s">
        <v>229</v>
      </c>
      <c r="AP60" s="106" t="s">
        <v>229</v>
      </c>
      <c r="AQ60" s="106" t="s">
        <v>229</v>
      </c>
      <c r="AR60" s="106" t="s">
        <v>229</v>
      </c>
      <c r="AS60" s="106" t="s">
        <v>229</v>
      </c>
      <c r="AT60" s="106" t="s">
        <v>229</v>
      </c>
      <c r="AU60" s="106" t="s">
        <v>229</v>
      </c>
      <c r="AV60" s="106" t="s">
        <v>229</v>
      </c>
      <c r="AW60" s="106" t="s">
        <v>229</v>
      </c>
      <c r="AX60" s="106" t="s">
        <v>229</v>
      </c>
    </row>
    <row r="61" spans="1:50" ht="12.75" x14ac:dyDescent="0.2">
      <c r="A61" s="101">
        <v>1081</v>
      </c>
      <c r="B61" s="102" t="s">
        <v>302</v>
      </c>
      <c r="C61" s="103" t="s">
        <v>203</v>
      </c>
      <c r="D61" s="103" t="s">
        <v>226</v>
      </c>
      <c r="E61" s="103">
        <v>48947.64</v>
      </c>
      <c r="F61" s="104">
        <v>0.25500203177910913</v>
      </c>
      <c r="G61" s="103">
        <v>191950</v>
      </c>
      <c r="H61" s="105" t="s">
        <v>238</v>
      </c>
      <c r="I61" s="105"/>
      <c r="J61" s="105"/>
      <c r="K61" s="105">
        <v>1</v>
      </c>
      <c r="L61" s="105" t="s">
        <v>241</v>
      </c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7"/>
      <c r="AU61" s="106"/>
      <c r="AV61" s="106" t="s">
        <v>229</v>
      </c>
      <c r="AW61" s="106" t="s">
        <v>229</v>
      </c>
      <c r="AX61" s="106" t="s">
        <v>229</v>
      </c>
    </row>
    <row r="62" spans="1:50" ht="12.75" x14ac:dyDescent="0.2">
      <c r="A62" s="101">
        <v>1073</v>
      </c>
      <c r="B62" s="102" t="s">
        <v>303</v>
      </c>
      <c r="C62" s="103" t="s">
        <v>203</v>
      </c>
      <c r="D62" s="103" t="s">
        <v>226</v>
      </c>
      <c r="E62" s="103">
        <v>171356.26</v>
      </c>
      <c r="F62" s="104">
        <v>0.59577310340031986</v>
      </c>
      <c r="G62" s="103">
        <v>287620</v>
      </c>
      <c r="H62" s="105" t="s">
        <v>238</v>
      </c>
      <c r="I62" s="105"/>
      <c r="J62" s="105"/>
      <c r="K62" s="105">
        <v>1</v>
      </c>
      <c r="L62" s="105" t="s">
        <v>239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7"/>
      <c r="AU62" s="106"/>
      <c r="AV62" s="106" t="s">
        <v>229</v>
      </c>
      <c r="AW62" s="106" t="s">
        <v>229</v>
      </c>
      <c r="AX62" s="106" t="s">
        <v>229</v>
      </c>
    </row>
    <row r="63" spans="1:50" ht="12.75" hidden="1" x14ac:dyDescent="0.2">
      <c r="A63" s="101">
        <v>1812</v>
      </c>
      <c r="B63" s="102" t="s">
        <v>304</v>
      </c>
      <c r="C63" s="103" t="s">
        <v>200</v>
      </c>
      <c r="D63" s="103" t="s">
        <v>226</v>
      </c>
      <c r="E63" s="103">
        <v>78483.69</v>
      </c>
      <c r="F63" s="104">
        <v>0.13758447864806114</v>
      </c>
      <c r="G63" s="103">
        <v>570440</v>
      </c>
      <c r="H63" s="105" t="s">
        <v>227</v>
      </c>
      <c r="I63" s="105"/>
      <c r="J63" s="105">
        <v>1</v>
      </c>
      <c r="K63" s="105">
        <v>1</v>
      </c>
      <c r="L63" s="105" t="s">
        <v>248</v>
      </c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 t="s">
        <v>229</v>
      </c>
      <c r="AR63" s="106" t="s">
        <v>229</v>
      </c>
      <c r="AS63" s="106" t="s">
        <v>229</v>
      </c>
      <c r="AT63" s="106" t="s">
        <v>229</v>
      </c>
      <c r="AU63" s="106" t="s">
        <v>229</v>
      </c>
      <c r="AV63" s="106"/>
      <c r="AW63" s="106"/>
      <c r="AX63" s="106"/>
    </row>
    <row r="64" spans="1:50" ht="12.75" hidden="1" x14ac:dyDescent="0.2">
      <c r="A64" s="101">
        <v>1156</v>
      </c>
      <c r="B64" s="102" t="s">
        <v>305</v>
      </c>
      <c r="C64" s="103" t="s">
        <v>200</v>
      </c>
      <c r="D64" s="103" t="s">
        <v>237</v>
      </c>
      <c r="E64" s="103">
        <v>0</v>
      </c>
      <c r="F64" s="104" t="e">
        <v>#DIV/0!</v>
      </c>
      <c r="G64" s="103">
        <v>0</v>
      </c>
      <c r="H64" s="105" t="s">
        <v>227</v>
      </c>
      <c r="I64" s="105"/>
      <c r="J64" s="105">
        <v>1</v>
      </c>
      <c r="K64" s="105">
        <v>1</v>
      </c>
      <c r="L64" s="105" t="s">
        <v>232</v>
      </c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7"/>
      <c r="AU64" s="106"/>
      <c r="AV64" s="106"/>
      <c r="AW64" s="106"/>
      <c r="AX64" s="106"/>
    </row>
    <row r="65" spans="1:50" ht="12.75" hidden="1" x14ac:dyDescent="0.2">
      <c r="A65" s="101">
        <v>1082</v>
      </c>
      <c r="B65" s="102" t="s">
        <v>1239</v>
      </c>
      <c r="C65" s="103" t="s">
        <v>200</v>
      </c>
      <c r="D65" s="103" t="s">
        <v>226</v>
      </c>
      <c r="E65" s="103">
        <v>274171.90000000002</v>
      </c>
      <c r="F65" s="104">
        <v>0.50148503804506883</v>
      </c>
      <c r="G65" s="103">
        <v>546720</v>
      </c>
      <c r="H65" s="105" t="s">
        <v>238</v>
      </c>
      <c r="I65" s="105"/>
      <c r="J65" s="105">
        <v>1</v>
      </c>
      <c r="K65" s="105">
        <v>1</v>
      </c>
      <c r="L65" s="105" t="s">
        <v>241</v>
      </c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 t="s">
        <v>229</v>
      </c>
      <c r="AR65" s="106" t="s">
        <v>229</v>
      </c>
      <c r="AS65" s="106" t="s">
        <v>229</v>
      </c>
      <c r="AT65" s="106" t="s">
        <v>229</v>
      </c>
      <c r="AU65" s="106" t="s">
        <v>229</v>
      </c>
      <c r="AV65" s="106"/>
      <c r="AW65" s="106"/>
      <c r="AX65" s="106"/>
    </row>
    <row r="66" spans="1:50" ht="12.75" hidden="1" x14ac:dyDescent="0.2">
      <c r="A66" s="101">
        <v>2242</v>
      </c>
      <c r="B66" s="102" t="s">
        <v>308</v>
      </c>
      <c r="C66" s="103" t="s">
        <v>100</v>
      </c>
      <c r="D66" s="103" t="s">
        <v>237</v>
      </c>
      <c r="E66" s="103">
        <v>-22668.66</v>
      </c>
      <c r="F66" s="104">
        <v>-1.0523983286908078</v>
      </c>
      <c r="G66" s="103">
        <v>21540</v>
      </c>
      <c r="H66" s="105" t="s">
        <v>227</v>
      </c>
      <c r="I66" s="105">
        <v>1</v>
      </c>
      <c r="J66" s="105">
        <v>1</v>
      </c>
      <c r="K66" s="105">
        <v>1</v>
      </c>
      <c r="L66" s="105" t="s">
        <v>232</v>
      </c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7"/>
      <c r="AU66" s="106"/>
      <c r="AV66" s="106"/>
      <c r="AW66" s="106"/>
      <c r="AX66" s="106"/>
    </row>
    <row r="67" spans="1:50" ht="12.75" hidden="1" x14ac:dyDescent="0.2">
      <c r="A67" s="101">
        <v>235</v>
      </c>
      <c r="B67" s="102" t="s">
        <v>309</v>
      </c>
      <c r="C67" s="103" t="s">
        <v>100</v>
      </c>
      <c r="D67" s="103" t="s">
        <v>226</v>
      </c>
      <c r="E67" s="103">
        <v>1788410.99</v>
      </c>
      <c r="F67" s="104">
        <v>0.30559478865321427</v>
      </c>
      <c r="G67" s="103">
        <v>5852230</v>
      </c>
      <c r="H67" s="105" t="s">
        <v>227</v>
      </c>
      <c r="I67" s="105">
        <v>1</v>
      </c>
      <c r="J67" s="105">
        <v>1</v>
      </c>
      <c r="K67" s="105">
        <v>1</v>
      </c>
      <c r="L67" s="105" t="s">
        <v>232</v>
      </c>
      <c r="M67" s="106" t="s">
        <v>229</v>
      </c>
      <c r="N67" s="106" t="s">
        <v>229</v>
      </c>
      <c r="O67" s="106" t="s">
        <v>229</v>
      </c>
      <c r="P67" s="106" t="s">
        <v>229</v>
      </c>
      <c r="Q67" s="106" t="s">
        <v>229</v>
      </c>
      <c r="R67" s="106" t="s">
        <v>229</v>
      </c>
      <c r="S67" s="106" t="s">
        <v>229</v>
      </c>
      <c r="T67" s="106" t="s">
        <v>229</v>
      </c>
      <c r="U67" s="106" t="s">
        <v>229</v>
      </c>
      <c r="V67" s="106" t="s">
        <v>229</v>
      </c>
      <c r="W67" s="106" t="s">
        <v>229</v>
      </c>
      <c r="X67" s="106" t="s">
        <v>229</v>
      </c>
      <c r="Y67" s="106" t="s">
        <v>229</v>
      </c>
      <c r="Z67" s="106" t="s">
        <v>229</v>
      </c>
      <c r="AA67" s="106" t="s">
        <v>229</v>
      </c>
      <c r="AB67" s="106" t="s">
        <v>229</v>
      </c>
      <c r="AC67" s="106" t="s">
        <v>229</v>
      </c>
      <c r="AD67" s="106" t="s">
        <v>229</v>
      </c>
      <c r="AE67" s="106" t="s">
        <v>229</v>
      </c>
      <c r="AF67" s="106" t="s">
        <v>229</v>
      </c>
      <c r="AG67" s="106" t="s">
        <v>229</v>
      </c>
      <c r="AH67" s="106" t="s">
        <v>229</v>
      </c>
      <c r="AI67" s="106" t="s">
        <v>229</v>
      </c>
      <c r="AJ67" s="106" t="s">
        <v>229</v>
      </c>
      <c r="AK67" s="106" t="s">
        <v>229</v>
      </c>
      <c r="AL67" s="106" t="s">
        <v>229</v>
      </c>
      <c r="AM67" s="106" t="s">
        <v>229</v>
      </c>
      <c r="AN67" s="106" t="s">
        <v>229</v>
      </c>
      <c r="AO67" s="106" t="s">
        <v>229</v>
      </c>
      <c r="AP67" s="106" t="s">
        <v>229</v>
      </c>
      <c r="AQ67" s="106" t="s">
        <v>229</v>
      </c>
      <c r="AR67" s="106" t="s">
        <v>229</v>
      </c>
      <c r="AS67" s="106" t="s">
        <v>229</v>
      </c>
      <c r="AT67" s="106" t="s">
        <v>229</v>
      </c>
      <c r="AU67" s="106" t="s">
        <v>229</v>
      </c>
      <c r="AV67" s="106" t="s">
        <v>229</v>
      </c>
      <c r="AW67" s="106" t="s">
        <v>229</v>
      </c>
      <c r="AX67" s="106" t="s">
        <v>229</v>
      </c>
    </row>
    <row r="68" spans="1:50" ht="12.75" hidden="1" x14ac:dyDescent="0.2">
      <c r="A68" s="101">
        <v>1085</v>
      </c>
      <c r="B68" s="102" t="s">
        <v>310</v>
      </c>
      <c r="C68" s="103" t="s">
        <v>200</v>
      </c>
      <c r="D68" s="103" t="s">
        <v>226</v>
      </c>
      <c r="E68" s="103">
        <v>187856.41</v>
      </c>
      <c r="F68" s="104">
        <v>0.62775742690058478</v>
      </c>
      <c r="G68" s="103">
        <v>299250</v>
      </c>
      <c r="H68" s="105" t="s">
        <v>238</v>
      </c>
      <c r="I68" s="105"/>
      <c r="J68" s="105">
        <v>1</v>
      </c>
      <c r="K68" s="105">
        <v>1</v>
      </c>
      <c r="L68" s="105" t="s">
        <v>241</v>
      </c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 t="s">
        <v>229</v>
      </c>
      <c r="AR68" s="106" t="s">
        <v>229</v>
      </c>
      <c r="AS68" s="106" t="s">
        <v>229</v>
      </c>
      <c r="AT68" s="106" t="s">
        <v>229</v>
      </c>
      <c r="AU68" s="106" t="s">
        <v>229</v>
      </c>
      <c r="AV68" s="106"/>
      <c r="AW68" s="106"/>
      <c r="AX68" s="106"/>
    </row>
    <row r="69" spans="1:50" ht="12.75" x14ac:dyDescent="0.2">
      <c r="A69" s="101">
        <v>1813</v>
      </c>
      <c r="B69" s="102" t="s">
        <v>311</v>
      </c>
      <c r="C69" s="103" t="s">
        <v>203</v>
      </c>
      <c r="D69" s="103" t="s">
        <v>226</v>
      </c>
      <c r="E69" s="103">
        <v>2800</v>
      </c>
      <c r="F69" s="104">
        <v>1.1883541295306001E-2</v>
      </c>
      <c r="G69" s="103">
        <v>235620</v>
      </c>
      <c r="H69" s="105" t="s">
        <v>238</v>
      </c>
      <c r="I69" s="105"/>
      <c r="J69" s="105"/>
      <c r="K69" s="105">
        <v>1</v>
      </c>
      <c r="L69" s="105" t="s">
        <v>239</v>
      </c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7"/>
      <c r="AU69" s="106"/>
      <c r="AV69" s="106" t="s">
        <v>229</v>
      </c>
      <c r="AW69" s="106" t="s">
        <v>229</v>
      </c>
      <c r="AX69" s="106" t="s">
        <v>229</v>
      </c>
    </row>
    <row r="70" spans="1:50" ht="12.75" hidden="1" x14ac:dyDescent="0.2">
      <c r="A70" s="101">
        <v>2471</v>
      </c>
      <c r="B70" s="102" t="s">
        <v>312</v>
      </c>
      <c r="C70" s="103" t="s">
        <v>1240</v>
      </c>
      <c r="D70" s="103" t="s">
        <v>237</v>
      </c>
      <c r="E70" s="103" t="e">
        <v>#N/A</v>
      </c>
      <c r="F70" s="104" t="e">
        <v>#N/A</v>
      </c>
      <c r="G70" s="103" t="e">
        <v>#N/A</v>
      </c>
      <c r="H70" s="105" t="s">
        <v>238</v>
      </c>
      <c r="I70" s="105"/>
      <c r="J70" s="105"/>
      <c r="K70" s="105">
        <v>1</v>
      </c>
      <c r="L70" s="105" t="s">
        <v>239</v>
      </c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7"/>
      <c r="AN70" s="106"/>
      <c r="AO70" s="106"/>
      <c r="AP70" s="106"/>
      <c r="AQ70" s="106"/>
      <c r="AR70" s="106"/>
      <c r="AS70" s="107"/>
      <c r="AT70" s="107"/>
      <c r="AU70" s="106"/>
      <c r="AV70" s="106"/>
      <c r="AW70" s="106"/>
      <c r="AX70" s="106"/>
    </row>
    <row r="71" spans="1:50" ht="12.75" hidden="1" x14ac:dyDescent="0.2">
      <c r="A71" s="101">
        <v>1510</v>
      </c>
      <c r="B71" s="102" t="s">
        <v>313</v>
      </c>
      <c r="C71" s="103" t="s">
        <v>100</v>
      </c>
      <c r="D71" s="103" t="s">
        <v>226</v>
      </c>
      <c r="E71" s="103">
        <v>486124.19</v>
      </c>
      <c r="F71" s="104">
        <v>8.6517747624929253E-2</v>
      </c>
      <c r="G71" s="103">
        <v>5618780</v>
      </c>
      <c r="H71" s="105" t="s">
        <v>238</v>
      </c>
      <c r="I71" s="105">
        <v>1</v>
      </c>
      <c r="J71" s="105">
        <v>1</v>
      </c>
      <c r="K71" s="105">
        <v>1</v>
      </c>
      <c r="L71" s="105" t="s">
        <v>239</v>
      </c>
      <c r="M71" s="106" t="s">
        <v>229</v>
      </c>
      <c r="N71" s="106" t="s">
        <v>229</v>
      </c>
      <c r="O71" s="106" t="s">
        <v>229</v>
      </c>
      <c r="P71" s="106" t="s">
        <v>229</v>
      </c>
      <c r="Q71" s="106" t="s">
        <v>229</v>
      </c>
      <c r="R71" s="106" t="s">
        <v>229</v>
      </c>
      <c r="S71" s="106" t="s">
        <v>229</v>
      </c>
      <c r="T71" s="106" t="s">
        <v>229</v>
      </c>
      <c r="U71" s="106" t="s">
        <v>229</v>
      </c>
      <c r="V71" s="106" t="s">
        <v>229</v>
      </c>
      <c r="W71" s="106" t="s">
        <v>229</v>
      </c>
      <c r="X71" s="106" t="s">
        <v>229</v>
      </c>
      <c r="Y71" s="106" t="s">
        <v>229</v>
      </c>
      <c r="Z71" s="106" t="s">
        <v>229</v>
      </c>
      <c r="AA71" s="106" t="s">
        <v>229</v>
      </c>
      <c r="AB71" s="106" t="s">
        <v>229</v>
      </c>
      <c r="AC71" s="106" t="s">
        <v>229</v>
      </c>
      <c r="AD71" s="106" t="s">
        <v>229</v>
      </c>
      <c r="AE71" s="106" t="s">
        <v>229</v>
      </c>
      <c r="AF71" s="106" t="s">
        <v>229</v>
      </c>
      <c r="AG71" s="106" t="s">
        <v>229</v>
      </c>
      <c r="AH71" s="106" t="s">
        <v>229</v>
      </c>
      <c r="AI71" s="106" t="s">
        <v>229</v>
      </c>
      <c r="AJ71" s="106" t="s">
        <v>229</v>
      </c>
      <c r="AK71" s="106" t="s">
        <v>229</v>
      </c>
      <c r="AL71" s="106" t="s">
        <v>229</v>
      </c>
      <c r="AM71" s="106" t="s">
        <v>229</v>
      </c>
      <c r="AN71" s="106" t="s">
        <v>229</v>
      </c>
      <c r="AO71" s="106" t="s">
        <v>229</v>
      </c>
      <c r="AP71" s="106" t="s">
        <v>229</v>
      </c>
      <c r="AQ71" s="106" t="s">
        <v>229</v>
      </c>
      <c r="AR71" s="106" t="s">
        <v>229</v>
      </c>
      <c r="AS71" s="106" t="s">
        <v>229</v>
      </c>
      <c r="AT71" s="106" t="s">
        <v>229</v>
      </c>
      <c r="AU71" s="106" t="s">
        <v>229</v>
      </c>
      <c r="AV71" s="106" t="s">
        <v>229</v>
      </c>
      <c r="AW71" s="106" t="s">
        <v>229</v>
      </c>
      <c r="AX71" s="106" t="s">
        <v>229</v>
      </c>
    </row>
    <row r="72" spans="1:50" ht="12.75" hidden="1" x14ac:dyDescent="0.2">
      <c r="A72" s="101">
        <v>1562</v>
      </c>
      <c r="B72" s="102" t="s">
        <v>314</v>
      </c>
      <c r="C72" s="103" t="s">
        <v>203</v>
      </c>
      <c r="D72" s="103" t="s">
        <v>237</v>
      </c>
      <c r="E72" s="103" t="e">
        <v>#N/A</v>
      </c>
      <c r="F72" s="104" t="e">
        <v>#N/A</v>
      </c>
      <c r="G72" s="103" t="e">
        <v>#N/A</v>
      </c>
      <c r="H72" s="105" t="s">
        <v>238</v>
      </c>
      <c r="I72" s="105"/>
      <c r="J72" s="105"/>
      <c r="K72" s="105">
        <v>1</v>
      </c>
      <c r="L72" s="105" t="s">
        <v>239</v>
      </c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7"/>
      <c r="AU72" s="106"/>
      <c r="AV72" s="106"/>
      <c r="AW72" s="106"/>
      <c r="AX72" s="106"/>
    </row>
    <row r="73" spans="1:50" ht="12.75" hidden="1" x14ac:dyDescent="0.2">
      <c r="A73" s="101">
        <v>238</v>
      </c>
      <c r="B73" s="102" t="s">
        <v>315</v>
      </c>
      <c r="C73" s="103" t="s">
        <v>100</v>
      </c>
      <c r="D73" s="103" t="s">
        <v>226</v>
      </c>
      <c r="E73" s="103">
        <v>362956.2</v>
      </c>
      <c r="F73" s="104">
        <v>0.19929945748863362</v>
      </c>
      <c r="G73" s="103">
        <v>1821160</v>
      </c>
      <c r="H73" s="105" t="s">
        <v>238</v>
      </c>
      <c r="I73" s="105">
        <v>1</v>
      </c>
      <c r="J73" s="105">
        <v>1</v>
      </c>
      <c r="K73" s="105">
        <v>1</v>
      </c>
      <c r="L73" s="105" t="s">
        <v>232</v>
      </c>
      <c r="M73" s="106" t="s">
        <v>229</v>
      </c>
      <c r="N73" s="106" t="s">
        <v>229</v>
      </c>
      <c r="O73" s="106" t="s">
        <v>229</v>
      </c>
      <c r="P73" s="106" t="s">
        <v>229</v>
      </c>
      <c r="Q73" s="106" t="s">
        <v>229</v>
      </c>
      <c r="R73" s="106" t="s">
        <v>229</v>
      </c>
      <c r="S73" s="106" t="s">
        <v>229</v>
      </c>
      <c r="T73" s="106" t="s">
        <v>229</v>
      </c>
      <c r="U73" s="106" t="s">
        <v>229</v>
      </c>
      <c r="V73" s="106" t="s">
        <v>229</v>
      </c>
      <c r="W73" s="106" t="s">
        <v>229</v>
      </c>
      <c r="X73" s="106" t="s">
        <v>229</v>
      </c>
      <c r="Y73" s="106" t="s">
        <v>229</v>
      </c>
      <c r="Z73" s="106" t="s">
        <v>229</v>
      </c>
      <c r="AA73" s="106" t="s">
        <v>229</v>
      </c>
      <c r="AB73" s="106" t="s">
        <v>229</v>
      </c>
      <c r="AC73" s="106" t="s">
        <v>229</v>
      </c>
      <c r="AD73" s="106" t="s">
        <v>229</v>
      </c>
      <c r="AE73" s="106" t="s">
        <v>229</v>
      </c>
      <c r="AF73" s="106" t="s">
        <v>229</v>
      </c>
      <c r="AG73" s="106" t="s">
        <v>229</v>
      </c>
      <c r="AH73" s="106" t="s">
        <v>229</v>
      </c>
      <c r="AI73" s="106" t="s">
        <v>229</v>
      </c>
      <c r="AJ73" s="106" t="s">
        <v>229</v>
      </c>
      <c r="AK73" s="106" t="s">
        <v>229</v>
      </c>
      <c r="AL73" s="106" t="s">
        <v>229</v>
      </c>
      <c r="AM73" s="106" t="s">
        <v>229</v>
      </c>
      <c r="AN73" s="106" t="s">
        <v>229</v>
      </c>
      <c r="AO73" s="106" t="s">
        <v>229</v>
      </c>
      <c r="AP73" s="106" t="s">
        <v>229</v>
      </c>
      <c r="AQ73" s="106" t="s">
        <v>229</v>
      </c>
      <c r="AR73" s="106" t="s">
        <v>229</v>
      </c>
      <c r="AS73" s="106" t="s">
        <v>229</v>
      </c>
      <c r="AT73" s="106" t="s">
        <v>229</v>
      </c>
      <c r="AU73" s="106" t="s">
        <v>229</v>
      </c>
      <c r="AV73" s="106" t="s">
        <v>229</v>
      </c>
      <c r="AW73" s="106" t="s">
        <v>229</v>
      </c>
      <c r="AX73" s="106" t="s">
        <v>229</v>
      </c>
    </row>
    <row r="74" spans="1:50" ht="12.75" hidden="1" x14ac:dyDescent="0.2">
      <c r="A74" s="101">
        <v>2248</v>
      </c>
      <c r="B74" s="102" t="s">
        <v>316</v>
      </c>
      <c r="C74" s="103" t="s">
        <v>100</v>
      </c>
      <c r="D74" s="103" t="s">
        <v>237</v>
      </c>
      <c r="E74" s="103" t="e">
        <v>#N/A</v>
      </c>
      <c r="F74" s="104" t="e">
        <v>#N/A</v>
      </c>
      <c r="G74" s="103" t="e">
        <v>#N/A</v>
      </c>
      <c r="H74" s="105" t="s">
        <v>238</v>
      </c>
      <c r="I74" s="105">
        <v>1</v>
      </c>
      <c r="J74" s="105">
        <v>1</v>
      </c>
      <c r="K74" s="105">
        <v>1</v>
      </c>
      <c r="L74" s="105" t="s">
        <v>232</v>
      </c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7"/>
      <c r="AU74" s="106"/>
      <c r="AV74" s="106"/>
      <c r="AW74" s="106"/>
      <c r="AX74" s="106"/>
    </row>
    <row r="75" spans="1:50" ht="12.75" hidden="1" x14ac:dyDescent="0.2">
      <c r="A75" s="101">
        <v>1818</v>
      </c>
      <c r="B75" s="102" t="s">
        <v>317</v>
      </c>
      <c r="C75" s="103" t="s">
        <v>203</v>
      </c>
      <c r="D75" s="103" t="s">
        <v>237</v>
      </c>
      <c r="E75" s="103" t="e">
        <v>#N/A</v>
      </c>
      <c r="F75" s="104" t="e">
        <v>#N/A</v>
      </c>
      <c r="G75" s="103" t="e">
        <v>#N/A</v>
      </c>
      <c r="H75" s="105" t="s">
        <v>238</v>
      </c>
      <c r="I75" s="105"/>
      <c r="J75" s="105"/>
      <c r="K75" s="105">
        <v>1</v>
      </c>
      <c r="L75" s="105" t="s">
        <v>248</v>
      </c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7"/>
      <c r="AN75" s="106"/>
      <c r="AO75" s="106"/>
      <c r="AP75" s="106"/>
      <c r="AQ75" s="106"/>
      <c r="AR75" s="106"/>
      <c r="AS75" s="107"/>
      <c r="AT75" s="107"/>
      <c r="AU75" s="106"/>
      <c r="AV75" s="106"/>
      <c r="AW75" s="106"/>
      <c r="AX75" s="106"/>
    </row>
    <row r="76" spans="1:50" ht="12.75" x14ac:dyDescent="0.2">
      <c r="A76" s="101">
        <v>1817</v>
      </c>
      <c r="B76" s="102" t="s">
        <v>318</v>
      </c>
      <c r="C76" s="103" t="s">
        <v>203</v>
      </c>
      <c r="D76" s="103" t="s">
        <v>237</v>
      </c>
      <c r="E76" s="103" t="e">
        <v>#N/A</v>
      </c>
      <c r="F76" s="104" t="e">
        <v>#N/A</v>
      </c>
      <c r="G76" s="103" t="e">
        <v>#N/A</v>
      </c>
      <c r="H76" s="105" t="s">
        <v>238</v>
      </c>
      <c r="I76" s="105"/>
      <c r="J76" s="105"/>
      <c r="K76" s="105">
        <v>1</v>
      </c>
      <c r="L76" s="105" t="s">
        <v>248</v>
      </c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7"/>
      <c r="AU76" s="106"/>
      <c r="AV76" s="106"/>
      <c r="AW76" s="106"/>
      <c r="AX76" s="106"/>
    </row>
    <row r="77" spans="1:50" ht="12.75" x14ac:dyDescent="0.2">
      <c r="A77" s="108"/>
      <c r="B77" s="108"/>
    </row>
    <row r="78" spans="1:50" ht="12.75" x14ac:dyDescent="0.2">
      <c r="A78" s="108"/>
      <c r="B78" s="108"/>
    </row>
    <row r="79" spans="1:50" ht="12.75" x14ac:dyDescent="0.2">
      <c r="A79" s="108"/>
      <c r="B79" s="108"/>
    </row>
    <row r="80" spans="1:50" ht="12.75" x14ac:dyDescent="0.2">
      <c r="A80" s="108"/>
      <c r="B80" s="108"/>
    </row>
    <row r="81" spans="1:2" ht="12.75" x14ac:dyDescent="0.2">
      <c r="A81" s="108"/>
      <c r="B81" s="108"/>
    </row>
    <row r="82" spans="1:2" ht="12.75" x14ac:dyDescent="0.2">
      <c r="A82" s="108"/>
      <c r="B82" s="108"/>
    </row>
    <row r="83" spans="1:2" ht="12.75" x14ac:dyDescent="0.2">
      <c r="A83" s="108"/>
      <c r="B83" s="108"/>
    </row>
    <row r="84" spans="1:2" ht="12.75" x14ac:dyDescent="0.2">
      <c r="A84" s="108"/>
      <c r="B84" s="108"/>
    </row>
    <row r="85" spans="1:2" ht="12.75" x14ac:dyDescent="0.2">
      <c r="A85" s="108"/>
      <c r="B85" s="108"/>
    </row>
    <row r="86" spans="1:2" ht="12.75" x14ac:dyDescent="0.2">
      <c r="A86" s="108"/>
      <c r="B86" s="108"/>
    </row>
    <row r="87" spans="1:2" ht="12.75" x14ac:dyDescent="0.2">
      <c r="A87" s="108"/>
      <c r="B87" s="108"/>
    </row>
    <row r="88" spans="1:2" ht="12.75" x14ac:dyDescent="0.2">
      <c r="A88" s="108"/>
      <c r="B88" s="108"/>
    </row>
    <row r="89" spans="1:2" ht="12.75" x14ac:dyDescent="0.2">
      <c r="A89" s="108"/>
      <c r="B89" s="108"/>
    </row>
    <row r="90" spans="1:2" ht="12.75" x14ac:dyDescent="0.2">
      <c r="A90" s="108"/>
      <c r="B90" s="108"/>
    </row>
    <row r="91" spans="1:2" ht="12.75" x14ac:dyDescent="0.2">
      <c r="A91" s="108"/>
      <c r="B91" s="108"/>
    </row>
    <row r="92" spans="1:2" ht="12.75" x14ac:dyDescent="0.2">
      <c r="A92" s="108"/>
      <c r="B92" s="108"/>
    </row>
    <row r="93" spans="1:2" ht="12.75" x14ac:dyDescent="0.2">
      <c r="A93" s="108"/>
      <c r="B93" s="108"/>
    </row>
    <row r="94" spans="1:2" ht="12.75" x14ac:dyDescent="0.2">
      <c r="A94" s="108"/>
      <c r="B94" s="108"/>
    </row>
    <row r="95" spans="1:2" ht="12.75" x14ac:dyDescent="0.2">
      <c r="A95" s="108"/>
      <c r="B95" s="108"/>
    </row>
    <row r="96" spans="1:2" ht="12.75" x14ac:dyDescent="0.2">
      <c r="A96" s="108"/>
      <c r="B96" s="108"/>
    </row>
    <row r="97" spans="1:2" ht="12.75" x14ac:dyDescent="0.2">
      <c r="A97" s="108"/>
      <c r="B97" s="108"/>
    </row>
    <row r="98" spans="1:2" ht="12.75" x14ac:dyDescent="0.2">
      <c r="A98" s="108"/>
      <c r="B98" s="108"/>
    </row>
    <row r="99" spans="1:2" ht="12.75" x14ac:dyDescent="0.2">
      <c r="A99" s="108"/>
      <c r="B99" s="108"/>
    </row>
    <row r="100" spans="1:2" ht="12.75" x14ac:dyDescent="0.2">
      <c r="A100" s="108"/>
      <c r="B100" s="108"/>
    </row>
    <row r="101" spans="1:2" ht="12.75" x14ac:dyDescent="0.2">
      <c r="A101" s="108"/>
      <c r="B101" s="108"/>
    </row>
    <row r="102" spans="1:2" ht="12.75" x14ac:dyDescent="0.2">
      <c r="A102" s="108"/>
      <c r="B102" s="108"/>
    </row>
    <row r="103" spans="1:2" ht="12.75" x14ac:dyDescent="0.2">
      <c r="A103" s="108"/>
      <c r="B103" s="108"/>
    </row>
    <row r="104" spans="1:2" ht="12.75" x14ac:dyDescent="0.2">
      <c r="A104" s="108"/>
      <c r="B104" s="108"/>
    </row>
    <row r="105" spans="1:2" ht="12.75" x14ac:dyDescent="0.2">
      <c r="A105" s="108"/>
      <c r="B105" s="108"/>
    </row>
    <row r="106" spans="1:2" ht="12.75" x14ac:dyDescent="0.2">
      <c r="A106" s="108"/>
      <c r="B106" s="108"/>
    </row>
  </sheetData>
  <autoFilter ref="A9:AX75" xr:uid="{00000000-0009-0000-0000-000007000000}">
    <filterColumn colId="2">
      <filters>
        <filter val="NEVERA F"/>
        <filter val="TEMPORADA"/>
      </filters>
    </filterColumn>
    <filterColumn colId="3">
      <filters>
        <filter val="ACTIVO"/>
      </filters>
    </filterColumn>
    <sortState xmlns:xlrd2="http://schemas.microsoft.com/office/spreadsheetml/2017/richdata2" ref="A9:AX75">
      <sortCondition ref="D9:D75"/>
      <sortCondition ref="C9:C7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L106"/>
  <sheetViews>
    <sheetView workbookViewId="0">
      <pane xSplit="12" ySplit="9" topLeftCell="M10" activePane="bottomRight" state="frozen"/>
      <selection pane="topRight" activeCell="M1" sqref="M1"/>
      <selection pane="bottomLeft" activeCell="A10" sqref="A10"/>
      <selection pane="bottomRight" activeCell="M10" sqref="M10"/>
    </sheetView>
  </sheetViews>
  <sheetFormatPr baseColWidth="10" defaultColWidth="12.5703125" defaultRowHeight="15.75" customHeight="1" x14ac:dyDescent="0.2"/>
  <cols>
    <col min="1" max="1" width="5" customWidth="1"/>
    <col min="2" max="2" width="39.140625" customWidth="1"/>
    <col min="3" max="3" width="11.140625" customWidth="1"/>
    <col min="4" max="7" width="9.85546875" customWidth="1"/>
    <col min="8" max="8" width="8.5703125" customWidth="1"/>
    <col min="9" max="11" width="9.42578125" customWidth="1"/>
    <col min="12" max="12" width="16.140625" customWidth="1"/>
    <col min="13" max="90" width="8.42578125" customWidth="1"/>
  </cols>
  <sheetData>
    <row r="1" spans="1:90" x14ac:dyDescent="0.2">
      <c r="C1" s="96"/>
      <c r="D1" s="96"/>
      <c r="E1" s="96"/>
      <c r="F1" s="96"/>
      <c r="G1" s="96"/>
      <c r="H1" s="96"/>
      <c r="I1" s="96"/>
      <c r="J1" s="96"/>
      <c r="K1" s="96"/>
      <c r="L1" s="74" t="s">
        <v>4</v>
      </c>
      <c r="M1" s="78" t="s">
        <v>885</v>
      </c>
      <c r="N1" s="78" t="s">
        <v>889</v>
      </c>
      <c r="O1" s="78" t="s">
        <v>1167</v>
      </c>
      <c r="P1" s="78" t="s">
        <v>633</v>
      </c>
      <c r="Q1" s="78" t="s">
        <v>873</v>
      </c>
      <c r="R1" s="78" t="s">
        <v>875</v>
      </c>
      <c r="S1" s="78" t="s">
        <v>828</v>
      </c>
      <c r="T1" s="78" t="s">
        <v>869</v>
      </c>
      <c r="U1" s="78" t="s">
        <v>830</v>
      </c>
      <c r="V1" s="78" t="s">
        <v>832</v>
      </c>
      <c r="W1" s="78" t="s">
        <v>637</v>
      </c>
      <c r="X1" s="78" t="s">
        <v>824</v>
      </c>
      <c r="Y1" s="78" t="s">
        <v>834</v>
      </c>
      <c r="Z1" s="78" t="s">
        <v>764</v>
      </c>
      <c r="AA1" s="78" t="s">
        <v>826</v>
      </c>
      <c r="AB1" s="78" t="s">
        <v>883</v>
      </c>
      <c r="AC1" s="78" t="s">
        <v>881</v>
      </c>
      <c r="AD1" s="78" t="s">
        <v>844</v>
      </c>
      <c r="AE1" s="78" t="s">
        <v>754</v>
      </c>
      <c r="AF1" s="78" t="s">
        <v>846</v>
      </c>
      <c r="AG1" s="78" t="s">
        <v>635</v>
      </c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85"/>
      <c r="BC1" s="85"/>
      <c r="BD1" s="85"/>
      <c r="BE1" s="78"/>
      <c r="BF1" s="82"/>
      <c r="BG1" s="82"/>
      <c r="BH1" s="82"/>
      <c r="BI1" s="82"/>
      <c r="BJ1" s="82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85"/>
      <c r="CD1" s="85"/>
      <c r="CE1" s="85"/>
      <c r="CF1" s="85"/>
      <c r="CG1" s="85"/>
      <c r="CH1" s="86"/>
      <c r="CI1" s="86"/>
      <c r="CJ1" s="86"/>
      <c r="CK1" s="86"/>
      <c r="CL1" s="86"/>
    </row>
    <row r="2" spans="1:90" x14ac:dyDescent="0.2">
      <c r="C2" s="96"/>
      <c r="D2" s="96"/>
      <c r="E2" s="96"/>
      <c r="F2" s="96"/>
      <c r="G2" s="96"/>
      <c r="H2" s="96"/>
      <c r="I2" s="96"/>
      <c r="J2" s="96"/>
      <c r="K2" s="96"/>
      <c r="L2" s="109" t="s">
        <v>101</v>
      </c>
      <c r="M2" s="110" t="s">
        <v>886</v>
      </c>
      <c r="N2" s="110" t="s">
        <v>890</v>
      </c>
      <c r="O2" s="110" t="s">
        <v>1168</v>
      </c>
      <c r="P2" s="110" t="s">
        <v>634</v>
      </c>
      <c r="Q2" s="110" t="s">
        <v>874</v>
      </c>
      <c r="R2" s="110" t="s">
        <v>876</v>
      </c>
      <c r="S2" s="110" t="s">
        <v>829</v>
      </c>
      <c r="T2" s="110" t="s">
        <v>1241</v>
      </c>
      <c r="U2" s="110" t="s">
        <v>831</v>
      </c>
      <c r="V2" s="110" t="s">
        <v>833</v>
      </c>
      <c r="W2" s="110" t="s">
        <v>638</v>
      </c>
      <c r="X2" s="110" t="s">
        <v>825</v>
      </c>
      <c r="Y2" s="110" t="s">
        <v>835</v>
      </c>
      <c r="Z2" s="110" t="s">
        <v>765</v>
      </c>
      <c r="AA2" s="110" t="s">
        <v>827</v>
      </c>
      <c r="AB2" s="110" t="s">
        <v>884</v>
      </c>
      <c r="AC2" s="110" t="s">
        <v>882</v>
      </c>
      <c r="AD2" s="110" t="s">
        <v>845</v>
      </c>
      <c r="AE2" s="110" t="s">
        <v>755</v>
      </c>
      <c r="AF2" s="110" t="s">
        <v>847</v>
      </c>
      <c r="AG2" s="110" t="s">
        <v>636</v>
      </c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83"/>
      <c r="BG2" s="83"/>
      <c r="BH2" s="83"/>
      <c r="BI2" s="83"/>
      <c r="BJ2" s="83"/>
      <c r="BK2" s="79"/>
      <c r="BL2" s="79"/>
      <c r="BM2" s="79"/>
      <c r="BN2" s="79"/>
      <c r="BO2" s="79"/>
      <c r="BP2" s="90"/>
      <c r="BQ2" s="79"/>
      <c r="BR2" s="90"/>
      <c r="BS2" s="90"/>
      <c r="BT2" s="79"/>
      <c r="BU2" s="79"/>
      <c r="BV2" s="79"/>
      <c r="BW2" s="79"/>
      <c r="BX2" s="79"/>
      <c r="BY2" s="90"/>
      <c r="BZ2" s="79"/>
      <c r="CA2" s="79"/>
      <c r="CB2" s="79"/>
      <c r="CC2" s="79"/>
      <c r="CD2" s="79"/>
      <c r="CE2" s="79"/>
      <c r="CF2" s="79"/>
      <c r="CG2" s="79"/>
      <c r="CH2" s="83"/>
      <c r="CI2" s="83"/>
      <c r="CJ2" s="83"/>
      <c r="CK2" s="83"/>
      <c r="CL2" s="83"/>
    </row>
    <row r="3" spans="1:90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76" t="s">
        <v>197</v>
      </c>
      <c r="M3" s="80">
        <v>2</v>
      </c>
      <c r="N3" s="80">
        <v>2</v>
      </c>
      <c r="O3" s="80">
        <v>2</v>
      </c>
      <c r="P3" s="80">
        <v>2</v>
      </c>
      <c r="Q3" s="80">
        <v>3</v>
      </c>
      <c r="R3" s="80">
        <v>2</v>
      </c>
      <c r="S3" s="80">
        <v>2</v>
      </c>
      <c r="T3" s="80">
        <v>2</v>
      </c>
      <c r="U3" s="80">
        <v>2</v>
      </c>
      <c r="V3" s="80">
        <v>2</v>
      </c>
      <c r="W3" s="80">
        <v>2</v>
      </c>
      <c r="X3" s="80">
        <v>2</v>
      </c>
      <c r="Y3" s="80">
        <v>2</v>
      </c>
      <c r="Z3" s="80">
        <v>5</v>
      </c>
      <c r="AA3" s="80">
        <v>3</v>
      </c>
      <c r="AB3" s="80">
        <v>3</v>
      </c>
      <c r="AC3" s="80">
        <v>2</v>
      </c>
      <c r="AD3" s="80">
        <v>2</v>
      </c>
      <c r="AE3" s="80">
        <v>3</v>
      </c>
      <c r="AF3" s="80">
        <v>2</v>
      </c>
      <c r="AG3" s="80">
        <v>2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</row>
    <row r="4" spans="1:90" x14ac:dyDescent="0.2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76" t="s">
        <v>201</v>
      </c>
      <c r="M4" s="80" t="s">
        <v>202</v>
      </c>
      <c r="N4" s="80" t="s">
        <v>202</v>
      </c>
      <c r="O4" s="80" t="s">
        <v>202</v>
      </c>
      <c r="P4" s="80" t="s">
        <v>202</v>
      </c>
      <c r="Q4" s="80" t="s">
        <v>202</v>
      </c>
      <c r="R4" s="80" t="s">
        <v>202</v>
      </c>
      <c r="S4" s="80" t="s">
        <v>202</v>
      </c>
      <c r="T4" s="80" t="s">
        <v>202</v>
      </c>
      <c r="U4" s="80" t="s">
        <v>202</v>
      </c>
      <c r="V4" s="80" t="s">
        <v>202</v>
      </c>
      <c r="W4" s="80" t="s">
        <v>202</v>
      </c>
      <c r="X4" s="80" t="s">
        <v>202</v>
      </c>
      <c r="Y4" s="80" t="s">
        <v>202</v>
      </c>
      <c r="Z4" s="80" t="s">
        <v>202</v>
      </c>
      <c r="AA4" s="80" t="s">
        <v>202</v>
      </c>
      <c r="AB4" s="80" t="s">
        <v>202</v>
      </c>
      <c r="AC4" s="80" t="s">
        <v>202</v>
      </c>
      <c r="AD4" s="80" t="s">
        <v>202</v>
      </c>
      <c r="AE4" s="80" t="s">
        <v>202</v>
      </c>
      <c r="AF4" s="80" t="s">
        <v>202</v>
      </c>
      <c r="AG4" s="80" t="s">
        <v>202</v>
      </c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</row>
    <row r="5" spans="1:90" x14ac:dyDescent="0.2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76" t="s">
        <v>204</v>
      </c>
      <c r="M5" s="97">
        <v>1</v>
      </c>
      <c r="N5" s="97">
        <v>3</v>
      </c>
      <c r="O5" s="97">
        <v>1</v>
      </c>
      <c r="P5" s="97">
        <v>2</v>
      </c>
      <c r="Q5" s="97">
        <v>1</v>
      </c>
      <c r="R5" s="97">
        <v>1</v>
      </c>
      <c r="S5" s="97">
        <v>2</v>
      </c>
      <c r="T5" s="97">
        <v>2</v>
      </c>
      <c r="U5" s="97">
        <v>2</v>
      </c>
      <c r="V5" s="97">
        <v>1</v>
      </c>
      <c r="W5" s="97">
        <v>1</v>
      </c>
      <c r="X5" s="97">
        <v>2</v>
      </c>
      <c r="Y5" s="97">
        <v>1</v>
      </c>
      <c r="Z5" s="97">
        <v>1</v>
      </c>
      <c r="AA5" s="97">
        <v>1</v>
      </c>
      <c r="AB5" s="97">
        <v>2</v>
      </c>
      <c r="AC5" s="97">
        <v>2</v>
      </c>
      <c r="AD5" s="97">
        <v>1</v>
      </c>
      <c r="AE5" s="97">
        <v>1</v>
      </c>
      <c r="AF5" s="97">
        <v>1</v>
      </c>
      <c r="AG5" s="97">
        <v>1</v>
      </c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</row>
    <row r="6" spans="1:90" x14ac:dyDescent="0.2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76" t="s">
        <v>206</v>
      </c>
      <c r="M6" s="80">
        <v>48301.666669999999</v>
      </c>
      <c r="N6" s="80">
        <v>106380</v>
      </c>
      <c r="O6" s="80">
        <v>38636</v>
      </c>
      <c r="P6" s="80">
        <v>116120.3333</v>
      </c>
      <c r="Q6" s="80">
        <v>120238.6667</v>
      </c>
      <c r="R6" s="80">
        <v>75298.333329999994</v>
      </c>
      <c r="S6" s="80">
        <v>57127</v>
      </c>
      <c r="T6" s="80">
        <v>63760.333330000001</v>
      </c>
      <c r="U6" s="80">
        <v>104822</v>
      </c>
      <c r="V6" s="80">
        <v>98708.333329999994</v>
      </c>
      <c r="W6" s="80">
        <v>74513</v>
      </c>
      <c r="X6" s="80">
        <v>81491</v>
      </c>
      <c r="Y6" s="80">
        <v>101737</v>
      </c>
      <c r="Z6" s="80">
        <v>119923.6667</v>
      </c>
      <c r="AA6" s="80">
        <v>81859.333329999994</v>
      </c>
      <c r="AB6" s="80">
        <v>98185.666670000006</v>
      </c>
      <c r="AC6" s="80">
        <v>148413.3333</v>
      </c>
      <c r="AD6" s="80">
        <v>227813.3333</v>
      </c>
      <c r="AE6" s="80">
        <v>145931</v>
      </c>
      <c r="AF6" s="80">
        <v>145535.6667</v>
      </c>
      <c r="AG6" s="80">
        <v>235811</v>
      </c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</row>
    <row r="7" spans="1:90" x14ac:dyDescent="0.2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76" t="s">
        <v>1232</v>
      </c>
      <c r="M7" s="98">
        <v>8.9999999999999993E-3</v>
      </c>
      <c r="N7" s="98">
        <v>1.2E-2</v>
      </c>
      <c r="O7" s="98">
        <v>1.0999999999999999E-2</v>
      </c>
      <c r="P7" s="98">
        <v>1.2E-2</v>
      </c>
      <c r="Q7" s="98">
        <v>1.2999999999999999E-2</v>
      </c>
      <c r="R7" s="98">
        <v>0.01</v>
      </c>
      <c r="S7" s="98">
        <v>1.2E-2</v>
      </c>
      <c r="T7" s="98">
        <v>0.01</v>
      </c>
      <c r="U7" s="98">
        <v>1.2999999999999999E-2</v>
      </c>
      <c r="V7" s="98">
        <v>1.2E-2</v>
      </c>
      <c r="W7" s="98">
        <v>1.4E-2</v>
      </c>
      <c r="X7" s="98">
        <v>1.6E-2</v>
      </c>
      <c r="Y7" s="98">
        <v>1.6E-2</v>
      </c>
      <c r="Z7" s="98">
        <v>0.02</v>
      </c>
      <c r="AA7" s="98">
        <v>1.4E-2</v>
      </c>
      <c r="AB7" s="98">
        <v>1.7000000000000001E-2</v>
      </c>
      <c r="AC7" s="98">
        <v>1.6E-2</v>
      </c>
      <c r="AD7" s="98">
        <v>2.4E-2</v>
      </c>
      <c r="AE7" s="98">
        <v>1.9E-2</v>
      </c>
      <c r="AF7" s="98">
        <v>1.7000000000000001E-2</v>
      </c>
      <c r="AG7" s="98">
        <v>0.03</v>
      </c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</row>
    <row r="8" spans="1:90" x14ac:dyDescent="0.2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109" t="s">
        <v>207</v>
      </c>
      <c r="M8" s="111" t="s">
        <v>352</v>
      </c>
      <c r="N8" s="111" t="s">
        <v>352</v>
      </c>
      <c r="O8" s="111" t="s">
        <v>352</v>
      </c>
      <c r="P8" s="111" t="s">
        <v>352</v>
      </c>
      <c r="Q8" s="111" t="s">
        <v>352</v>
      </c>
      <c r="R8" s="111" t="s">
        <v>352</v>
      </c>
      <c r="S8" s="111" t="s">
        <v>352</v>
      </c>
      <c r="T8" s="111" t="s">
        <v>352</v>
      </c>
      <c r="U8" s="111" t="s">
        <v>352</v>
      </c>
      <c r="V8" s="111" t="s">
        <v>352</v>
      </c>
      <c r="W8" s="111" t="s">
        <v>352</v>
      </c>
      <c r="X8" s="111" t="s">
        <v>352</v>
      </c>
      <c r="Y8" s="111" t="s">
        <v>352</v>
      </c>
      <c r="Z8" s="111" t="s">
        <v>352</v>
      </c>
      <c r="AA8" s="111" t="s">
        <v>352</v>
      </c>
      <c r="AB8" s="111" t="s">
        <v>352</v>
      </c>
      <c r="AC8" s="112" t="s">
        <v>355</v>
      </c>
      <c r="AD8" s="112" t="s">
        <v>355</v>
      </c>
      <c r="AE8" s="112" t="s">
        <v>355</v>
      </c>
      <c r="AF8" s="112" t="s">
        <v>355</v>
      </c>
      <c r="AG8" s="112" t="s">
        <v>355</v>
      </c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</row>
    <row r="9" spans="1:90" x14ac:dyDescent="0.2">
      <c r="A9" s="99" t="s">
        <v>212</v>
      </c>
      <c r="B9" s="99" t="s">
        <v>213</v>
      </c>
      <c r="C9" s="99" t="s">
        <v>214</v>
      </c>
      <c r="D9" s="99" t="s">
        <v>215</v>
      </c>
      <c r="E9" s="99" t="s">
        <v>1233</v>
      </c>
      <c r="F9" s="99" t="s">
        <v>1234</v>
      </c>
      <c r="G9" s="99" t="s">
        <v>1235</v>
      </c>
      <c r="H9" s="99" t="s">
        <v>219</v>
      </c>
      <c r="I9" s="99" t="s">
        <v>220</v>
      </c>
      <c r="J9" s="99" t="s">
        <v>221</v>
      </c>
      <c r="K9" s="99" t="s">
        <v>222</v>
      </c>
      <c r="L9" s="99" t="s">
        <v>223</v>
      </c>
      <c r="M9" s="100">
        <v>17</v>
      </c>
      <c r="N9" s="100">
        <v>17</v>
      </c>
      <c r="O9" s="100">
        <v>17</v>
      </c>
      <c r="P9" s="100">
        <v>17</v>
      </c>
      <c r="Q9" s="100">
        <v>17</v>
      </c>
      <c r="R9" s="100">
        <v>17</v>
      </c>
      <c r="S9" s="100">
        <v>17</v>
      </c>
      <c r="T9" s="100">
        <v>17</v>
      </c>
      <c r="U9" s="100">
        <v>17</v>
      </c>
      <c r="V9" s="100">
        <v>17</v>
      </c>
      <c r="W9" s="100">
        <v>17</v>
      </c>
      <c r="X9" s="100">
        <v>17</v>
      </c>
      <c r="Y9" s="100">
        <v>17</v>
      </c>
      <c r="Z9" s="100">
        <v>17</v>
      </c>
      <c r="AA9" s="100">
        <v>17</v>
      </c>
      <c r="AB9" s="100">
        <v>17</v>
      </c>
      <c r="AC9" s="100">
        <v>28</v>
      </c>
      <c r="AD9" s="100">
        <v>28</v>
      </c>
      <c r="AE9" s="100">
        <v>28</v>
      </c>
      <c r="AF9" s="100">
        <v>28</v>
      </c>
      <c r="AG9" s="100">
        <v>28</v>
      </c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13"/>
      <c r="CI9" s="113"/>
      <c r="CJ9" s="113"/>
      <c r="CK9" s="114"/>
      <c r="CL9" s="114"/>
    </row>
    <row r="10" spans="1:90" x14ac:dyDescent="0.2">
      <c r="A10" s="101">
        <v>1561</v>
      </c>
      <c r="B10" s="102" t="s">
        <v>224</v>
      </c>
      <c r="C10" s="103" t="s">
        <v>100</v>
      </c>
      <c r="D10" s="103" t="s">
        <v>226</v>
      </c>
      <c r="E10" s="103">
        <f>VLOOKUP(A10,'tabla datos'!$H$160:$K$206,4,0)</f>
        <v>972543.57</v>
      </c>
      <c r="F10" s="115">
        <f t="shared" ref="F10:F76" si="0">E10/G10</f>
        <v>0.19105970421943083</v>
      </c>
      <c r="G10" s="103">
        <f>VLOOKUP(A10,'tabla datos'!$H$160:$K$206,3,0)</f>
        <v>5090260</v>
      </c>
      <c r="H10" s="105" t="s">
        <v>227</v>
      </c>
      <c r="I10" s="105">
        <v>1</v>
      </c>
      <c r="J10" s="105">
        <v>1</v>
      </c>
      <c r="K10" s="105">
        <v>1</v>
      </c>
      <c r="L10" s="105" t="s">
        <v>228</v>
      </c>
      <c r="M10" s="106" t="s">
        <v>229</v>
      </c>
      <c r="N10" s="106" t="s">
        <v>229</v>
      </c>
      <c r="O10" s="106" t="s">
        <v>229</v>
      </c>
      <c r="P10" s="106" t="s">
        <v>229</v>
      </c>
      <c r="Q10" s="106" t="s">
        <v>229</v>
      </c>
      <c r="R10" s="106" t="s">
        <v>229</v>
      </c>
      <c r="S10" s="106" t="s">
        <v>229</v>
      </c>
      <c r="T10" s="106" t="s">
        <v>229</v>
      </c>
      <c r="U10" s="106" t="s">
        <v>229</v>
      </c>
      <c r="V10" s="106" t="s">
        <v>229</v>
      </c>
      <c r="W10" s="106" t="s">
        <v>229</v>
      </c>
      <c r="X10" s="106" t="s">
        <v>229</v>
      </c>
      <c r="Y10" s="106" t="s">
        <v>229</v>
      </c>
      <c r="Z10" s="106" t="s">
        <v>229</v>
      </c>
      <c r="AA10" s="106" t="s">
        <v>229</v>
      </c>
      <c r="AB10" s="106" t="s">
        <v>229</v>
      </c>
      <c r="AC10" s="106" t="s">
        <v>229</v>
      </c>
      <c r="AD10" s="106" t="s">
        <v>229</v>
      </c>
      <c r="AE10" s="106" t="s">
        <v>229</v>
      </c>
      <c r="AF10" s="106" t="s">
        <v>229</v>
      </c>
      <c r="AG10" s="106" t="s">
        <v>229</v>
      </c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7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65"/>
      <c r="CL10" s="65"/>
    </row>
    <row r="11" spans="1:90" x14ac:dyDescent="0.2">
      <c r="A11" s="101">
        <v>1074</v>
      </c>
      <c r="B11" s="102" t="s">
        <v>1236</v>
      </c>
      <c r="C11" s="103" t="s">
        <v>200</v>
      </c>
      <c r="D11" s="103" t="s">
        <v>226</v>
      </c>
      <c r="E11" s="103">
        <f>VLOOKUP(A11,'tabla datos'!$H$160:$K$206,4,0)</f>
        <v>96766.63</v>
      </c>
      <c r="F11" s="115">
        <f t="shared" si="0"/>
        <v>6.856511326356364E-2</v>
      </c>
      <c r="G11" s="103">
        <f>VLOOKUP(A11,'tabla datos'!$H$160:$K$206,3,0)</f>
        <v>1411310</v>
      </c>
      <c r="H11" s="105" t="s">
        <v>227</v>
      </c>
      <c r="I11" s="105"/>
      <c r="J11" s="105">
        <v>1</v>
      </c>
      <c r="K11" s="105">
        <v>1</v>
      </c>
      <c r="L11" s="105" t="s">
        <v>232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 t="s">
        <v>229</v>
      </c>
      <c r="AD11" s="106" t="s">
        <v>229</v>
      </c>
      <c r="AE11" s="106" t="s">
        <v>229</v>
      </c>
      <c r="AF11" s="106" t="s">
        <v>229</v>
      </c>
      <c r="AG11" s="106" t="s">
        <v>229</v>
      </c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7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65"/>
      <c r="CL11" s="65"/>
    </row>
    <row r="12" spans="1:90" x14ac:dyDescent="0.2">
      <c r="A12" s="101">
        <v>1819</v>
      </c>
      <c r="B12" s="102" t="s">
        <v>233</v>
      </c>
      <c r="C12" s="103" t="s">
        <v>200</v>
      </c>
      <c r="D12" s="103" t="s">
        <v>226</v>
      </c>
      <c r="E12" s="103">
        <f>VLOOKUP(A12,'tabla datos'!$H$160:$K$206,4,0)</f>
        <v>57654.9</v>
      </c>
      <c r="F12" s="115">
        <f t="shared" si="0"/>
        <v>0.2989624060150376</v>
      </c>
      <c r="G12" s="103">
        <f>VLOOKUP(A12,'tabla datos'!$H$160:$K$206,3,0)</f>
        <v>192850</v>
      </c>
      <c r="H12" s="105" t="s">
        <v>227</v>
      </c>
      <c r="I12" s="105"/>
      <c r="J12" s="105"/>
      <c r="K12" s="105">
        <v>1</v>
      </c>
      <c r="L12" s="105" t="s">
        <v>232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 t="s">
        <v>229</v>
      </c>
      <c r="AD12" s="106" t="s">
        <v>229</v>
      </c>
      <c r="AE12" s="106" t="s">
        <v>229</v>
      </c>
      <c r="AF12" s="106" t="s">
        <v>229</v>
      </c>
      <c r="AG12" s="106" t="s">
        <v>229</v>
      </c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7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65"/>
      <c r="CL12" s="65"/>
    </row>
    <row r="13" spans="1:90" x14ac:dyDescent="0.2">
      <c r="A13" s="101">
        <v>155</v>
      </c>
      <c r="B13" s="102" t="s">
        <v>234</v>
      </c>
      <c r="C13" s="103" t="s">
        <v>100</v>
      </c>
      <c r="D13" s="103" t="s">
        <v>226</v>
      </c>
      <c r="E13" s="103">
        <f>VLOOKUP(A13,'tabla datos'!$H$160:$K$206,4,0)</f>
        <v>65838.89</v>
      </c>
      <c r="F13" s="115">
        <f t="shared" si="0"/>
        <v>2.7962883997094935E-2</v>
      </c>
      <c r="G13" s="103">
        <f>VLOOKUP(A13,'tabla datos'!$H$160:$K$206,3,0)</f>
        <v>2354510</v>
      </c>
      <c r="H13" s="105" t="s">
        <v>227</v>
      </c>
      <c r="I13" s="105">
        <v>1</v>
      </c>
      <c r="J13" s="105">
        <v>1</v>
      </c>
      <c r="K13" s="105">
        <v>1</v>
      </c>
      <c r="L13" s="105" t="s">
        <v>235</v>
      </c>
      <c r="M13" s="106" t="s">
        <v>229</v>
      </c>
      <c r="N13" s="106" t="s">
        <v>229</v>
      </c>
      <c r="O13" s="106" t="s">
        <v>229</v>
      </c>
      <c r="P13" s="106" t="s">
        <v>229</v>
      </c>
      <c r="Q13" s="106" t="s">
        <v>229</v>
      </c>
      <c r="R13" s="106" t="s">
        <v>229</v>
      </c>
      <c r="S13" s="106" t="s">
        <v>229</v>
      </c>
      <c r="T13" s="106" t="s">
        <v>229</v>
      </c>
      <c r="U13" s="106" t="s">
        <v>229</v>
      </c>
      <c r="V13" s="106" t="s">
        <v>229</v>
      </c>
      <c r="W13" s="106" t="s">
        <v>229</v>
      </c>
      <c r="X13" s="106" t="s">
        <v>229</v>
      </c>
      <c r="Y13" s="106" t="s">
        <v>229</v>
      </c>
      <c r="Z13" s="106" t="s">
        <v>229</v>
      </c>
      <c r="AA13" s="106" t="s">
        <v>229</v>
      </c>
      <c r="AB13" s="106" t="s">
        <v>229</v>
      </c>
      <c r="AC13" s="106" t="s">
        <v>229</v>
      </c>
      <c r="AD13" s="106" t="s">
        <v>229</v>
      </c>
      <c r="AE13" s="106" t="s">
        <v>229</v>
      </c>
      <c r="AF13" s="106" t="s">
        <v>229</v>
      </c>
      <c r="AG13" s="106" t="s">
        <v>229</v>
      </c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7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65"/>
      <c r="CL13" s="65"/>
    </row>
    <row r="14" spans="1:90" x14ac:dyDescent="0.2">
      <c r="A14" s="101">
        <v>1793</v>
      </c>
      <c r="B14" s="102" t="s">
        <v>236</v>
      </c>
      <c r="C14" s="103" t="s">
        <v>203</v>
      </c>
      <c r="D14" s="103" t="s">
        <v>237</v>
      </c>
      <c r="E14" s="103" t="e">
        <f>VLOOKUP(A14,'tabla datos'!$H$160:$K$206,4,0)</f>
        <v>#N/A</v>
      </c>
      <c r="F14" s="115" t="e">
        <f t="shared" si="0"/>
        <v>#N/A</v>
      </c>
      <c r="G14" s="103" t="e">
        <f>VLOOKUP(A14,'tabla datos'!$H$160:$K$206,3,0)</f>
        <v>#N/A</v>
      </c>
      <c r="H14" s="105" t="s">
        <v>238</v>
      </c>
      <c r="I14" s="105"/>
      <c r="J14" s="105"/>
      <c r="K14" s="105">
        <v>1</v>
      </c>
      <c r="L14" s="105" t="s">
        <v>239</v>
      </c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7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65"/>
      <c r="CL14" s="65"/>
    </row>
    <row r="15" spans="1:90" x14ac:dyDescent="0.2">
      <c r="A15" s="101">
        <v>157</v>
      </c>
      <c r="B15" s="102" t="s">
        <v>240</v>
      </c>
      <c r="C15" s="103" t="s">
        <v>100</v>
      </c>
      <c r="D15" s="103" t="s">
        <v>226</v>
      </c>
      <c r="E15" s="103">
        <f>VLOOKUP(A15,'tabla datos'!$H$160:$K$206,4,0)</f>
        <v>568369.1</v>
      </c>
      <c r="F15" s="115">
        <f t="shared" si="0"/>
        <v>8.2084561515498561E-2</v>
      </c>
      <c r="G15" s="103">
        <f>VLOOKUP(A15,'tabla datos'!$H$160:$K$206,3,0)</f>
        <v>6924190</v>
      </c>
      <c r="H15" s="105" t="s">
        <v>238</v>
      </c>
      <c r="I15" s="105">
        <v>1</v>
      </c>
      <c r="J15" s="105">
        <v>1</v>
      </c>
      <c r="K15" s="105">
        <v>1</v>
      </c>
      <c r="L15" s="105" t="s">
        <v>241</v>
      </c>
      <c r="M15" s="106" t="s">
        <v>229</v>
      </c>
      <c r="N15" s="106" t="s">
        <v>229</v>
      </c>
      <c r="O15" s="106" t="s">
        <v>229</v>
      </c>
      <c r="P15" s="106" t="s">
        <v>229</v>
      </c>
      <c r="Q15" s="106" t="s">
        <v>229</v>
      </c>
      <c r="R15" s="106" t="s">
        <v>229</v>
      </c>
      <c r="S15" s="106" t="s">
        <v>229</v>
      </c>
      <c r="T15" s="106" t="s">
        <v>229</v>
      </c>
      <c r="U15" s="106" t="s">
        <v>229</v>
      </c>
      <c r="V15" s="106" t="s">
        <v>229</v>
      </c>
      <c r="W15" s="106" t="s">
        <v>229</v>
      </c>
      <c r="X15" s="106" t="s">
        <v>229</v>
      </c>
      <c r="Y15" s="106" t="s">
        <v>229</v>
      </c>
      <c r="Z15" s="106" t="s">
        <v>229</v>
      </c>
      <c r="AA15" s="106" t="s">
        <v>229</v>
      </c>
      <c r="AB15" s="106" t="s">
        <v>229</v>
      </c>
      <c r="AC15" s="106" t="s">
        <v>229</v>
      </c>
      <c r="AD15" s="106" t="s">
        <v>229</v>
      </c>
      <c r="AE15" s="106" t="s">
        <v>229</v>
      </c>
      <c r="AF15" s="106" t="s">
        <v>229</v>
      </c>
      <c r="AG15" s="106" t="s">
        <v>229</v>
      </c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7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65"/>
      <c r="CL15" s="65"/>
    </row>
    <row r="16" spans="1:90" x14ac:dyDescent="0.2">
      <c r="A16" s="101">
        <v>1210</v>
      </c>
      <c r="B16" s="102" t="s">
        <v>245</v>
      </c>
      <c r="C16" s="103" t="s">
        <v>100</v>
      </c>
      <c r="D16" s="103" t="s">
        <v>226</v>
      </c>
      <c r="E16" s="103">
        <f>VLOOKUP(A16,'tabla datos'!$H$160:$K$206,4,0)</f>
        <v>1010425.07</v>
      </c>
      <c r="F16" s="115">
        <f t="shared" si="0"/>
        <v>0.20863834439752629</v>
      </c>
      <c r="G16" s="103">
        <f>VLOOKUP(A16,'tabla datos'!$H$160:$K$206,3,0)</f>
        <v>4842950</v>
      </c>
      <c r="H16" s="105" t="s">
        <v>227</v>
      </c>
      <c r="I16" s="105">
        <v>1</v>
      </c>
      <c r="J16" s="105">
        <v>1</v>
      </c>
      <c r="K16" s="105">
        <v>1</v>
      </c>
      <c r="L16" s="105" t="s">
        <v>246</v>
      </c>
      <c r="M16" s="106" t="s">
        <v>229</v>
      </c>
      <c r="N16" s="106" t="s">
        <v>229</v>
      </c>
      <c r="O16" s="106" t="s">
        <v>229</v>
      </c>
      <c r="P16" s="106" t="s">
        <v>229</v>
      </c>
      <c r="Q16" s="106" t="s">
        <v>229</v>
      </c>
      <c r="R16" s="106" t="s">
        <v>229</v>
      </c>
      <c r="S16" s="106" t="s">
        <v>229</v>
      </c>
      <c r="T16" s="106" t="s">
        <v>229</v>
      </c>
      <c r="U16" s="106" t="s">
        <v>229</v>
      </c>
      <c r="V16" s="106" t="s">
        <v>229</v>
      </c>
      <c r="W16" s="106" t="s">
        <v>229</v>
      </c>
      <c r="X16" s="106" t="s">
        <v>229</v>
      </c>
      <c r="Y16" s="106" t="s">
        <v>229</v>
      </c>
      <c r="Z16" s="106" t="s">
        <v>229</v>
      </c>
      <c r="AA16" s="106" t="s">
        <v>229</v>
      </c>
      <c r="AB16" s="106" t="s">
        <v>229</v>
      </c>
      <c r="AC16" s="106" t="s">
        <v>229</v>
      </c>
      <c r="AD16" s="106" t="s">
        <v>229</v>
      </c>
      <c r="AE16" s="106" t="s">
        <v>229</v>
      </c>
      <c r="AF16" s="106" t="s">
        <v>229</v>
      </c>
      <c r="AG16" s="106" t="s">
        <v>229</v>
      </c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7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65"/>
      <c r="CL16" s="65"/>
    </row>
    <row r="17" spans="1:90" x14ac:dyDescent="0.2">
      <c r="A17" s="101">
        <v>1795</v>
      </c>
      <c r="B17" s="102" t="s">
        <v>247</v>
      </c>
      <c r="C17" s="103" t="s">
        <v>203</v>
      </c>
      <c r="D17" s="103" t="s">
        <v>237</v>
      </c>
      <c r="E17" s="103" t="e">
        <f>VLOOKUP(A17,'tabla datos'!$H$160:$K$206,4,0)</f>
        <v>#N/A</v>
      </c>
      <c r="F17" s="115" t="e">
        <f t="shared" si="0"/>
        <v>#N/A</v>
      </c>
      <c r="G17" s="103" t="e">
        <f>VLOOKUP(A17,'tabla datos'!$H$160:$K$206,3,0)</f>
        <v>#N/A</v>
      </c>
      <c r="H17" s="105" t="s">
        <v>238</v>
      </c>
      <c r="I17" s="105"/>
      <c r="J17" s="105"/>
      <c r="K17" s="105">
        <v>1</v>
      </c>
      <c r="L17" s="105" t="s">
        <v>248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7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65"/>
      <c r="CL17" s="65"/>
    </row>
    <row r="18" spans="1:90" x14ac:dyDescent="0.2">
      <c r="A18" s="101">
        <v>2472</v>
      </c>
      <c r="B18" s="102" t="s">
        <v>249</v>
      </c>
      <c r="C18" s="103" t="s">
        <v>100</v>
      </c>
      <c r="D18" s="103" t="s">
        <v>237</v>
      </c>
      <c r="E18" s="103" t="e">
        <f>VLOOKUP(A18,'tabla datos'!$H$160:$K$206,4,0)</f>
        <v>#N/A</v>
      </c>
      <c r="F18" s="115" t="e">
        <f t="shared" si="0"/>
        <v>#N/A</v>
      </c>
      <c r="G18" s="103" t="e">
        <f>VLOOKUP(A18,'tabla datos'!$H$160:$K$206,3,0)</f>
        <v>#N/A</v>
      </c>
      <c r="H18" s="105" t="s">
        <v>227</v>
      </c>
      <c r="I18" s="105">
        <v>1</v>
      </c>
      <c r="J18" s="105">
        <v>1</v>
      </c>
      <c r="K18" s="105">
        <v>1</v>
      </c>
      <c r="L18" s="105" t="s">
        <v>232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7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65"/>
      <c r="CL18" s="65"/>
    </row>
    <row r="19" spans="1:90" x14ac:dyDescent="0.2">
      <c r="A19" s="101">
        <v>175</v>
      </c>
      <c r="B19" s="102" t="s">
        <v>250</v>
      </c>
      <c r="C19" s="103" t="s">
        <v>100</v>
      </c>
      <c r="D19" s="103" t="s">
        <v>226</v>
      </c>
      <c r="E19" s="103">
        <f>VLOOKUP(A19,'tabla datos'!$H$160:$K$206,4,0)</f>
        <v>68854.899999999994</v>
      </c>
      <c r="F19" s="115">
        <f t="shared" si="0"/>
        <v>4.7797646732150909E-2</v>
      </c>
      <c r="G19" s="103">
        <f>VLOOKUP(A19,'tabla datos'!$H$160:$K$206,3,0)</f>
        <v>1440550</v>
      </c>
      <c r="H19" s="105" t="s">
        <v>227</v>
      </c>
      <c r="I19" s="105">
        <v>1</v>
      </c>
      <c r="J19" s="105">
        <v>1</v>
      </c>
      <c r="K19" s="105">
        <v>1</v>
      </c>
      <c r="L19" s="105" t="s">
        <v>241</v>
      </c>
      <c r="M19" s="106" t="s">
        <v>229</v>
      </c>
      <c r="N19" s="106" t="s">
        <v>229</v>
      </c>
      <c r="O19" s="106" t="s">
        <v>229</v>
      </c>
      <c r="P19" s="106" t="s">
        <v>229</v>
      </c>
      <c r="Q19" s="106" t="s">
        <v>229</v>
      </c>
      <c r="R19" s="106" t="s">
        <v>229</v>
      </c>
      <c r="S19" s="106" t="s">
        <v>229</v>
      </c>
      <c r="T19" s="106" t="s">
        <v>229</v>
      </c>
      <c r="U19" s="106" t="s">
        <v>229</v>
      </c>
      <c r="V19" s="106" t="s">
        <v>229</v>
      </c>
      <c r="W19" s="106" t="s">
        <v>229</v>
      </c>
      <c r="X19" s="106" t="s">
        <v>229</v>
      </c>
      <c r="Y19" s="106" t="s">
        <v>229</v>
      </c>
      <c r="Z19" s="106" t="s">
        <v>229</v>
      </c>
      <c r="AA19" s="106" t="s">
        <v>229</v>
      </c>
      <c r="AB19" s="106" t="s">
        <v>229</v>
      </c>
      <c r="AC19" s="106" t="s">
        <v>229</v>
      </c>
      <c r="AD19" s="106" t="s">
        <v>229</v>
      </c>
      <c r="AE19" s="106" t="s">
        <v>229</v>
      </c>
      <c r="AF19" s="106" t="s">
        <v>229</v>
      </c>
      <c r="AG19" s="106" t="s">
        <v>229</v>
      </c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7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65"/>
      <c r="CL19" s="65"/>
    </row>
    <row r="20" spans="1:90" x14ac:dyDescent="0.2">
      <c r="A20" s="101">
        <v>2052</v>
      </c>
      <c r="B20" s="102" t="s">
        <v>251</v>
      </c>
      <c r="C20" s="103" t="s">
        <v>200</v>
      </c>
      <c r="D20" s="103" t="s">
        <v>226</v>
      </c>
      <c r="E20" s="103">
        <f>VLOOKUP(A20,'tabla datos'!$H$160:$K$206,4,0)</f>
        <v>65992.81</v>
      </c>
      <c r="F20" s="115">
        <f t="shared" si="0"/>
        <v>0.3806252739647018</v>
      </c>
      <c r="G20" s="103">
        <f>VLOOKUP(A20,'tabla datos'!$H$160:$K$206,3,0)</f>
        <v>173380</v>
      </c>
      <c r="H20" s="105" t="s">
        <v>238</v>
      </c>
      <c r="I20" s="105"/>
      <c r="J20" s="105">
        <v>1</v>
      </c>
      <c r="K20" s="105">
        <v>1</v>
      </c>
      <c r="L20" s="105" t="s">
        <v>232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 t="s">
        <v>229</v>
      </c>
      <c r="AD20" s="106" t="s">
        <v>229</v>
      </c>
      <c r="AE20" s="106" t="s">
        <v>229</v>
      </c>
      <c r="AF20" s="106" t="s">
        <v>229</v>
      </c>
      <c r="AG20" s="106" t="s">
        <v>229</v>
      </c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7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65"/>
      <c r="CL20" s="65"/>
    </row>
    <row r="21" spans="1:90" x14ac:dyDescent="0.2">
      <c r="A21" s="101">
        <v>754</v>
      </c>
      <c r="B21" s="102" t="s">
        <v>252</v>
      </c>
      <c r="C21" s="103" t="s">
        <v>200</v>
      </c>
      <c r="D21" s="103" t="s">
        <v>237</v>
      </c>
      <c r="E21" s="103" t="e">
        <f>VLOOKUP(A21,'tabla datos'!$H$160:$K$206,4,0)</f>
        <v>#N/A</v>
      </c>
      <c r="F21" s="115" t="e">
        <f t="shared" si="0"/>
        <v>#N/A</v>
      </c>
      <c r="G21" s="103" t="e">
        <f>VLOOKUP(A21,'tabla datos'!$H$160:$K$206,3,0)</f>
        <v>#N/A</v>
      </c>
      <c r="H21" s="105" t="s">
        <v>227</v>
      </c>
      <c r="I21" s="105"/>
      <c r="J21" s="105">
        <v>1</v>
      </c>
      <c r="K21" s="105">
        <v>1</v>
      </c>
      <c r="L21" s="105" t="s">
        <v>241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7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65"/>
      <c r="CL21" s="65"/>
    </row>
    <row r="22" spans="1:90" x14ac:dyDescent="0.2">
      <c r="A22" s="101">
        <v>1796</v>
      </c>
      <c r="B22" s="102" t="s">
        <v>254</v>
      </c>
      <c r="C22" s="103" t="s">
        <v>203</v>
      </c>
      <c r="D22" s="103" t="s">
        <v>237</v>
      </c>
      <c r="E22" s="103" t="e">
        <f>VLOOKUP(A22,'tabla datos'!$H$160:$K$206,4,0)</f>
        <v>#N/A</v>
      </c>
      <c r="F22" s="115" t="e">
        <f t="shared" si="0"/>
        <v>#N/A</v>
      </c>
      <c r="G22" s="103" t="e">
        <f>VLOOKUP(A22,'tabla datos'!$H$160:$K$206,3,0)</f>
        <v>#N/A</v>
      </c>
      <c r="H22" s="105" t="s">
        <v>238</v>
      </c>
      <c r="I22" s="105"/>
      <c r="J22" s="105"/>
      <c r="K22" s="105">
        <v>1</v>
      </c>
      <c r="L22" s="105" t="s">
        <v>232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7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65"/>
      <c r="CL22" s="65"/>
    </row>
    <row r="23" spans="1:90" x14ac:dyDescent="0.2">
      <c r="A23" s="101">
        <v>2606</v>
      </c>
      <c r="B23" s="102" t="s">
        <v>255</v>
      </c>
      <c r="C23" s="103" t="s">
        <v>203</v>
      </c>
      <c r="D23" s="103" t="s">
        <v>237</v>
      </c>
      <c r="E23" s="103" t="e">
        <f>VLOOKUP(A23,'tabla datos'!$H$160:$K$206,4,0)</f>
        <v>#N/A</v>
      </c>
      <c r="F23" s="115" t="e">
        <f t="shared" si="0"/>
        <v>#N/A</v>
      </c>
      <c r="G23" s="103" t="e">
        <f>VLOOKUP(A23,'tabla datos'!$H$160:$K$206,3,0)</f>
        <v>#N/A</v>
      </c>
      <c r="H23" s="105" t="s">
        <v>238</v>
      </c>
      <c r="I23" s="105"/>
      <c r="J23" s="105"/>
      <c r="K23" s="105">
        <v>1</v>
      </c>
      <c r="L23" s="105" t="s">
        <v>241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7"/>
      <c r="AN23" s="106"/>
      <c r="AO23" s="106"/>
      <c r="AP23" s="106"/>
      <c r="AQ23" s="106"/>
      <c r="AR23" s="106"/>
      <c r="AS23" s="107"/>
      <c r="AT23" s="107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65"/>
      <c r="CL23" s="65"/>
    </row>
    <row r="24" spans="1:90" x14ac:dyDescent="0.2">
      <c r="A24" s="101">
        <v>1797</v>
      </c>
      <c r="B24" s="102" t="s">
        <v>256</v>
      </c>
      <c r="C24" s="103" t="s">
        <v>203</v>
      </c>
      <c r="D24" s="103" t="s">
        <v>237</v>
      </c>
      <c r="E24" s="103" t="e">
        <f>VLOOKUP(A24,'tabla datos'!$H$160:$K$206,4,0)</f>
        <v>#N/A</v>
      </c>
      <c r="F24" s="115" t="e">
        <f t="shared" si="0"/>
        <v>#N/A</v>
      </c>
      <c r="G24" s="103" t="e">
        <f>VLOOKUP(A24,'tabla datos'!$H$160:$K$206,3,0)</f>
        <v>#N/A</v>
      </c>
      <c r="H24" s="105" t="s">
        <v>238</v>
      </c>
      <c r="I24" s="105"/>
      <c r="J24" s="105"/>
      <c r="K24" s="105">
        <v>1</v>
      </c>
      <c r="L24" s="105" t="s">
        <v>248</v>
      </c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7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65"/>
      <c r="CL24" s="65"/>
    </row>
    <row r="25" spans="1:90" x14ac:dyDescent="0.2">
      <c r="A25" s="101">
        <v>1071</v>
      </c>
      <c r="B25" s="102" t="s">
        <v>257</v>
      </c>
      <c r="C25" s="103" t="s">
        <v>203</v>
      </c>
      <c r="D25" s="103" t="s">
        <v>237</v>
      </c>
      <c r="E25" s="103" t="e">
        <f>VLOOKUP(A25,'tabla datos'!$H$160:$K$206,4,0)</f>
        <v>#N/A</v>
      </c>
      <c r="F25" s="115" t="e">
        <f t="shared" si="0"/>
        <v>#N/A</v>
      </c>
      <c r="G25" s="103" t="e">
        <f>VLOOKUP(A25,'tabla datos'!$H$160:$K$206,3,0)</f>
        <v>#N/A</v>
      </c>
      <c r="H25" s="105" t="s">
        <v>238</v>
      </c>
      <c r="I25" s="105"/>
      <c r="J25" s="105"/>
      <c r="K25" s="105">
        <v>1</v>
      </c>
      <c r="L25" s="105" t="s">
        <v>232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7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65"/>
      <c r="CL25" s="65"/>
    </row>
    <row r="26" spans="1:90" x14ac:dyDescent="0.2">
      <c r="A26" s="101">
        <v>1072</v>
      </c>
      <c r="B26" s="102" t="s">
        <v>258</v>
      </c>
      <c r="C26" s="103" t="s">
        <v>203</v>
      </c>
      <c r="D26" s="103" t="s">
        <v>237</v>
      </c>
      <c r="E26" s="103" t="e">
        <f>VLOOKUP(A26,'tabla datos'!$H$160:$K$206,4,0)</f>
        <v>#N/A</v>
      </c>
      <c r="F26" s="115" t="e">
        <f t="shared" si="0"/>
        <v>#N/A</v>
      </c>
      <c r="G26" s="103" t="e">
        <f>VLOOKUP(A26,'tabla datos'!$H$160:$K$206,3,0)</f>
        <v>#N/A</v>
      </c>
      <c r="H26" s="105" t="s">
        <v>238</v>
      </c>
      <c r="I26" s="105"/>
      <c r="J26" s="105"/>
      <c r="K26" s="105">
        <v>1</v>
      </c>
      <c r="L26" s="105" t="s">
        <v>232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7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65"/>
      <c r="CL26" s="65"/>
    </row>
    <row r="27" spans="1:90" x14ac:dyDescent="0.2">
      <c r="A27" s="101">
        <v>1084</v>
      </c>
      <c r="B27" s="102" t="s">
        <v>1237</v>
      </c>
      <c r="C27" s="103" t="s">
        <v>203</v>
      </c>
      <c r="D27" s="103" t="s">
        <v>237</v>
      </c>
      <c r="E27" s="103" t="e">
        <f>VLOOKUP(A27,'tabla datos'!$H$160:$K$206,4,0)</f>
        <v>#N/A</v>
      </c>
      <c r="F27" s="115" t="e">
        <f t="shared" si="0"/>
        <v>#N/A</v>
      </c>
      <c r="G27" s="103" t="e">
        <f>VLOOKUP(A27,'tabla datos'!$H$160:$K$206,3,0)</f>
        <v>#N/A</v>
      </c>
      <c r="H27" s="105" t="s">
        <v>238</v>
      </c>
      <c r="I27" s="105"/>
      <c r="J27" s="105">
        <v>1</v>
      </c>
      <c r="K27" s="105">
        <v>1</v>
      </c>
      <c r="L27" s="105" t="s">
        <v>241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7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65"/>
      <c r="CL27" s="65"/>
    </row>
    <row r="28" spans="1:90" x14ac:dyDescent="0.2">
      <c r="A28" s="101">
        <v>1800</v>
      </c>
      <c r="B28" s="102" t="s">
        <v>262</v>
      </c>
      <c r="C28" s="103" t="s">
        <v>200</v>
      </c>
      <c r="D28" s="103" t="s">
        <v>237</v>
      </c>
      <c r="E28" s="103">
        <f>VLOOKUP(A28,'tabla datos'!$H$160:$K$206,4,0)</f>
        <v>33500</v>
      </c>
      <c r="F28" s="115">
        <f t="shared" si="0"/>
        <v>8.875112594712023E-2</v>
      </c>
      <c r="G28" s="103">
        <f>VLOOKUP(A28,'tabla datos'!$H$160:$K$206,3,0)</f>
        <v>377460</v>
      </c>
      <c r="H28" s="105" t="s">
        <v>227</v>
      </c>
      <c r="I28" s="105"/>
      <c r="J28" s="105">
        <v>1</v>
      </c>
      <c r="K28" s="105">
        <v>1</v>
      </c>
      <c r="L28" s="105" t="s">
        <v>239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7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  <c r="CI28" s="107"/>
      <c r="CJ28" s="107"/>
      <c r="CK28" s="65"/>
      <c r="CL28" s="65"/>
    </row>
    <row r="29" spans="1:90" x14ac:dyDescent="0.2">
      <c r="A29" s="101">
        <v>1801</v>
      </c>
      <c r="B29" s="102" t="s">
        <v>263</v>
      </c>
      <c r="C29" s="103" t="s">
        <v>200</v>
      </c>
      <c r="D29" s="103" t="s">
        <v>237</v>
      </c>
      <c r="E29" s="103" t="e">
        <f>VLOOKUP(A29,'tabla datos'!$H$160:$K$206,4,0)</f>
        <v>#N/A</v>
      </c>
      <c r="F29" s="115" t="e">
        <f t="shared" si="0"/>
        <v>#N/A</v>
      </c>
      <c r="G29" s="103" t="e">
        <f>VLOOKUP(A29,'tabla datos'!$H$160:$K$206,3,0)</f>
        <v>#N/A</v>
      </c>
      <c r="H29" s="105" t="s">
        <v>227</v>
      </c>
      <c r="I29" s="105"/>
      <c r="J29" s="105">
        <v>1</v>
      </c>
      <c r="K29" s="105">
        <v>1</v>
      </c>
      <c r="L29" s="105" t="s">
        <v>239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7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65"/>
      <c r="CL29" s="65"/>
    </row>
    <row r="30" spans="1:90" x14ac:dyDescent="0.2">
      <c r="A30" s="101">
        <v>1820</v>
      </c>
      <c r="B30" s="102" t="s">
        <v>264</v>
      </c>
      <c r="C30" s="103" t="s">
        <v>200</v>
      </c>
      <c r="D30" s="103" t="s">
        <v>237</v>
      </c>
      <c r="E30" s="103" t="e">
        <f>VLOOKUP(A30,'tabla datos'!$H$160:$K$206,4,0)</f>
        <v>#N/A</v>
      </c>
      <c r="F30" s="115" t="e">
        <f t="shared" si="0"/>
        <v>#N/A</v>
      </c>
      <c r="G30" s="103" t="e">
        <f>VLOOKUP(A30,'tabla datos'!$H$160:$K$206,3,0)</f>
        <v>#N/A</v>
      </c>
      <c r="H30" s="105" t="s">
        <v>227</v>
      </c>
      <c r="I30" s="105"/>
      <c r="J30" s="105">
        <v>1</v>
      </c>
      <c r="K30" s="105">
        <v>1</v>
      </c>
      <c r="L30" s="105" t="s">
        <v>232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7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65"/>
      <c r="CL30" s="65"/>
    </row>
    <row r="31" spans="1:90" x14ac:dyDescent="0.2">
      <c r="A31" s="101">
        <v>2608</v>
      </c>
      <c r="B31" s="102" t="s">
        <v>1238</v>
      </c>
      <c r="C31" s="103" t="s">
        <v>203</v>
      </c>
      <c r="D31" s="103" t="s">
        <v>237</v>
      </c>
      <c r="E31" s="103" t="e">
        <f>VLOOKUP(A31,'tabla datos'!$H$160:$K$206,4,0)</f>
        <v>#N/A</v>
      </c>
      <c r="F31" s="115" t="e">
        <f t="shared" si="0"/>
        <v>#N/A</v>
      </c>
      <c r="G31" s="103" t="e">
        <f>VLOOKUP(A31,'tabla datos'!$H$160:$K$206,3,0)</f>
        <v>#N/A</v>
      </c>
      <c r="H31" s="105" t="s">
        <v>238</v>
      </c>
      <c r="I31" s="105"/>
      <c r="J31" s="105"/>
      <c r="K31" s="105">
        <v>1</v>
      </c>
      <c r="L31" s="105" t="s">
        <v>241</v>
      </c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7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65"/>
      <c r="CL31" s="65"/>
    </row>
    <row r="32" spans="1:90" x14ac:dyDescent="0.2">
      <c r="A32" s="101">
        <v>1803</v>
      </c>
      <c r="B32" s="102" t="s">
        <v>265</v>
      </c>
      <c r="C32" s="103" t="s">
        <v>200</v>
      </c>
      <c r="D32" s="103" t="s">
        <v>226</v>
      </c>
      <c r="E32" s="103">
        <f>VLOOKUP(A32,'tabla datos'!$H$160:$K$206,4,0)</f>
        <v>22925.45</v>
      </c>
      <c r="F32" s="115">
        <f t="shared" si="0"/>
        <v>2.8804435230556605E-2</v>
      </c>
      <c r="G32" s="103">
        <f>VLOOKUP(A32,'tabla datos'!$H$160:$K$206,3,0)</f>
        <v>795900</v>
      </c>
      <c r="H32" s="105" t="s">
        <v>227</v>
      </c>
      <c r="I32" s="105"/>
      <c r="J32" s="105">
        <v>1</v>
      </c>
      <c r="K32" s="105">
        <v>1</v>
      </c>
      <c r="L32" s="105" t="s">
        <v>239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 t="s">
        <v>229</v>
      </c>
      <c r="AD32" s="106" t="s">
        <v>229</v>
      </c>
      <c r="AE32" s="106" t="s">
        <v>229</v>
      </c>
      <c r="AF32" s="106" t="s">
        <v>229</v>
      </c>
      <c r="AG32" s="106" t="s">
        <v>229</v>
      </c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7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65"/>
      <c r="CL32" s="65"/>
    </row>
    <row r="33" spans="1:90" x14ac:dyDescent="0.2">
      <c r="A33" s="101">
        <v>1079</v>
      </c>
      <c r="B33" s="102" t="s">
        <v>267</v>
      </c>
      <c r="C33" s="103" t="s">
        <v>203</v>
      </c>
      <c r="D33" s="103" t="s">
        <v>237</v>
      </c>
      <c r="E33" s="103" t="e">
        <f>VLOOKUP(A33,'tabla datos'!$H$160:$K$206,4,0)</f>
        <v>#N/A</v>
      </c>
      <c r="F33" s="115" t="e">
        <f t="shared" si="0"/>
        <v>#N/A</v>
      </c>
      <c r="G33" s="103" t="e">
        <f>VLOOKUP(A33,'tabla datos'!$H$160:$K$206,3,0)</f>
        <v>#N/A</v>
      </c>
      <c r="H33" s="105" t="s">
        <v>238</v>
      </c>
      <c r="I33" s="105"/>
      <c r="J33" s="105">
        <v>1</v>
      </c>
      <c r="K33" s="105">
        <v>1</v>
      </c>
      <c r="L33" s="105" t="s">
        <v>241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7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65"/>
      <c r="CL33" s="65"/>
    </row>
    <row r="34" spans="1:90" x14ac:dyDescent="0.2">
      <c r="A34" s="101">
        <v>965</v>
      </c>
      <c r="B34" s="102" t="s">
        <v>268</v>
      </c>
      <c r="C34" s="103" t="s">
        <v>100</v>
      </c>
      <c r="D34" s="103" t="s">
        <v>226</v>
      </c>
      <c r="E34" s="103">
        <f>VLOOKUP(A34,'tabla datos'!$H$160:$K$206,4,0)</f>
        <v>291280.13</v>
      </c>
      <c r="F34" s="115">
        <f t="shared" si="0"/>
        <v>0.31402495768513428</v>
      </c>
      <c r="G34" s="103">
        <f>VLOOKUP(A34,'tabla datos'!$H$160:$K$206,3,0)</f>
        <v>927570</v>
      </c>
      <c r="H34" s="105" t="s">
        <v>227</v>
      </c>
      <c r="I34" s="105">
        <v>1</v>
      </c>
      <c r="J34" s="105">
        <v>1</v>
      </c>
      <c r="K34" s="105">
        <v>1</v>
      </c>
      <c r="L34" s="105" t="s">
        <v>241</v>
      </c>
      <c r="M34" s="106" t="s">
        <v>229</v>
      </c>
      <c r="N34" s="106" t="s">
        <v>229</v>
      </c>
      <c r="O34" s="106" t="s">
        <v>229</v>
      </c>
      <c r="P34" s="106" t="s">
        <v>229</v>
      </c>
      <c r="Q34" s="106" t="s">
        <v>229</v>
      </c>
      <c r="R34" s="106" t="s">
        <v>229</v>
      </c>
      <c r="S34" s="106" t="s">
        <v>229</v>
      </c>
      <c r="T34" s="106" t="s">
        <v>229</v>
      </c>
      <c r="U34" s="106" t="s">
        <v>229</v>
      </c>
      <c r="V34" s="106" t="s">
        <v>229</v>
      </c>
      <c r="W34" s="106" t="s">
        <v>229</v>
      </c>
      <c r="X34" s="106" t="s">
        <v>229</v>
      </c>
      <c r="Y34" s="106" t="s">
        <v>229</v>
      </c>
      <c r="Z34" s="106" t="s">
        <v>229</v>
      </c>
      <c r="AA34" s="106" t="s">
        <v>229</v>
      </c>
      <c r="AB34" s="106" t="s">
        <v>229</v>
      </c>
      <c r="AC34" s="106" t="s">
        <v>229</v>
      </c>
      <c r="AD34" s="106" t="s">
        <v>229</v>
      </c>
      <c r="AE34" s="106" t="s">
        <v>229</v>
      </c>
      <c r="AF34" s="106" t="s">
        <v>229</v>
      </c>
      <c r="AG34" s="106" t="s">
        <v>229</v>
      </c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7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7"/>
      <c r="CG34" s="107"/>
      <c r="CH34" s="107"/>
      <c r="CI34" s="107"/>
      <c r="CJ34" s="107"/>
      <c r="CK34" s="65"/>
      <c r="CL34" s="65"/>
    </row>
    <row r="35" spans="1:90" x14ac:dyDescent="0.2">
      <c r="A35" s="101">
        <v>2247</v>
      </c>
      <c r="B35" s="102" t="s">
        <v>269</v>
      </c>
      <c r="C35" s="103" t="s">
        <v>100</v>
      </c>
      <c r="D35" s="103" t="s">
        <v>237</v>
      </c>
      <c r="E35" s="103" t="e">
        <f>VLOOKUP(A35,'tabla datos'!$H$160:$K$206,4,0)</f>
        <v>#N/A</v>
      </c>
      <c r="F35" s="115" t="e">
        <f t="shared" si="0"/>
        <v>#N/A</v>
      </c>
      <c r="G35" s="103" t="e">
        <f>VLOOKUP(A35,'tabla datos'!$H$160:$K$206,3,0)</f>
        <v>#N/A</v>
      </c>
      <c r="H35" s="105" t="s">
        <v>227</v>
      </c>
      <c r="I35" s="105">
        <v>1</v>
      </c>
      <c r="J35" s="105">
        <v>1</v>
      </c>
      <c r="K35" s="105">
        <v>1</v>
      </c>
      <c r="L35" s="105" t="s">
        <v>232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7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65"/>
      <c r="CL35" s="65"/>
    </row>
    <row r="36" spans="1:90" x14ac:dyDescent="0.2">
      <c r="A36" s="101">
        <v>1804</v>
      </c>
      <c r="B36" s="102" t="s">
        <v>270</v>
      </c>
      <c r="C36" s="103" t="s">
        <v>203</v>
      </c>
      <c r="D36" s="103" t="s">
        <v>237</v>
      </c>
      <c r="E36" s="103">
        <f>VLOOKUP(A36,'tabla datos'!$H$160:$K$206,4,0)</f>
        <v>33560.68</v>
      </c>
      <c r="F36" s="115">
        <f t="shared" si="0"/>
        <v>6.7255871743486972</v>
      </c>
      <c r="G36" s="103">
        <f>VLOOKUP(A36,'tabla datos'!$H$160:$K$206,3,0)</f>
        <v>4990</v>
      </c>
      <c r="H36" s="105" t="s">
        <v>238</v>
      </c>
      <c r="I36" s="105"/>
      <c r="J36" s="105"/>
      <c r="K36" s="105">
        <v>1</v>
      </c>
      <c r="L36" s="105" t="s">
        <v>239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7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65"/>
      <c r="CL36" s="65"/>
    </row>
    <row r="37" spans="1:90" x14ac:dyDescent="0.2">
      <c r="A37" s="101">
        <v>1805</v>
      </c>
      <c r="B37" s="102" t="s">
        <v>271</v>
      </c>
      <c r="C37" s="103" t="s">
        <v>200</v>
      </c>
      <c r="D37" s="103" t="s">
        <v>237</v>
      </c>
      <c r="E37" s="103" t="e">
        <f>VLOOKUP(A37,'tabla datos'!$H$160:$K$206,4,0)</f>
        <v>#N/A</v>
      </c>
      <c r="F37" s="115" t="e">
        <f t="shared" si="0"/>
        <v>#N/A</v>
      </c>
      <c r="G37" s="103" t="e">
        <f>VLOOKUP(A37,'tabla datos'!$H$160:$K$206,3,0)</f>
        <v>#N/A</v>
      </c>
      <c r="H37" s="105" t="s">
        <v>227</v>
      </c>
      <c r="I37" s="105"/>
      <c r="J37" s="105">
        <v>1</v>
      </c>
      <c r="K37" s="105">
        <v>1</v>
      </c>
      <c r="L37" s="105" t="s">
        <v>239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7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65"/>
      <c r="CL37" s="65"/>
    </row>
    <row r="38" spans="1:90" x14ac:dyDescent="0.2">
      <c r="A38" s="101">
        <v>2600</v>
      </c>
      <c r="B38" s="102" t="s">
        <v>272</v>
      </c>
      <c r="C38" s="103" t="s">
        <v>203</v>
      </c>
      <c r="D38" s="103" t="s">
        <v>237</v>
      </c>
      <c r="E38" s="103" t="e">
        <f>VLOOKUP(A38,'tabla datos'!$H$160:$K$206,4,0)</f>
        <v>#N/A</v>
      </c>
      <c r="F38" s="115" t="e">
        <f t="shared" si="0"/>
        <v>#N/A</v>
      </c>
      <c r="G38" s="103" t="e">
        <f>VLOOKUP(A38,'tabla datos'!$H$160:$K$206,3,0)</f>
        <v>#N/A</v>
      </c>
      <c r="H38" s="105" t="s">
        <v>238</v>
      </c>
      <c r="I38" s="105"/>
      <c r="J38" s="105"/>
      <c r="K38" s="105">
        <v>1</v>
      </c>
      <c r="L38" s="105" t="s">
        <v>241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7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7"/>
      <c r="CJ38" s="107"/>
      <c r="CK38" s="65"/>
      <c r="CL38" s="65"/>
    </row>
    <row r="39" spans="1:90" x14ac:dyDescent="0.2">
      <c r="A39" s="101">
        <v>1807</v>
      </c>
      <c r="B39" s="102" t="s">
        <v>273</v>
      </c>
      <c r="C39" s="103" t="s">
        <v>200</v>
      </c>
      <c r="D39" s="103" t="s">
        <v>226</v>
      </c>
      <c r="E39" s="103">
        <f>VLOOKUP(A39,'tabla datos'!$H$160:$K$206,4,0)</f>
        <v>69591.509999999995</v>
      </c>
      <c r="F39" s="115">
        <f t="shared" si="0"/>
        <v>6.6857698700150833E-2</v>
      </c>
      <c r="G39" s="103">
        <f>VLOOKUP(A39,'tabla datos'!$H$160:$K$206,3,0)</f>
        <v>1040890</v>
      </c>
      <c r="H39" s="105" t="s">
        <v>227</v>
      </c>
      <c r="I39" s="105"/>
      <c r="J39" s="105">
        <v>1</v>
      </c>
      <c r="K39" s="105">
        <v>1</v>
      </c>
      <c r="L39" s="105" t="s">
        <v>232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 t="s">
        <v>229</v>
      </c>
      <c r="AD39" s="106" t="s">
        <v>229</v>
      </c>
      <c r="AE39" s="106" t="s">
        <v>229</v>
      </c>
      <c r="AF39" s="106" t="s">
        <v>229</v>
      </c>
      <c r="AG39" s="106" t="s">
        <v>229</v>
      </c>
      <c r="AH39" s="106"/>
      <c r="AI39" s="106"/>
      <c r="AJ39" s="106"/>
      <c r="AK39" s="106"/>
      <c r="AL39" s="106"/>
      <c r="AM39" s="107"/>
      <c r="AN39" s="106"/>
      <c r="AO39" s="106"/>
      <c r="AP39" s="106"/>
      <c r="AQ39" s="106"/>
      <c r="AR39" s="106"/>
      <c r="AS39" s="107"/>
      <c r="AT39" s="107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65"/>
      <c r="CL39" s="65"/>
    </row>
    <row r="40" spans="1:90" x14ac:dyDescent="0.2">
      <c r="A40" s="101">
        <v>1671</v>
      </c>
      <c r="B40" s="102" t="s">
        <v>277</v>
      </c>
      <c r="C40" s="103" t="s">
        <v>100</v>
      </c>
      <c r="D40" s="103" t="s">
        <v>226</v>
      </c>
      <c r="E40" s="103">
        <f>VLOOKUP(A40,'tabla datos'!$H$160:$K$206,4,0)</f>
        <v>401219.16</v>
      </c>
      <c r="F40" s="115">
        <f t="shared" si="0"/>
        <v>8.0142051594475017E-2</v>
      </c>
      <c r="G40" s="103">
        <f>VLOOKUP(A40,'tabla datos'!$H$160:$K$206,3,0)</f>
        <v>5006350</v>
      </c>
      <c r="H40" s="105" t="s">
        <v>227</v>
      </c>
      <c r="I40" s="105">
        <v>1</v>
      </c>
      <c r="J40" s="105">
        <v>1</v>
      </c>
      <c r="K40" s="105">
        <v>1</v>
      </c>
      <c r="L40" s="105" t="s">
        <v>278</v>
      </c>
      <c r="M40" s="106" t="s">
        <v>229</v>
      </c>
      <c r="N40" s="106" t="s">
        <v>229</v>
      </c>
      <c r="O40" s="106" t="s">
        <v>229</v>
      </c>
      <c r="P40" s="106" t="s">
        <v>229</v>
      </c>
      <c r="Q40" s="106" t="s">
        <v>229</v>
      </c>
      <c r="R40" s="106" t="s">
        <v>229</v>
      </c>
      <c r="S40" s="106" t="s">
        <v>229</v>
      </c>
      <c r="T40" s="106" t="s">
        <v>229</v>
      </c>
      <c r="U40" s="106" t="s">
        <v>229</v>
      </c>
      <c r="V40" s="106" t="s">
        <v>229</v>
      </c>
      <c r="W40" s="106" t="s">
        <v>229</v>
      </c>
      <c r="X40" s="106" t="s">
        <v>229</v>
      </c>
      <c r="Y40" s="106" t="s">
        <v>229</v>
      </c>
      <c r="Z40" s="106" t="s">
        <v>229</v>
      </c>
      <c r="AA40" s="106" t="s">
        <v>229</v>
      </c>
      <c r="AB40" s="106" t="s">
        <v>229</v>
      </c>
      <c r="AC40" s="106" t="s">
        <v>229</v>
      </c>
      <c r="AD40" s="106" t="s">
        <v>229</v>
      </c>
      <c r="AE40" s="106" t="s">
        <v>229</v>
      </c>
      <c r="AF40" s="106" t="s">
        <v>229</v>
      </c>
      <c r="AG40" s="106" t="s">
        <v>229</v>
      </c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7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65"/>
      <c r="CL40" s="65"/>
    </row>
    <row r="41" spans="1:90" x14ac:dyDescent="0.2">
      <c r="A41" s="101">
        <v>2243</v>
      </c>
      <c r="B41" s="102" t="s">
        <v>279</v>
      </c>
      <c r="C41" s="103" t="s">
        <v>100</v>
      </c>
      <c r="D41" s="103" t="s">
        <v>226</v>
      </c>
      <c r="E41" s="103">
        <f>VLOOKUP(A41,'tabla datos'!$H$160:$K$206,4,0)</f>
        <v>80322.289999999994</v>
      </c>
      <c r="F41" s="115">
        <f t="shared" si="0"/>
        <v>1.0032799273542118E-2</v>
      </c>
      <c r="G41" s="103">
        <f>VLOOKUP(A41,'tabla datos'!$H$160:$K$206,3,0)</f>
        <v>8005970</v>
      </c>
      <c r="H41" s="105" t="s">
        <v>227</v>
      </c>
      <c r="I41" s="105">
        <v>1</v>
      </c>
      <c r="J41" s="105">
        <v>1</v>
      </c>
      <c r="K41" s="105">
        <v>1</v>
      </c>
      <c r="L41" s="105" t="s">
        <v>241</v>
      </c>
      <c r="M41" s="106" t="s">
        <v>229</v>
      </c>
      <c r="N41" s="106" t="s">
        <v>229</v>
      </c>
      <c r="O41" s="106" t="s">
        <v>229</v>
      </c>
      <c r="P41" s="106" t="s">
        <v>229</v>
      </c>
      <c r="Q41" s="106" t="s">
        <v>229</v>
      </c>
      <c r="R41" s="106" t="s">
        <v>229</v>
      </c>
      <c r="S41" s="106" t="s">
        <v>229</v>
      </c>
      <c r="T41" s="106" t="s">
        <v>229</v>
      </c>
      <c r="U41" s="106" t="s">
        <v>229</v>
      </c>
      <c r="V41" s="106" t="s">
        <v>229</v>
      </c>
      <c r="W41" s="106" t="s">
        <v>229</v>
      </c>
      <c r="X41" s="106" t="s">
        <v>229</v>
      </c>
      <c r="Y41" s="106" t="s">
        <v>229</v>
      </c>
      <c r="Z41" s="106" t="s">
        <v>229</v>
      </c>
      <c r="AA41" s="106" t="s">
        <v>229</v>
      </c>
      <c r="AB41" s="106" t="s">
        <v>229</v>
      </c>
      <c r="AC41" s="106" t="s">
        <v>229</v>
      </c>
      <c r="AD41" s="106" t="s">
        <v>229</v>
      </c>
      <c r="AE41" s="106" t="s">
        <v>229</v>
      </c>
      <c r="AF41" s="106" t="s">
        <v>229</v>
      </c>
      <c r="AG41" s="106" t="s">
        <v>229</v>
      </c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7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65"/>
      <c r="CL41" s="65"/>
    </row>
    <row r="42" spans="1:90" x14ac:dyDescent="0.2">
      <c r="A42" s="101">
        <v>2244</v>
      </c>
      <c r="B42" s="102" t="s">
        <v>280</v>
      </c>
      <c r="C42" s="103" t="s">
        <v>100</v>
      </c>
      <c r="D42" s="103" t="s">
        <v>226</v>
      </c>
      <c r="E42" s="103">
        <f>VLOOKUP(A42,'tabla datos'!$H$160:$K$206,4,0)</f>
        <v>327871.21999999997</v>
      </c>
      <c r="F42" s="115">
        <f t="shared" si="0"/>
        <v>7.4087154387772622E-2</v>
      </c>
      <c r="G42" s="103">
        <f>VLOOKUP(A42,'tabla datos'!$H$160:$K$206,3,0)</f>
        <v>4425480</v>
      </c>
      <c r="H42" s="105" t="s">
        <v>227</v>
      </c>
      <c r="I42" s="105">
        <v>1</v>
      </c>
      <c r="J42" s="105">
        <v>1</v>
      </c>
      <c r="K42" s="105">
        <v>1</v>
      </c>
      <c r="L42" s="105" t="s">
        <v>241</v>
      </c>
      <c r="M42" s="106" t="s">
        <v>229</v>
      </c>
      <c r="N42" s="106" t="s">
        <v>229</v>
      </c>
      <c r="O42" s="106" t="s">
        <v>229</v>
      </c>
      <c r="P42" s="106" t="s">
        <v>229</v>
      </c>
      <c r="Q42" s="106" t="s">
        <v>229</v>
      </c>
      <c r="R42" s="106" t="s">
        <v>229</v>
      </c>
      <c r="S42" s="106" t="s">
        <v>229</v>
      </c>
      <c r="T42" s="106" t="s">
        <v>229</v>
      </c>
      <c r="U42" s="106" t="s">
        <v>229</v>
      </c>
      <c r="V42" s="106" t="s">
        <v>229</v>
      </c>
      <c r="W42" s="106" t="s">
        <v>229</v>
      </c>
      <c r="X42" s="106" t="s">
        <v>229</v>
      </c>
      <c r="Y42" s="106" t="s">
        <v>229</v>
      </c>
      <c r="Z42" s="106" t="s">
        <v>229</v>
      </c>
      <c r="AA42" s="106" t="s">
        <v>229</v>
      </c>
      <c r="AB42" s="106" t="s">
        <v>229</v>
      </c>
      <c r="AC42" s="106" t="s">
        <v>229</v>
      </c>
      <c r="AD42" s="106" t="s">
        <v>229</v>
      </c>
      <c r="AE42" s="106" t="s">
        <v>229</v>
      </c>
      <c r="AF42" s="106" t="s">
        <v>229</v>
      </c>
      <c r="AG42" s="106" t="s">
        <v>229</v>
      </c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7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107"/>
      <c r="CE42" s="107"/>
      <c r="CF42" s="107"/>
      <c r="CG42" s="107"/>
      <c r="CH42" s="107"/>
      <c r="CI42" s="107"/>
      <c r="CJ42" s="107"/>
      <c r="CK42" s="65"/>
      <c r="CL42" s="65"/>
    </row>
    <row r="43" spans="1:90" x14ac:dyDescent="0.2">
      <c r="A43" s="101">
        <v>1673</v>
      </c>
      <c r="B43" s="102" t="s">
        <v>281</v>
      </c>
      <c r="C43" s="103" t="s">
        <v>100</v>
      </c>
      <c r="D43" s="103" t="s">
        <v>226</v>
      </c>
      <c r="E43" s="103">
        <f>VLOOKUP(A43,'tabla datos'!$H$160:$K$206,4,0)</f>
        <v>434377.38</v>
      </c>
      <c r="F43" s="115">
        <f t="shared" si="0"/>
        <v>0.11911682777343589</v>
      </c>
      <c r="G43" s="103">
        <f>VLOOKUP(A43,'tabla datos'!$H$160:$K$206,3,0)</f>
        <v>3646650</v>
      </c>
      <c r="H43" s="105" t="s">
        <v>227</v>
      </c>
      <c r="I43" s="105">
        <v>1</v>
      </c>
      <c r="J43" s="105">
        <v>1</v>
      </c>
      <c r="K43" s="105">
        <v>1</v>
      </c>
      <c r="L43" s="105" t="s">
        <v>278</v>
      </c>
      <c r="M43" s="106" t="s">
        <v>229</v>
      </c>
      <c r="N43" s="106" t="s">
        <v>229</v>
      </c>
      <c r="O43" s="106" t="s">
        <v>229</v>
      </c>
      <c r="P43" s="106" t="s">
        <v>229</v>
      </c>
      <c r="Q43" s="106" t="s">
        <v>229</v>
      </c>
      <c r="R43" s="106" t="s">
        <v>229</v>
      </c>
      <c r="S43" s="106" t="s">
        <v>229</v>
      </c>
      <c r="T43" s="106" t="s">
        <v>229</v>
      </c>
      <c r="U43" s="106" t="s">
        <v>229</v>
      </c>
      <c r="V43" s="106" t="s">
        <v>229</v>
      </c>
      <c r="W43" s="106" t="s">
        <v>229</v>
      </c>
      <c r="X43" s="106" t="s">
        <v>229</v>
      </c>
      <c r="Y43" s="106" t="s">
        <v>229</v>
      </c>
      <c r="Z43" s="106" t="s">
        <v>229</v>
      </c>
      <c r="AA43" s="106" t="s">
        <v>229</v>
      </c>
      <c r="AB43" s="106" t="s">
        <v>229</v>
      </c>
      <c r="AC43" s="106" t="s">
        <v>229</v>
      </c>
      <c r="AD43" s="106" t="s">
        <v>229</v>
      </c>
      <c r="AE43" s="106" t="s">
        <v>229</v>
      </c>
      <c r="AF43" s="106" t="s">
        <v>229</v>
      </c>
      <c r="AG43" s="106" t="s">
        <v>229</v>
      </c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7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65"/>
      <c r="CL43" s="65"/>
    </row>
    <row r="44" spans="1:90" x14ac:dyDescent="0.2">
      <c r="A44" s="101">
        <v>1075</v>
      </c>
      <c r="B44" s="102" t="s">
        <v>282</v>
      </c>
      <c r="C44" s="103" t="s">
        <v>200</v>
      </c>
      <c r="D44" s="103" t="s">
        <v>237</v>
      </c>
      <c r="E44" s="103" t="e">
        <f>VLOOKUP(A44,'tabla datos'!$H$160:$K$206,4,0)</f>
        <v>#N/A</v>
      </c>
      <c r="F44" s="115" t="e">
        <f t="shared" si="0"/>
        <v>#N/A</v>
      </c>
      <c r="G44" s="103" t="e">
        <f>VLOOKUP(A44,'tabla datos'!$H$160:$K$206,3,0)</f>
        <v>#N/A</v>
      </c>
      <c r="H44" s="105" t="s">
        <v>227</v>
      </c>
      <c r="I44" s="105"/>
      <c r="J44" s="105">
        <v>1</v>
      </c>
      <c r="K44" s="105">
        <v>1</v>
      </c>
      <c r="L44" s="105" t="s">
        <v>232</v>
      </c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7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65"/>
      <c r="CL44" s="65"/>
    </row>
    <row r="45" spans="1:90" x14ac:dyDescent="0.2">
      <c r="A45" s="101">
        <v>1816</v>
      </c>
      <c r="B45" s="102" t="s">
        <v>283</v>
      </c>
      <c r="C45" s="103" t="s">
        <v>203</v>
      </c>
      <c r="D45" s="103" t="s">
        <v>237</v>
      </c>
      <c r="E45" s="103" t="e">
        <f>VLOOKUP(A45,'tabla datos'!$H$160:$K$206,4,0)</f>
        <v>#N/A</v>
      </c>
      <c r="F45" s="115" t="e">
        <f t="shared" si="0"/>
        <v>#N/A</v>
      </c>
      <c r="G45" s="103" t="e">
        <f>VLOOKUP(A45,'tabla datos'!$H$160:$K$206,3,0)</f>
        <v>#N/A</v>
      </c>
      <c r="H45" s="105" t="s">
        <v>238</v>
      </c>
      <c r="I45" s="105"/>
      <c r="J45" s="105"/>
      <c r="K45" s="105">
        <v>1</v>
      </c>
      <c r="L45" s="105" t="s">
        <v>239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7"/>
      <c r="AN45" s="106"/>
      <c r="AO45" s="106"/>
      <c r="AP45" s="106"/>
      <c r="AQ45" s="106"/>
      <c r="AR45" s="106"/>
      <c r="AS45" s="107"/>
      <c r="AT45" s="107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65"/>
      <c r="CL45" s="65"/>
    </row>
    <row r="46" spans="1:90" x14ac:dyDescent="0.2">
      <c r="A46" s="101">
        <v>2050</v>
      </c>
      <c r="B46" s="102" t="s">
        <v>284</v>
      </c>
      <c r="C46" s="103" t="s">
        <v>100</v>
      </c>
      <c r="D46" s="103" t="s">
        <v>226</v>
      </c>
      <c r="E46" s="103">
        <f>VLOOKUP(A46,'tabla datos'!$H$160:$K$206,4,0)</f>
        <v>101029.78</v>
      </c>
      <c r="F46" s="115">
        <f t="shared" si="0"/>
        <v>2.6397762338622652E-2</v>
      </c>
      <c r="G46" s="103">
        <f>VLOOKUP(A46,'tabla datos'!$H$160:$K$206,3,0)</f>
        <v>3827210</v>
      </c>
      <c r="H46" s="105" t="s">
        <v>238</v>
      </c>
      <c r="I46" s="105">
        <v>1</v>
      </c>
      <c r="J46" s="105">
        <v>1</v>
      </c>
      <c r="K46" s="105">
        <v>1</v>
      </c>
      <c r="L46" s="105" t="s">
        <v>248</v>
      </c>
      <c r="M46" s="106" t="s">
        <v>229</v>
      </c>
      <c r="N46" s="106" t="s">
        <v>229</v>
      </c>
      <c r="O46" s="106" t="s">
        <v>229</v>
      </c>
      <c r="P46" s="106" t="s">
        <v>229</v>
      </c>
      <c r="Q46" s="106" t="s">
        <v>229</v>
      </c>
      <c r="R46" s="106" t="s">
        <v>229</v>
      </c>
      <c r="S46" s="106" t="s">
        <v>229</v>
      </c>
      <c r="T46" s="106" t="s">
        <v>229</v>
      </c>
      <c r="U46" s="106" t="s">
        <v>229</v>
      </c>
      <c r="V46" s="106" t="s">
        <v>229</v>
      </c>
      <c r="W46" s="106" t="s">
        <v>229</v>
      </c>
      <c r="X46" s="106" t="s">
        <v>229</v>
      </c>
      <c r="Y46" s="106" t="s">
        <v>229</v>
      </c>
      <c r="Z46" s="106" t="s">
        <v>229</v>
      </c>
      <c r="AA46" s="106" t="s">
        <v>229</v>
      </c>
      <c r="AB46" s="106" t="s">
        <v>229</v>
      </c>
      <c r="AC46" s="106" t="s">
        <v>229</v>
      </c>
      <c r="AD46" s="106" t="s">
        <v>229</v>
      </c>
      <c r="AE46" s="106" t="s">
        <v>229</v>
      </c>
      <c r="AF46" s="106" t="s">
        <v>229</v>
      </c>
      <c r="AG46" s="106" t="s">
        <v>229</v>
      </c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7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E46" s="107"/>
      <c r="CF46" s="107"/>
      <c r="CG46" s="107"/>
      <c r="CH46" s="107"/>
      <c r="CI46" s="107"/>
      <c r="CJ46" s="107"/>
      <c r="CK46" s="65"/>
      <c r="CL46" s="65"/>
    </row>
    <row r="47" spans="1:90" x14ac:dyDescent="0.2">
      <c r="A47" s="101">
        <v>1806</v>
      </c>
      <c r="B47" s="102" t="s">
        <v>285</v>
      </c>
      <c r="C47" s="103" t="s">
        <v>200</v>
      </c>
      <c r="D47" s="103" t="s">
        <v>226</v>
      </c>
      <c r="E47" s="103">
        <f>VLOOKUP(A47,'tabla datos'!$H$160:$K$206,4,0)</f>
        <v>127698.75</v>
      </c>
      <c r="F47" s="115">
        <f t="shared" si="0"/>
        <v>0.24280560150590383</v>
      </c>
      <c r="G47" s="103">
        <f>VLOOKUP(A47,'tabla datos'!$H$160:$K$206,3,0)</f>
        <v>525930</v>
      </c>
      <c r="H47" s="105" t="s">
        <v>227</v>
      </c>
      <c r="I47" s="105"/>
      <c r="J47" s="105">
        <v>1</v>
      </c>
      <c r="K47" s="105">
        <v>1</v>
      </c>
      <c r="L47" s="105" t="s">
        <v>239</v>
      </c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 t="s">
        <v>229</v>
      </c>
      <c r="AD47" s="106" t="s">
        <v>229</v>
      </c>
      <c r="AE47" s="106" t="s">
        <v>229</v>
      </c>
      <c r="AF47" s="106" t="s">
        <v>229</v>
      </c>
      <c r="AG47" s="106" t="s">
        <v>229</v>
      </c>
      <c r="AH47" s="106"/>
      <c r="AI47" s="106"/>
      <c r="AJ47" s="106"/>
      <c r="AK47" s="106"/>
      <c r="AL47" s="106"/>
      <c r="AM47" s="107"/>
      <c r="AN47" s="106"/>
      <c r="AO47" s="106"/>
      <c r="AP47" s="106"/>
      <c r="AQ47" s="106"/>
      <c r="AR47" s="106"/>
      <c r="AS47" s="107"/>
      <c r="AT47" s="107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7"/>
      <c r="CG47" s="107"/>
      <c r="CH47" s="107"/>
      <c r="CI47" s="107"/>
      <c r="CJ47" s="107"/>
      <c r="CK47" s="65"/>
      <c r="CL47" s="65"/>
    </row>
    <row r="48" spans="1:90" x14ac:dyDescent="0.2">
      <c r="A48" s="101">
        <v>1068</v>
      </c>
      <c r="B48" s="102" t="s">
        <v>286</v>
      </c>
      <c r="C48" s="103" t="s">
        <v>200</v>
      </c>
      <c r="D48" s="103" t="s">
        <v>237</v>
      </c>
      <c r="E48" s="103" t="e">
        <f>VLOOKUP(A48,'tabla datos'!$H$160:$K$206,4,0)</f>
        <v>#N/A</v>
      </c>
      <c r="F48" s="115" t="e">
        <f t="shared" si="0"/>
        <v>#N/A</v>
      </c>
      <c r="G48" s="103" t="e">
        <f>VLOOKUP(A48,'tabla datos'!$H$160:$K$206,3,0)</f>
        <v>#N/A</v>
      </c>
      <c r="H48" s="105" t="s">
        <v>227</v>
      </c>
      <c r="I48" s="105"/>
      <c r="J48" s="105">
        <v>1</v>
      </c>
      <c r="K48" s="105">
        <v>1</v>
      </c>
      <c r="L48" s="105" t="s">
        <v>239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7"/>
      <c r="AN48" s="106"/>
      <c r="AO48" s="106"/>
      <c r="AP48" s="106"/>
      <c r="AQ48" s="106"/>
      <c r="AR48" s="106"/>
      <c r="AS48" s="107"/>
      <c r="AT48" s="107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07"/>
      <c r="CF48" s="107"/>
      <c r="CG48" s="107"/>
      <c r="CH48" s="107"/>
      <c r="CI48" s="107"/>
      <c r="CJ48" s="107"/>
      <c r="CK48" s="65"/>
      <c r="CL48" s="65"/>
    </row>
    <row r="49" spans="1:90" x14ac:dyDescent="0.2">
      <c r="A49" s="101">
        <v>2607</v>
      </c>
      <c r="B49" s="102" t="s">
        <v>287</v>
      </c>
      <c r="C49" s="103" t="s">
        <v>203</v>
      </c>
      <c r="D49" s="103" t="s">
        <v>237</v>
      </c>
      <c r="E49" s="103" t="e">
        <f>VLOOKUP(A49,'tabla datos'!$H$160:$K$206,4,0)</f>
        <v>#N/A</v>
      </c>
      <c r="F49" s="115" t="e">
        <f t="shared" si="0"/>
        <v>#N/A</v>
      </c>
      <c r="G49" s="103" t="e">
        <f>VLOOKUP(A49,'tabla datos'!$H$160:$K$206,3,0)</f>
        <v>#N/A</v>
      </c>
      <c r="H49" s="105" t="s">
        <v>238</v>
      </c>
      <c r="I49" s="105"/>
      <c r="J49" s="105"/>
      <c r="K49" s="105">
        <v>1</v>
      </c>
      <c r="L49" s="105" t="s">
        <v>241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7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65"/>
      <c r="CL49" s="65"/>
    </row>
    <row r="50" spans="1:90" x14ac:dyDescent="0.2">
      <c r="A50" s="101">
        <v>1675</v>
      </c>
      <c r="B50" s="102" t="s">
        <v>288</v>
      </c>
      <c r="C50" s="103" t="s">
        <v>100</v>
      </c>
      <c r="D50" s="103" t="s">
        <v>237</v>
      </c>
      <c r="E50" s="103">
        <f>VLOOKUP(A50,'tabla datos'!$H$160:$K$206,4,0)</f>
        <v>-6200.1</v>
      </c>
      <c r="F50" s="115">
        <f t="shared" si="0"/>
        <v>-0.77695488721804518</v>
      </c>
      <c r="G50" s="103">
        <f>VLOOKUP(A50,'tabla datos'!$H$160:$K$206,3,0)</f>
        <v>7980</v>
      </c>
      <c r="H50" s="105" t="s">
        <v>227</v>
      </c>
      <c r="I50" s="105">
        <v>1</v>
      </c>
      <c r="J50" s="105">
        <v>1</v>
      </c>
      <c r="K50" s="105">
        <v>1</v>
      </c>
      <c r="L50" s="105" t="s">
        <v>232</v>
      </c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7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65"/>
      <c r="CL50" s="65"/>
    </row>
    <row r="51" spans="1:90" x14ac:dyDescent="0.2">
      <c r="A51" s="101">
        <v>231</v>
      </c>
      <c r="B51" s="102" t="s">
        <v>289</v>
      </c>
      <c r="C51" s="103" t="s">
        <v>100</v>
      </c>
      <c r="D51" s="103" t="s">
        <v>237</v>
      </c>
      <c r="E51" s="103" t="e">
        <f>VLOOKUP(A51,'tabla datos'!$H$160:$K$206,4,0)</f>
        <v>#N/A</v>
      </c>
      <c r="F51" s="115" t="e">
        <f t="shared" si="0"/>
        <v>#N/A</v>
      </c>
      <c r="G51" s="103" t="e">
        <f>VLOOKUP(A51,'tabla datos'!$H$160:$K$206,3,0)</f>
        <v>#N/A</v>
      </c>
      <c r="H51" s="105" t="s">
        <v>227</v>
      </c>
      <c r="I51" s="105">
        <v>2</v>
      </c>
      <c r="J51" s="105">
        <v>1</v>
      </c>
      <c r="K51" s="105">
        <v>1</v>
      </c>
      <c r="L51" s="105" t="s">
        <v>239</v>
      </c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7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65"/>
      <c r="CL51" s="65"/>
    </row>
    <row r="52" spans="1:90" x14ac:dyDescent="0.2">
      <c r="A52" s="101">
        <v>1868</v>
      </c>
      <c r="B52" s="102" t="s">
        <v>290</v>
      </c>
      <c r="C52" s="103" t="s">
        <v>100</v>
      </c>
      <c r="D52" s="103" t="s">
        <v>226</v>
      </c>
      <c r="E52" s="103">
        <f>VLOOKUP(A52,'tabla datos'!$H$160:$K$206,4,0)</f>
        <v>73398.929999999993</v>
      </c>
      <c r="F52" s="115">
        <f t="shared" si="0"/>
        <v>2.6810533698117752E-2</v>
      </c>
      <c r="G52" s="103">
        <f>VLOOKUP(A52,'tabla datos'!$H$160:$K$206,3,0)</f>
        <v>2737690</v>
      </c>
      <c r="H52" s="105" t="s">
        <v>227</v>
      </c>
      <c r="I52" s="105">
        <v>2</v>
      </c>
      <c r="J52" s="105">
        <v>1</v>
      </c>
      <c r="K52" s="105">
        <v>1</v>
      </c>
      <c r="L52" s="105" t="s">
        <v>232</v>
      </c>
      <c r="M52" s="106" t="s">
        <v>229</v>
      </c>
      <c r="N52" s="106" t="s">
        <v>229</v>
      </c>
      <c r="O52" s="106" t="s">
        <v>229</v>
      </c>
      <c r="P52" s="106" t="s">
        <v>229</v>
      </c>
      <c r="Q52" s="106" t="s">
        <v>229</v>
      </c>
      <c r="R52" s="106" t="s">
        <v>229</v>
      </c>
      <c r="S52" s="106" t="s">
        <v>229</v>
      </c>
      <c r="T52" s="106" t="s">
        <v>229</v>
      </c>
      <c r="U52" s="106" t="s">
        <v>229</v>
      </c>
      <c r="V52" s="106" t="s">
        <v>229</v>
      </c>
      <c r="W52" s="106" t="s">
        <v>229</v>
      </c>
      <c r="X52" s="106" t="s">
        <v>229</v>
      </c>
      <c r="Y52" s="106" t="s">
        <v>229</v>
      </c>
      <c r="Z52" s="106" t="s">
        <v>229</v>
      </c>
      <c r="AA52" s="106" t="s">
        <v>229</v>
      </c>
      <c r="AB52" s="106" t="s">
        <v>229</v>
      </c>
      <c r="AC52" s="106" t="s">
        <v>229</v>
      </c>
      <c r="AD52" s="106" t="s">
        <v>229</v>
      </c>
      <c r="AE52" s="106" t="s">
        <v>229</v>
      </c>
      <c r="AF52" s="106" t="s">
        <v>229</v>
      </c>
      <c r="AG52" s="106" t="s">
        <v>229</v>
      </c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7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65"/>
      <c r="CL52" s="65"/>
    </row>
    <row r="53" spans="1:90" x14ac:dyDescent="0.2">
      <c r="A53" s="101">
        <v>1076</v>
      </c>
      <c r="B53" s="102" t="s">
        <v>291</v>
      </c>
      <c r="C53" s="103" t="s">
        <v>200</v>
      </c>
      <c r="D53" s="103" t="s">
        <v>226</v>
      </c>
      <c r="E53" s="103">
        <f>VLOOKUP(A53,'tabla datos'!$H$160:$K$206,4,0)</f>
        <v>148800.31</v>
      </c>
      <c r="F53" s="115">
        <f t="shared" si="0"/>
        <v>0.21874356486585814</v>
      </c>
      <c r="G53" s="103">
        <f>VLOOKUP(A53,'tabla datos'!$H$160:$K$206,3,0)</f>
        <v>680250</v>
      </c>
      <c r="H53" s="105" t="s">
        <v>227</v>
      </c>
      <c r="I53" s="105"/>
      <c r="J53" s="105">
        <v>1</v>
      </c>
      <c r="K53" s="105">
        <v>1</v>
      </c>
      <c r="L53" s="105" t="s">
        <v>232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 t="s">
        <v>229</v>
      </c>
      <c r="AD53" s="106" t="s">
        <v>229</v>
      </c>
      <c r="AE53" s="106" t="s">
        <v>229</v>
      </c>
      <c r="AF53" s="106" t="s">
        <v>229</v>
      </c>
      <c r="AG53" s="106" t="s">
        <v>229</v>
      </c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7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65"/>
      <c r="CL53" s="65"/>
    </row>
    <row r="54" spans="1:90" x14ac:dyDescent="0.2">
      <c r="A54" s="101">
        <v>2473</v>
      </c>
      <c r="B54" s="102" t="s">
        <v>292</v>
      </c>
      <c r="C54" s="103" t="s">
        <v>200</v>
      </c>
      <c r="D54" s="103" t="s">
        <v>237</v>
      </c>
      <c r="E54" s="103" t="e">
        <f>VLOOKUP(A54,'tabla datos'!$H$160:$K$206,4,0)</f>
        <v>#N/A</v>
      </c>
      <c r="F54" s="115" t="e">
        <f t="shared" si="0"/>
        <v>#N/A</v>
      </c>
      <c r="G54" s="103" t="e">
        <f>VLOOKUP(A54,'tabla datos'!$H$160:$K$206,3,0)</f>
        <v>#N/A</v>
      </c>
      <c r="H54" s="105" t="s">
        <v>227</v>
      </c>
      <c r="I54" s="105"/>
      <c r="J54" s="105">
        <v>1</v>
      </c>
      <c r="K54" s="105">
        <v>1</v>
      </c>
      <c r="L54" s="105" t="s">
        <v>239</v>
      </c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7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65"/>
      <c r="CL54" s="65"/>
    </row>
    <row r="55" spans="1:90" x14ac:dyDescent="0.2">
      <c r="A55" s="101">
        <v>1623</v>
      </c>
      <c r="B55" s="102" t="s">
        <v>293</v>
      </c>
      <c r="C55" s="103" t="s">
        <v>200</v>
      </c>
      <c r="D55" s="103" t="s">
        <v>226</v>
      </c>
      <c r="E55" s="103">
        <f>VLOOKUP(A55,'tabla datos'!$H$160:$K$206,4,0)</f>
        <v>129309.18</v>
      </c>
      <c r="F55" s="115">
        <f t="shared" si="0"/>
        <v>0.79340520309240392</v>
      </c>
      <c r="G55" s="103">
        <f>VLOOKUP(A55,'tabla datos'!$H$160:$K$206,3,0)</f>
        <v>162980</v>
      </c>
      <c r="H55" s="105" t="s">
        <v>238</v>
      </c>
      <c r="I55" s="105"/>
      <c r="J55" s="105">
        <v>1</v>
      </c>
      <c r="K55" s="105">
        <v>1</v>
      </c>
      <c r="L55" s="105" t="s">
        <v>232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 t="s">
        <v>229</v>
      </c>
      <c r="AD55" s="106" t="s">
        <v>229</v>
      </c>
      <c r="AE55" s="106" t="s">
        <v>229</v>
      </c>
      <c r="AF55" s="106" t="s">
        <v>229</v>
      </c>
      <c r="AG55" s="106" t="s">
        <v>229</v>
      </c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7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65"/>
      <c r="CL55" s="65"/>
    </row>
    <row r="56" spans="1:90" x14ac:dyDescent="0.2">
      <c r="A56" s="101">
        <v>1867</v>
      </c>
      <c r="B56" s="102" t="s">
        <v>294</v>
      </c>
      <c r="C56" s="103" t="s">
        <v>200</v>
      </c>
      <c r="D56" s="103" t="s">
        <v>226</v>
      </c>
      <c r="E56" s="103">
        <f>VLOOKUP(A56,'tabla datos'!$H$160:$K$206,4,0)</f>
        <v>30185.68</v>
      </c>
      <c r="F56" s="115">
        <f t="shared" si="0"/>
        <v>6.2079795985521553E-2</v>
      </c>
      <c r="G56" s="103">
        <f>VLOOKUP(A56,'tabla datos'!$H$160:$K$206,3,0)</f>
        <v>486240</v>
      </c>
      <c r="H56" s="105" t="s">
        <v>238</v>
      </c>
      <c r="I56" s="105"/>
      <c r="J56" s="105">
        <v>1</v>
      </c>
      <c r="K56" s="105">
        <v>1</v>
      </c>
      <c r="L56" s="105" t="s">
        <v>295</v>
      </c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 t="s">
        <v>229</v>
      </c>
      <c r="AD56" s="106" t="s">
        <v>229</v>
      </c>
      <c r="AE56" s="106" t="s">
        <v>229</v>
      </c>
      <c r="AF56" s="106" t="s">
        <v>229</v>
      </c>
      <c r="AG56" s="106" t="s">
        <v>229</v>
      </c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7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65"/>
      <c r="CL56" s="65"/>
    </row>
    <row r="57" spans="1:90" x14ac:dyDescent="0.2">
      <c r="A57" s="101">
        <v>2001</v>
      </c>
      <c r="B57" s="102" t="s">
        <v>296</v>
      </c>
      <c r="C57" s="103" t="s">
        <v>203</v>
      </c>
      <c r="D57" s="103" t="s">
        <v>237</v>
      </c>
      <c r="E57" s="103">
        <f>VLOOKUP(A57,'tabla datos'!$H$160:$K$206,4,0)</f>
        <v>-4200</v>
      </c>
      <c r="F57" s="115" t="e">
        <f t="shared" si="0"/>
        <v>#DIV/0!</v>
      </c>
      <c r="G57" s="103">
        <f>VLOOKUP(A57,'tabla datos'!$H$160:$K$206,3,0)</f>
        <v>0</v>
      </c>
      <c r="H57" s="105" t="s">
        <v>238</v>
      </c>
      <c r="I57" s="105"/>
      <c r="J57" s="105"/>
      <c r="K57" s="105">
        <v>1</v>
      </c>
      <c r="L57" s="105" t="s">
        <v>241</v>
      </c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7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65"/>
      <c r="CL57" s="65"/>
    </row>
    <row r="58" spans="1:90" x14ac:dyDescent="0.2">
      <c r="A58" s="101">
        <v>883</v>
      </c>
      <c r="B58" s="102" t="s">
        <v>297</v>
      </c>
      <c r="C58" s="103" t="s">
        <v>200</v>
      </c>
      <c r="D58" s="103" t="s">
        <v>226</v>
      </c>
      <c r="E58" s="103">
        <f>VLOOKUP(A58,'tabla datos'!$H$160:$K$206,4,0)</f>
        <v>138600</v>
      </c>
      <c r="F58" s="115">
        <f t="shared" si="0"/>
        <v>0.17736486486486486</v>
      </c>
      <c r="G58" s="103">
        <f>VLOOKUP(A58,'tabla datos'!$H$160:$K$206,3,0)</f>
        <v>781440</v>
      </c>
      <c r="H58" s="105" t="s">
        <v>227</v>
      </c>
      <c r="I58" s="105"/>
      <c r="J58" s="105">
        <v>1</v>
      </c>
      <c r="K58" s="105">
        <v>1</v>
      </c>
      <c r="L58" s="105" t="s">
        <v>248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 t="s">
        <v>229</v>
      </c>
      <c r="AD58" s="106" t="s">
        <v>229</v>
      </c>
      <c r="AE58" s="106" t="s">
        <v>229</v>
      </c>
      <c r="AF58" s="106" t="s">
        <v>229</v>
      </c>
      <c r="AG58" s="106" t="s">
        <v>229</v>
      </c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7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65"/>
      <c r="CL58" s="65"/>
    </row>
    <row r="59" spans="1:90" x14ac:dyDescent="0.2">
      <c r="A59" s="101">
        <v>233</v>
      </c>
      <c r="B59" s="102" t="s">
        <v>298</v>
      </c>
      <c r="C59" s="103" t="s">
        <v>100</v>
      </c>
      <c r="D59" s="103" t="s">
        <v>226</v>
      </c>
      <c r="E59" s="103">
        <f>VLOOKUP(A59,'tabla datos'!$H$160:$K$206,4,0)</f>
        <v>368742.07</v>
      </c>
      <c r="F59" s="115">
        <f t="shared" si="0"/>
        <v>0.17474271159131835</v>
      </c>
      <c r="G59" s="103">
        <f>VLOOKUP(A59,'tabla datos'!$H$160:$K$206,3,0)</f>
        <v>2110200</v>
      </c>
      <c r="H59" s="105" t="s">
        <v>227</v>
      </c>
      <c r="I59" s="105">
        <v>2</v>
      </c>
      <c r="J59" s="105">
        <v>1</v>
      </c>
      <c r="K59" s="105">
        <v>1</v>
      </c>
      <c r="L59" s="105" t="s">
        <v>239</v>
      </c>
      <c r="M59" s="106" t="s">
        <v>229</v>
      </c>
      <c r="N59" s="106" t="s">
        <v>229</v>
      </c>
      <c r="O59" s="106" t="s">
        <v>229</v>
      </c>
      <c r="P59" s="106" t="s">
        <v>229</v>
      </c>
      <c r="Q59" s="106" t="s">
        <v>229</v>
      </c>
      <c r="R59" s="106" t="s">
        <v>229</v>
      </c>
      <c r="S59" s="106" t="s">
        <v>229</v>
      </c>
      <c r="T59" s="106" t="s">
        <v>229</v>
      </c>
      <c r="U59" s="106" t="s">
        <v>229</v>
      </c>
      <c r="V59" s="106" t="s">
        <v>229</v>
      </c>
      <c r="W59" s="106" t="s">
        <v>229</v>
      </c>
      <c r="X59" s="106" t="s">
        <v>229</v>
      </c>
      <c r="Y59" s="106" t="s">
        <v>229</v>
      </c>
      <c r="Z59" s="106" t="s">
        <v>229</v>
      </c>
      <c r="AA59" s="106" t="s">
        <v>229</v>
      </c>
      <c r="AB59" s="106" t="s">
        <v>229</v>
      </c>
      <c r="AC59" s="106" t="s">
        <v>229</v>
      </c>
      <c r="AD59" s="106" t="s">
        <v>229</v>
      </c>
      <c r="AE59" s="106" t="s">
        <v>229</v>
      </c>
      <c r="AF59" s="106" t="s">
        <v>229</v>
      </c>
      <c r="AG59" s="106" t="s">
        <v>229</v>
      </c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7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65"/>
      <c r="CL59" s="65"/>
    </row>
    <row r="60" spans="1:90" x14ac:dyDescent="0.2">
      <c r="A60" s="101">
        <v>1601</v>
      </c>
      <c r="B60" s="102" t="s">
        <v>299</v>
      </c>
      <c r="C60" s="103" t="s">
        <v>100</v>
      </c>
      <c r="D60" s="103" t="s">
        <v>226</v>
      </c>
      <c r="E60" s="103">
        <f>VLOOKUP(A60,'tabla datos'!$H$160:$K$206,4,0)</f>
        <v>406000</v>
      </c>
      <c r="F60" s="115">
        <f t="shared" si="0"/>
        <v>0.10749044235229331</v>
      </c>
      <c r="G60" s="103">
        <f>VLOOKUP(A60,'tabla datos'!$H$160:$K$206,3,0)</f>
        <v>3777080</v>
      </c>
      <c r="H60" s="105" t="s">
        <v>227</v>
      </c>
      <c r="I60" s="105">
        <v>1</v>
      </c>
      <c r="J60" s="105">
        <v>1</v>
      </c>
      <c r="K60" s="105">
        <v>1</v>
      </c>
      <c r="L60" s="105" t="s">
        <v>300</v>
      </c>
      <c r="M60" s="106" t="s">
        <v>229</v>
      </c>
      <c r="N60" s="106" t="s">
        <v>229</v>
      </c>
      <c r="O60" s="106" t="s">
        <v>229</v>
      </c>
      <c r="P60" s="106" t="s">
        <v>229</v>
      </c>
      <c r="Q60" s="106" t="s">
        <v>229</v>
      </c>
      <c r="R60" s="106" t="s">
        <v>229</v>
      </c>
      <c r="S60" s="106" t="s">
        <v>229</v>
      </c>
      <c r="T60" s="106" t="s">
        <v>229</v>
      </c>
      <c r="U60" s="106" t="s">
        <v>229</v>
      </c>
      <c r="V60" s="106" t="s">
        <v>229</v>
      </c>
      <c r="W60" s="106" t="s">
        <v>229</v>
      </c>
      <c r="X60" s="106" t="s">
        <v>229</v>
      </c>
      <c r="Y60" s="106" t="s">
        <v>229</v>
      </c>
      <c r="Z60" s="106" t="s">
        <v>229</v>
      </c>
      <c r="AA60" s="106" t="s">
        <v>229</v>
      </c>
      <c r="AB60" s="106" t="s">
        <v>229</v>
      </c>
      <c r="AC60" s="106" t="s">
        <v>229</v>
      </c>
      <c r="AD60" s="106" t="s">
        <v>229</v>
      </c>
      <c r="AE60" s="106" t="s">
        <v>229</v>
      </c>
      <c r="AF60" s="106" t="s">
        <v>229</v>
      </c>
      <c r="AG60" s="106" t="s">
        <v>229</v>
      </c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7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65"/>
      <c r="CL60" s="65"/>
    </row>
    <row r="61" spans="1:90" x14ac:dyDescent="0.2">
      <c r="A61" s="101">
        <v>1081</v>
      </c>
      <c r="B61" s="102" t="s">
        <v>302</v>
      </c>
      <c r="C61" s="103" t="s">
        <v>203</v>
      </c>
      <c r="D61" s="103" t="s">
        <v>237</v>
      </c>
      <c r="E61" s="103" t="e">
        <f>VLOOKUP(A61,'tabla datos'!$H$160:$K$206,4,0)</f>
        <v>#N/A</v>
      </c>
      <c r="F61" s="115" t="e">
        <f t="shared" si="0"/>
        <v>#N/A</v>
      </c>
      <c r="G61" s="103" t="e">
        <f>VLOOKUP(A61,'tabla datos'!$H$160:$K$206,3,0)</f>
        <v>#N/A</v>
      </c>
      <c r="H61" s="105" t="s">
        <v>238</v>
      </c>
      <c r="I61" s="105"/>
      <c r="J61" s="105"/>
      <c r="K61" s="105">
        <v>1</v>
      </c>
      <c r="L61" s="105" t="s">
        <v>241</v>
      </c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7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65"/>
      <c r="CL61" s="65"/>
    </row>
    <row r="62" spans="1:90" x14ac:dyDescent="0.2">
      <c r="A62" s="101">
        <v>1073</v>
      </c>
      <c r="B62" s="102" t="s">
        <v>303</v>
      </c>
      <c r="C62" s="103" t="s">
        <v>203</v>
      </c>
      <c r="D62" s="103" t="s">
        <v>237</v>
      </c>
      <c r="E62" s="103" t="e">
        <f>VLOOKUP(A62,'tabla datos'!$H$160:$K$206,4,0)</f>
        <v>#N/A</v>
      </c>
      <c r="F62" s="115" t="e">
        <f t="shared" si="0"/>
        <v>#N/A</v>
      </c>
      <c r="G62" s="103" t="e">
        <f>VLOOKUP(A62,'tabla datos'!$H$160:$K$206,3,0)</f>
        <v>#N/A</v>
      </c>
      <c r="H62" s="105" t="s">
        <v>238</v>
      </c>
      <c r="I62" s="105"/>
      <c r="J62" s="105"/>
      <c r="K62" s="105">
        <v>1</v>
      </c>
      <c r="L62" s="105" t="s">
        <v>239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7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65"/>
      <c r="CL62" s="65"/>
    </row>
    <row r="63" spans="1:90" x14ac:dyDescent="0.2">
      <c r="A63" s="101">
        <v>1812</v>
      </c>
      <c r="B63" s="102" t="s">
        <v>304</v>
      </c>
      <c r="C63" s="103" t="s">
        <v>200</v>
      </c>
      <c r="D63" s="103" t="s">
        <v>226</v>
      </c>
      <c r="E63" s="103">
        <f>VLOOKUP(A63,'tabla datos'!$H$160:$K$206,4,0)</f>
        <v>60539.1</v>
      </c>
      <c r="F63" s="115">
        <f t="shared" si="0"/>
        <v>0.1011682820855615</v>
      </c>
      <c r="G63" s="103">
        <f>VLOOKUP(A63,'tabla datos'!$H$160:$K$206,3,0)</f>
        <v>598400</v>
      </c>
      <c r="H63" s="105" t="s">
        <v>227</v>
      </c>
      <c r="I63" s="105"/>
      <c r="J63" s="105">
        <v>1</v>
      </c>
      <c r="K63" s="105">
        <v>1</v>
      </c>
      <c r="L63" s="105" t="s">
        <v>248</v>
      </c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 t="s">
        <v>229</v>
      </c>
      <c r="AD63" s="106" t="s">
        <v>229</v>
      </c>
      <c r="AE63" s="106" t="s">
        <v>229</v>
      </c>
      <c r="AF63" s="106" t="s">
        <v>229</v>
      </c>
      <c r="AG63" s="106" t="s">
        <v>229</v>
      </c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7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65"/>
      <c r="CL63" s="65"/>
    </row>
    <row r="64" spans="1:90" x14ac:dyDescent="0.2">
      <c r="A64" s="101">
        <v>1156</v>
      </c>
      <c r="B64" s="102" t="s">
        <v>305</v>
      </c>
      <c r="C64" s="103" t="s">
        <v>200</v>
      </c>
      <c r="D64" s="103" t="s">
        <v>237</v>
      </c>
      <c r="E64" s="103" t="e">
        <f>VLOOKUP(A64,'tabla datos'!$H$160:$K$206,4,0)</f>
        <v>#N/A</v>
      </c>
      <c r="F64" s="115" t="e">
        <f t="shared" si="0"/>
        <v>#N/A</v>
      </c>
      <c r="G64" s="103" t="e">
        <f>VLOOKUP(A64,'tabla datos'!$H$160:$K$206,3,0)</f>
        <v>#N/A</v>
      </c>
      <c r="H64" s="105" t="s">
        <v>227</v>
      </c>
      <c r="I64" s="105"/>
      <c r="J64" s="105">
        <v>1</v>
      </c>
      <c r="K64" s="105">
        <v>1</v>
      </c>
      <c r="L64" s="105" t="s">
        <v>232</v>
      </c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7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65"/>
      <c r="CL64" s="65"/>
    </row>
    <row r="65" spans="1:90" x14ac:dyDescent="0.2">
      <c r="A65" s="101">
        <v>1082</v>
      </c>
      <c r="B65" s="102" t="s">
        <v>1239</v>
      </c>
      <c r="C65" s="103" t="s">
        <v>200</v>
      </c>
      <c r="D65" s="103" t="s">
        <v>237</v>
      </c>
      <c r="E65" s="103">
        <f>VLOOKUP(A65,'tabla datos'!$H$160:$K$206,4,0)</f>
        <v>178924.6</v>
      </c>
      <c r="F65" s="115">
        <f t="shared" si="0"/>
        <v>0.67944330523277896</v>
      </c>
      <c r="G65" s="103">
        <f>VLOOKUP(A65,'tabla datos'!$H$160:$K$206,3,0)</f>
        <v>263340</v>
      </c>
      <c r="H65" s="105" t="s">
        <v>238</v>
      </c>
      <c r="I65" s="105"/>
      <c r="J65" s="105">
        <v>1</v>
      </c>
      <c r="K65" s="105">
        <v>1</v>
      </c>
      <c r="L65" s="105" t="s">
        <v>241</v>
      </c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7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65"/>
      <c r="CL65" s="65"/>
    </row>
    <row r="66" spans="1:90" x14ac:dyDescent="0.2">
      <c r="A66" s="101">
        <v>2242</v>
      </c>
      <c r="B66" s="102" t="s">
        <v>308</v>
      </c>
      <c r="C66" s="103" t="s">
        <v>100</v>
      </c>
      <c r="D66" s="103" t="s">
        <v>237</v>
      </c>
      <c r="E66" s="103" t="e">
        <f>VLOOKUP(A66,'tabla datos'!$H$160:$K$206,4,0)</f>
        <v>#N/A</v>
      </c>
      <c r="F66" s="115" t="e">
        <f t="shared" si="0"/>
        <v>#N/A</v>
      </c>
      <c r="G66" s="103" t="e">
        <f>VLOOKUP(A66,'tabla datos'!$H$160:$K$206,3,0)</f>
        <v>#N/A</v>
      </c>
      <c r="H66" s="105" t="s">
        <v>227</v>
      </c>
      <c r="I66" s="105">
        <v>1</v>
      </c>
      <c r="J66" s="105">
        <v>1</v>
      </c>
      <c r="K66" s="105">
        <v>1</v>
      </c>
      <c r="L66" s="105" t="s">
        <v>232</v>
      </c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7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65"/>
      <c r="CL66" s="65"/>
    </row>
    <row r="67" spans="1:90" x14ac:dyDescent="0.2">
      <c r="A67" s="101">
        <v>235</v>
      </c>
      <c r="B67" s="102" t="s">
        <v>309</v>
      </c>
      <c r="C67" s="103" t="s">
        <v>100</v>
      </c>
      <c r="D67" s="103" t="s">
        <v>226</v>
      </c>
      <c r="E67" s="103">
        <f>VLOOKUP(A67,'tabla datos'!$H$160:$K$206,4,0)</f>
        <v>392912.38</v>
      </c>
      <c r="F67" s="115">
        <f t="shared" si="0"/>
        <v>0.16628818709688342</v>
      </c>
      <c r="G67" s="103">
        <f>VLOOKUP(A67,'tabla datos'!$H$160:$K$206,3,0)</f>
        <v>2362840</v>
      </c>
      <c r="H67" s="105" t="s">
        <v>227</v>
      </c>
      <c r="I67" s="105">
        <v>1</v>
      </c>
      <c r="J67" s="105">
        <v>1</v>
      </c>
      <c r="K67" s="105">
        <v>1</v>
      </c>
      <c r="L67" s="105" t="s">
        <v>232</v>
      </c>
      <c r="M67" s="106" t="s">
        <v>229</v>
      </c>
      <c r="N67" s="106" t="s">
        <v>229</v>
      </c>
      <c r="O67" s="106" t="s">
        <v>229</v>
      </c>
      <c r="P67" s="106" t="s">
        <v>229</v>
      </c>
      <c r="Q67" s="106" t="s">
        <v>229</v>
      </c>
      <c r="R67" s="106" t="s">
        <v>229</v>
      </c>
      <c r="S67" s="106" t="s">
        <v>229</v>
      </c>
      <c r="T67" s="106" t="s">
        <v>229</v>
      </c>
      <c r="U67" s="106" t="s">
        <v>229</v>
      </c>
      <c r="V67" s="106" t="s">
        <v>229</v>
      </c>
      <c r="W67" s="106" t="s">
        <v>229</v>
      </c>
      <c r="X67" s="106" t="s">
        <v>229</v>
      </c>
      <c r="Y67" s="106" t="s">
        <v>229</v>
      </c>
      <c r="Z67" s="106" t="s">
        <v>229</v>
      </c>
      <c r="AA67" s="106" t="s">
        <v>229</v>
      </c>
      <c r="AB67" s="106" t="s">
        <v>229</v>
      </c>
      <c r="AC67" s="106" t="s">
        <v>229</v>
      </c>
      <c r="AD67" s="106" t="s">
        <v>229</v>
      </c>
      <c r="AE67" s="106" t="s">
        <v>229</v>
      </c>
      <c r="AF67" s="106" t="s">
        <v>229</v>
      </c>
      <c r="AG67" s="106" t="s">
        <v>229</v>
      </c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7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65"/>
      <c r="CL67" s="65"/>
    </row>
    <row r="68" spans="1:90" x14ac:dyDescent="0.2">
      <c r="A68" s="101">
        <v>1085</v>
      </c>
      <c r="B68" s="102" t="s">
        <v>310</v>
      </c>
      <c r="C68" s="103" t="s">
        <v>200</v>
      </c>
      <c r="D68" s="103" t="s">
        <v>237</v>
      </c>
      <c r="E68" s="103" t="e">
        <f>VLOOKUP(A68,'tabla datos'!$H$160:$K$206,4,0)</f>
        <v>#N/A</v>
      </c>
      <c r="F68" s="115" t="e">
        <f t="shared" si="0"/>
        <v>#N/A</v>
      </c>
      <c r="G68" s="103" t="e">
        <f>VLOOKUP(A68,'tabla datos'!$H$160:$K$206,3,0)</f>
        <v>#N/A</v>
      </c>
      <c r="H68" s="105" t="s">
        <v>238</v>
      </c>
      <c r="I68" s="105"/>
      <c r="J68" s="105">
        <v>1</v>
      </c>
      <c r="K68" s="105">
        <v>1</v>
      </c>
      <c r="L68" s="105" t="s">
        <v>241</v>
      </c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7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65"/>
      <c r="CL68" s="65"/>
    </row>
    <row r="69" spans="1:90" x14ac:dyDescent="0.2">
      <c r="A69" s="101">
        <v>1813</v>
      </c>
      <c r="B69" s="102" t="s">
        <v>311</v>
      </c>
      <c r="C69" s="103" t="s">
        <v>203</v>
      </c>
      <c r="D69" s="103" t="s">
        <v>237</v>
      </c>
      <c r="E69" s="103">
        <f>VLOOKUP(A69,'tabla datos'!$H$160:$K$206,4,0)</f>
        <v>16800</v>
      </c>
      <c r="F69" s="115">
        <f t="shared" si="0"/>
        <v>0.56737588652482274</v>
      </c>
      <c r="G69" s="103">
        <f>VLOOKUP(A69,'tabla datos'!$H$160:$K$206,3,0)</f>
        <v>29610</v>
      </c>
      <c r="H69" s="105" t="s">
        <v>238</v>
      </c>
      <c r="I69" s="105"/>
      <c r="J69" s="105"/>
      <c r="K69" s="105">
        <v>1</v>
      </c>
      <c r="L69" s="105" t="s">
        <v>239</v>
      </c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7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65"/>
      <c r="CL69" s="65"/>
    </row>
    <row r="70" spans="1:90" x14ac:dyDescent="0.2">
      <c r="A70" s="101">
        <v>2471</v>
      </c>
      <c r="B70" s="102" t="s">
        <v>312</v>
      </c>
      <c r="C70" s="103" t="s">
        <v>1240</v>
      </c>
      <c r="D70" s="103" t="s">
        <v>237</v>
      </c>
      <c r="E70" s="103" t="e">
        <f>VLOOKUP(A70,'tabla datos'!$H$160:$K$206,4,0)</f>
        <v>#N/A</v>
      </c>
      <c r="F70" s="115" t="e">
        <f t="shared" si="0"/>
        <v>#N/A</v>
      </c>
      <c r="G70" s="103" t="e">
        <f>VLOOKUP(A70,'tabla datos'!$H$160:$K$206,3,0)</f>
        <v>#N/A</v>
      </c>
      <c r="H70" s="105" t="s">
        <v>238</v>
      </c>
      <c r="I70" s="105"/>
      <c r="J70" s="105"/>
      <c r="K70" s="105">
        <v>1</v>
      </c>
      <c r="L70" s="105" t="s">
        <v>239</v>
      </c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7"/>
      <c r="AN70" s="106"/>
      <c r="AO70" s="106"/>
      <c r="AP70" s="106"/>
      <c r="AQ70" s="106"/>
      <c r="AR70" s="106"/>
      <c r="AS70" s="107"/>
      <c r="AT70" s="107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65"/>
      <c r="CL70" s="65"/>
    </row>
    <row r="71" spans="1:90" x14ac:dyDescent="0.2">
      <c r="A71" s="101">
        <v>1510</v>
      </c>
      <c r="B71" s="102" t="s">
        <v>313</v>
      </c>
      <c r="C71" s="103" t="s">
        <v>100</v>
      </c>
      <c r="D71" s="103" t="s">
        <v>226</v>
      </c>
      <c r="E71" s="103">
        <f>VLOOKUP(A71,'tabla datos'!$H$160:$K$206,4,0)</f>
        <v>182165.67</v>
      </c>
      <c r="F71" s="115">
        <f t="shared" si="0"/>
        <v>5.6999624520089741E-2</v>
      </c>
      <c r="G71" s="103">
        <f>VLOOKUP(A71,'tabla datos'!$H$160:$K$206,3,0)</f>
        <v>3195910</v>
      </c>
      <c r="H71" s="105" t="s">
        <v>238</v>
      </c>
      <c r="I71" s="105">
        <v>1</v>
      </c>
      <c r="J71" s="105">
        <v>1</v>
      </c>
      <c r="K71" s="105">
        <v>1</v>
      </c>
      <c r="L71" s="105" t="s">
        <v>239</v>
      </c>
      <c r="M71" s="106" t="s">
        <v>229</v>
      </c>
      <c r="N71" s="106" t="s">
        <v>229</v>
      </c>
      <c r="O71" s="106" t="s">
        <v>229</v>
      </c>
      <c r="P71" s="106" t="s">
        <v>229</v>
      </c>
      <c r="Q71" s="106" t="s">
        <v>229</v>
      </c>
      <c r="R71" s="106" t="s">
        <v>229</v>
      </c>
      <c r="S71" s="106" t="s">
        <v>229</v>
      </c>
      <c r="T71" s="106" t="s">
        <v>229</v>
      </c>
      <c r="U71" s="106" t="s">
        <v>229</v>
      </c>
      <c r="V71" s="106" t="s">
        <v>229</v>
      </c>
      <c r="W71" s="106" t="s">
        <v>229</v>
      </c>
      <c r="X71" s="106" t="s">
        <v>229</v>
      </c>
      <c r="Y71" s="106" t="s">
        <v>229</v>
      </c>
      <c r="Z71" s="106" t="s">
        <v>229</v>
      </c>
      <c r="AA71" s="106" t="s">
        <v>229</v>
      </c>
      <c r="AB71" s="106" t="s">
        <v>229</v>
      </c>
      <c r="AC71" s="106" t="s">
        <v>229</v>
      </c>
      <c r="AD71" s="106" t="s">
        <v>229</v>
      </c>
      <c r="AE71" s="106" t="s">
        <v>229</v>
      </c>
      <c r="AF71" s="106" t="s">
        <v>229</v>
      </c>
      <c r="AG71" s="106" t="s">
        <v>229</v>
      </c>
      <c r="AH71" s="106"/>
      <c r="AI71" s="106"/>
      <c r="AJ71" s="106"/>
      <c r="AK71" s="106"/>
      <c r="AL71" s="106"/>
      <c r="AM71" s="107"/>
      <c r="AN71" s="106"/>
      <c r="AO71" s="106"/>
      <c r="AP71" s="106"/>
      <c r="AQ71" s="106"/>
      <c r="AR71" s="106"/>
      <c r="AS71" s="107"/>
      <c r="AT71" s="107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  <c r="CB71" s="107"/>
      <c r="CC71" s="107"/>
      <c r="CD71" s="107"/>
      <c r="CE71" s="107"/>
      <c r="CF71" s="107"/>
      <c r="CG71" s="107"/>
      <c r="CH71" s="107"/>
      <c r="CI71" s="107"/>
      <c r="CJ71" s="107"/>
      <c r="CK71" s="65"/>
      <c r="CL71" s="65"/>
    </row>
    <row r="72" spans="1:90" x14ac:dyDescent="0.2">
      <c r="A72" s="101">
        <v>1562</v>
      </c>
      <c r="B72" s="102" t="s">
        <v>314</v>
      </c>
      <c r="C72" s="103" t="s">
        <v>203</v>
      </c>
      <c r="D72" s="103" t="s">
        <v>237</v>
      </c>
      <c r="E72" s="103" t="e">
        <f>VLOOKUP(A72,'tabla datos'!$H$160:$K$206,4,0)</f>
        <v>#N/A</v>
      </c>
      <c r="F72" s="115" t="e">
        <f t="shared" si="0"/>
        <v>#N/A</v>
      </c>
      <c r="G72" s="103" t="e">
        <f>VLOOKUP(A72,'tabla datos'!$H$160:$K$206,3,0)</f>
        <v>#N/A</v>
      </c>
      <c r="H72" s="105" t="s">
        <v>238</v>
      </c>
      <c r="I72" s="105"/>
      <c r="J72" s="105"/>
      <c r="K72" s="105">
        <v>1</v>
      </c>
      <c r="L72" s="105" t="s">
        <v>239</v>
      </c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7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/>
      <c r="CD72" s="107"/>
      <c r="CE72" s="107"/>
      <c r="CF72" s="107"/>
      <c r="CG72" s="107"/>
      <c r="CH72" s="107"/>
      <c r="CI72" s="107"/>
      <c r="CJ72" s="107"/>
      <c r="CK72" s="65"/>
      <c r="CL72" s="65"/>
    </row>
    <row r="73" spans="1:90" x14ac:dyDescent="0.2">
      <c r="A73" s="101">
        <v>238</v>
      </c>
      <c r="B73" s="102" t="s">
        <v>315</v>
      </c>
      <c r="C73" s="103" t="s">
        <v>100</v>
      </c>
      <c r="D73" s="103" t="s">
        <v>226</v>
      </c>
      <c r="E73" s="103">
        <f>VLOOKUP(A73,'tabla datos'!$H$160:$K$206,4,0)</f>
        <v>267363.90999999997</v>
      </c>
      <c r="F73" s="115">
        <f t="shared" si="0"/>
        <v>0.55375483617082966</v>
      </c>
      <c r="G73" s="103">
        <f>VLOOKUP(A73,'tabla datos'!$H$160:$K$206,3,0)</f>
        <v>482820</v>
      </c>
      <c r="H73" s="105" t="s">
        <v>238</v>
      </c>
      <c r="I73" s="105">
        <v>1</v>
      </c>
      <c r="J73" s="105">
        <v>1</v>
      </c>
      <c r="K73" s="105">
        <v>1</v>
      </c>
      <c r="L73" s="105" t="s">
        <v>232</v>
      </c>
      <c r="M73" s="106" t="s">
        <v>229</v>
      </c>
      <c r="N73" s="106" t="s">
        <v>229</v>
      </c>
      <c r="O73" s="106" t="s">
        <v>229</v>
      </c>
      <c r="P73" s="106" t="s">
        <v>229</v>
      </c>
      <c r="Q73" s="106" t="s">
        <v>229</v>
      </c>
      <c r="R73" s="106" t="s">
        <v>229</v>
      </c>
      <c r="S73" s="106" t="s">
        <v>229</v>
      </c>
      <c r="T73" s="106" t="s">
        <v>229</v>
      </c>
      <c r="U73" s="106" t="s">
        <v>229</v>
      </c>
      <c r="V73" s="106" t="s">
        <v>229</v>
      </c>
      <c r="W73" s="106" t="s">
        <v>229</v>
      </c>
      <c r="X73" s="106" t="s">
        <v>229</v>
      </c>
      <c r="Y73" s="106" t="s">
        <v>229</v>
      </c>
      <c r="Z73" s="106" t="s">
        <v>229</v>
      </c>
      <c r="AA73" s="106" t="s">
        <v>229</v>
      </c>
      <c r="AB73" s="106" t="s">
        <v>229</v>
      </c>
      <c r="AC73" s="106" t="s">
        <v>229</v>
      </c>
      <c r="AD73" s="106" t="s">
        <v>229</v>
      </c>
      <c r="AE73" s="106" t="s">
        <v>229</v>
      </c>
      <c r="AF73" s="106" t="s">
        <v>229</v>
      </c>
      <c r="AG73" s="106" t="s">
        <v>229</v>
      </c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7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7"/>
      <c r="BG73" s="107"/>
      <c r="BH73" s="107"/>
      <c r="BI73" s="107"/>
      <c r="BJ73" s="107"/>
      <c r="BK73" s="107"/>
      <c r="BL73" s="107"/>
      <c r="BM73" s="107"/>
      <c r="BN73" s="107"/>
      <c r="BO73" s="107"/>
      <c r="BP73" s="107"/>
      <c r="BQ73" s="107"/>
      <c r="BR73" s="107"/>
      <c r="BS73" s="107"/>
      <c r="BT73" s="107"/>
      <c r="BU73" s="107"/>
      <c r="BV73" s="107"/>
      <c r="BW73" s="107"/>
      <c r="BX73" s="107"/>
      <c r="BY73" s="107"/>
      <c r="BZ73" s="107"/>
      <c r="CA73" s="107"/>
      <c r="CB73" s="107"/>
      <c r="CC73" s="107"/>
      <c r="CD73" s="107"/>
      <c r="CE73" s="107"/>
      <c r="CF73" s="107"/>
      <c r="CG73" s="107"/>
      <c r="CH73" s="107"/>
      <c r="CI73" s="107"/>
      <c r="CJ73" s="107"/>
      <c r="CK73" s="65"/>
      <c r="CL73" s="65"/>
    </row>
    <row r="74" spans="1:90" x14ac:dyDescent="0.2">
      <c r="A74" s="101">
        <v>2248</v>
      </c>
      <c r="B74" s="102" t="s">
        <v>316</v>
      </c>
      <c r="C74" s="103" t="s">
        <v>100</v>
      </c>
      <c r="D74" s="103" t="s">
        <v>237</v>
      </c>
      <c r="E74" s="103" t="e">
        <f>VLOOKUP(A74,'tabla datos'!$H$160:$K$206,4,0)</f>
        <v>#N/A</v>
      </c>
      <c r="F74" s="115" t="e">
        <f t="shared" si="0"/>
        <v>#N/A</v>
      </c>
      <c r="G74" s="103" t="e">
        <f>VLOOKUP(A74,'tabla datos'!$H$160:$K$206,3,0)</f>
        <v>#N/A</v>
      </c>
      <c r="H74" s="105" t="s">
        <v>238</v>
      </c>
      <c r="I74" s="105">
        <v>1</v>
      </c>
      <c r="J74" s="105">
        <v>1</v>
      </c>
      <c r="K74" s="105">
        <v>1</v>
      </c>
      <c r="L74" s="105" t="s">
        <v>232</v>
      </c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7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7"/>
      <c r="BG74" s="107"/>
      <c r="BH74" s="107"/>
      <c r="BI74" s="107"/>
      <c r="BJ74" s="107"/>
      <c r="BK74" s="107"/>
      <c r="BL74" s="107"/>
      <c r="BM74" s="107"/>
      <c r="BN74" s="107"/>
      <c r="BO74" s="107"/>
      <c r="BP74" s="107"/>
      <c r="BQ74" s="107"/>
      <c r="BR74" s="107"/>
      <c r="BS74" s="107"/>
      <c r="BT74" s="107"/>
      <c r="BU74" s="107"/>
      <c r="BV74" s="107"/>
      <c r="BW74" s="107"/>
      <c r="BX74" s="107"/>
      <c r="BY74" s="107"/>
      <c r="BZ74" s="107"/>
      <c r="CA74" s="107"/>
      <c r="CB74" s="107"/>
      <c r="CC74" s="107"/>
      <c r="CD74" s="107"/>
      <c r="CE74" s="107"/>
      <c r="CF74" s="107"/>
      <c r="CG74" s="107"/>
      <c r="CH74" s="107"/>
      <c r="CI74" s="107"/>
      <c r="CJ74" s="107"/>
      <c r="CK74" s="65"/>
      <c r="CL74" s="65"/>
    </row>
    <row r="75" spans="1:90" x14ac:dyDescent="0.2">
      <c r="A75" s="101">
        <v>1818</v>
      </c>
      <c r="B75" s="102" t="s">
        <v>317</v>
      </c>
      <c r="C75" s="103" t="s">
        <v>203</v>
      </c>
      <c r="D75" s="103" t="s">
        <v>237</v>
      </c>
      <c r="E75" s="103" t="e">
        <f>VLOOKUP(A75,'tabla datos'!$H$160:$K$206,4,0)</f>
        <v>#N/A</v>
      </c>
      <c r="F75" s="115" t="e">
        <f t="shared" si="0"/>
        <v>#N/A</v>
      </c>
      <c r="G75" s="103" t="e">
        <f>VLOOKUP(A75,'tabla datos'!$H$160:$K$206,3,0)</f>
        <v>#N/A</v>
      </c>
      <c r="H75" s="105" t="s">
        <v>238</v>
      </c>
      <c r="I75" s="105"/>
      <c r="J75" s="105"/>
      <c r="K75" s="105">
        <v>1</v>
      </c>
      <c r="L75" s="105" t="s">
        <v>248</v>
      </c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7"/>
      <c r="AN75" s="106"/>
      <c r="AO75" s="106"/>
      <c r="AP75" s="106"/>
      <c r="AQ75" s="106"/>
      <c r="AR75" s="106"/>
      <c r="AS75" s="107"/>
      <c r="AT75" s="107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/>
      <c r="BT75" s="107"/>
      <c r="BU75" s="107"/>
      <c r="BV75" s="107"/>
      <c r="BW75" s="107"/>
      <c r="BX75" s="107"/>
      <c r="BY75" s="107"/>
      <c r="BZ75" s="107"/>
      <c r="CA75" s="107"/>
      <c r="CB75" s="107"/>
      <c r="CC75" s="107"/>
      <c r="CD75" s="107"/>
      <c r="CE75" s="107"/>
      <c r="CF75" s="107"/>
      <c r="CG75" s="107"/>
      <c r="CH75" s="107"/>
      <c r="CI75" s="107"/>
      <c r="CJ75" s="107"/>
      <c r="CK75" s="65"/>
      <c r="CL75" s="65"/>
    </row>
    <row r="76" spans="1:90" x14ac:dyDescent="0.2">
      <c r="A76" s="101">
        <v>1817</v>
      </c>
      <c r="B76" s="102" t="s">
        <v>318</v>
      </c>
      <c r="C76" s="103" t="s">
        <v>203</v>
      </c>
      <c r="D76" s="103" t="s">
        <v>237</v>
      </c>
      <c r="E76" s="103" t="e">
        <f>VLOOKUP(A76,'tabla datos'!$H$160:$K$206,4,0)</f>
        <v>#N/A</v>
      </c>
      <c r="F76" s="115" t="e">
        <f t="shared" si="0"/>
        <v>#N/A</v>
      </c>
      <c r="G76" s="103" t="e">
        <f>VLOOKUP(A76,'tabla datos'!$H$160:$K$206,3,0)</f>
        <v>#N/A</v>
      </c>
      <c r="H76" s="105" t="s">
        <v>238</v>
      </c>
      <c r="I76" s="105"/>
      <c r="J76" s="105"/>
      <c r="K76" s="105">
        <v>1</v>
      </c>
      <c r="L76" s="105" t="s">
        <v>248</v>
      </c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7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7"/>
      <c r="BG76" s="107"/>
      <c r="BH76" s="107"/>
      <c r="BI76" s="107"/>
      <c r="BJ76" s="107"/>
      <c r="BK76" s="107"/>
      <c r="BL76" s="107"/>
      <c r="BM76" s="107"/>
      <c r="BN76" s="107"/>
      <c r="BO76" s="107"/>
      <c r="BP76" s="107"/>
      <c r="BQ76" s="107"/>
      <c r="BR76" s="107"/>
      <c r="BS76" s="107"/>
      <c r="BT76" s="107"/>
      <c r="BU76" s="107"/>
      <c r="BV76" s="107"/>
      <c r="BW76" s="107"/>
      <c r="BX76" s="107"/>
      <c r="BY76" s="107"/>
      <c r="BZ76" s="107"/>
      <c r="CA76" s="107"/>
      <c r="CB76" s="107"/>
      <c r="CC76" s="107"/>
      <c r="CD76" s="107"/>
      <c r="CE76" s="107"/>
      <c r="CF76" s="107"/>
      <c r="CG76" s="107"/>
      <c r="CH76" s="107"/>
      <c r="CI76" s="107"/>
      <c r="CJ76" s="107"/>
      <c r="CK76" s="65"/>
      <c r="CL76" s="65"/>
    </row>
    <row r="77" spans="1:90" x14ac:dyDescent="0.2">
      <c r="A77" s="108"/>
      <c r="B77" s="108"/>
    </row>
    <row r="78" spans="1:90" x14ac:dyDescent="0.2">
      <c r="A78" s="108"/>
      <c r="B78" s="108"/>
    </row>
    <row r="79" spans="1:90" x14ac:dyDescent="0.2">
      <c r="A79" s="108"/>
      <c r="B79" s="108"/>
    </row>
    <row r="80" spans="1:90" x14ac:dyDescent="0.2">
      <c r="A80" s="108"/>
      <c r="B80" s="108"/>
    </row>
    <row r="81" spans="1:2" x14ac:dyDescent="0.2">
      <c r="A81" s="108"/>
      <c r="B81" s="108"/>
    </row>
    <row r="82" spans="1:2" x14ac:dyDescent="0.2">
      <c r="A82" s="108"/>
      <c r="B82" s="108"/>
    </row>
    <row r="83" spans="1:2" x14ac:dyDescent="0.2">
      <c r="A83" s="108"/>
      <c r="B83" s="108"/>
    </row>
    <row r="84" spans="1:2" x14ac:dyDescent="0.2">
      <c r="A84" s="108"/>
      <c r="B84" s="108"/>
    </row>
    <row r="85" spans="1:2" x14ac:dyDescent="0.2">
      <c r="A85" s="108"/>
      <c r="B85" s="108"/>
    </row>
    <row r="86" spans="1:2" x14ac:dyDescent="0.2">
      <c r="A86" s="108"/>
      <c r="B86" s="108"/>
    </row>
    <row r="87" spans="1:2" x14ac:dyDescent="0.2">
      <c r="A87" s="108"/>
      <c r="B87" s="108"/>
    </row>
    <row r="88" spans="1:2" x14ac:dyDescent="0.2">
      <c r="A88" s="108"/>
      <c r="B88" s="108"/>
    </row>
    <row r="89" spans="1:2" x14ac:dyDescent="0.2">
      <c r="A89" s="108"/>
      <c r="B89" s="108"/>
    </row>
    <row r="90" spans="1:2" x14ac:dyDescent="0.2">
      <c r="A90" s="108"/>
      <c r="B90" s="108"/>
    </row>
    <row r="91" spans="1:2" x14ac:dyDescent="0.2">
      <c r="A91" s="108"/>
      <c r="B91" s="108"/>
    </row>
    <row r="92" spans="1:2" x14ac:dyDescent="0.2">
      <c r="A92" s="108"/>
      <c r="B92" s="108"/>
    </row>
    <row r="93" spans="1:2" x14ac:dyDescent="0.2">
      <c r="A93" s="108"/>
      <c r="B93" s="108"/>
    </row>
    <row r="94" spans="1:2" x14ac:dyDescent="0.2">
      <c r="A94" s="108"/>
      <c r="B94" s="108"/>
    </row>
    <row r="95" spans="1:2" x14ac:dyDescent="0.2">
      <c r="A95" s="108"/>
      <c r="B95" s="108"/>
    </row>
    <row r="96" spans="1:2" x14ac:dyDescent="0.2">
      <c r="A96" s="108"/>
      <c r="B96" s="108"/>
    </row>
    <row r="97" spans="1:2" x14ac:dyDescent="0.2">
      <c r="A97" s="108"/>
      <c r="B97" s="108"/>
    </row>
    <row r="98" spans="1:2" x14ac:dyDescent="0.2">
      <c r="A98" s="108"/>
      <c r="B98" s="108"/>
    </row>
    <row r="99" spans="1:2" x14ac:dyDescent="0.2">
      <c r="A99" s="108"/>
      <c r="B99" s="108"/>
    </row>
    <row r="100" spans="1:2" x14ac:dyDescent="0.2">
      <c r="A100" s="108"/>
      <c r="B100" s="108"/>
    </row>
    <row r="101" spans="1:2" x14ac:dyDescent="0.2">
      <c r="A101" s="108"/>
      <c r="B101" s="108"/>
    </row>
    <row r="102" spans="1:2" x14ac:dyDescent="0.2">
      <c r="A102" s="108"/>
      <c r="B102" s="108"/>
    </row>
    <row r="103" spans="1:2" x14ac:dyDescent="0.2">
      <c r="A103" s="108"/>
      <c r="B103" s="108"/>
    </row>
    <row r="104" spans="1:2" x14ac:dyDescent="0.2">
      <c r="A104" s="108"/>
      <c r="B104" s="108"/>
    </row>
    <row r="105" spans="1:2" x14ac:dyDescent="0.2">
      <c r="A105" s="108"/>
      <c r="B105" s="108"/>
    </row>
    <row r="106" spans="1:2" x14ac:dyDescent="0.2">
      <c r="A106" s="108"/>
      <c r="B106" s="10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G79"/>
  <sheetViews>
    <sheetView workbookViewId="0"/>
  </sheetViews>
  <sheetFormatPr baseColWidth="10" defaultColWidth="12.5703125" defaultRowHeight="15.75" customHeight="1" x14ac:dyDescent="0.2"/>
  <sheetData>
    <row r="3" spans="1:7" x14ac:dyDescent="0.2">
      <c r="A3" s="65" t="s">
        <v>1242</v>
      </c>
      <c r="B3" s="65" t="s">
        <v>4</v>
      </c>
      <c r="C3" s="65" t="s">
        <v>101</v>
      </c>
      <c r="D3" s="65" t="s">
        <v>197</v>
      </c>
      <c r="E3" s="65" t="s">
        <v>201</v>
      </c>
      <c r="F3" s="65" t="s">
        <v>204</v>
      </c>
      <c r="G3" s="65" t="s">
        <v>207</v>
      </c>
    </row>
    <row r="4" spans="1:7" x14ac:dyDescent="0.2">
      <c r="A4" s="65" t="s">
        <v>1243</v>
      </c>
      <c r="B4" s="65" t="s">
        <v>625</v>
      </c>
      <c r="C4" s="65" t="s">
        <v>626</v>
      </c>
      <c r="D4" s="72">
        <v>3</v>
      </c>
      <c r="E4" s="72" t="s">
        <v>202</v>
      </c>
      <c r="F4" s="72">
        <v>2</v>
      </c>
      <c r="G4" s="65" t="s">
        <v>208</v>
      </c>
    </row>
    <row r="5" spans="1:7" x14ac:dyDescent="0.2">
      <c r="A5" s="65" t="s">
        <v>1243</v>
      </c>
      <c r="B5" s="65" t="s">
        <v>836</v>
      </c>
      <c r="C5" s="65" t="s">
        <v>837</v>
      </c>
      <c r="D5" s="72">
        <v>2</v>
      </c>
      <c r="E5" s="72" t="s">
        <v>202</v>
      </c>
      <c r="F5" s="72">
        <v>2</v>
      </c>
      <c r="G5" s="65" t="s">
        <v>208</v>
      </c>
    </row>
    <row r="6" spans="1:7" x14ac:dyDescent="0.2">
      <c r="A6" s="65" t="s">
        <v>1243</v>
      </c>
      <c r="B6" s="65" t="s">
        <v>854</v>
      </c>
      <c r="C6" s="65" t="s">
        <v>855</v>
      </c>
      <c r="D6" s="72">
        <v>2</v>
      </c>
      <c r="E6" s="72" t="s">
        <v>202</v>
      </c>
      <c r="F6" s="72">
        <v>2</v>
      </c>
      <c r="G6" s="65" t="s">
        <v>208</v>
      </c>
    </row>
    <row r="7" spans="1:7" x14ac:dyDescent="0.2">
      <c r="A7" s="65" t="s">
        <v>1243</v>
      </c>
      <c r="B7" s="65" t="s">
        <v>766</v>
      </c>
      <c r="C7" s="65" t="s">
        <v>767</v>
      </c>
      <c r="D7" s="72">
        <v>2</v>
      </c>
      <c r="E7" s="72" t="s">
        <v>202</v>
      </c>
      <c r="F7" s="72">
        <v>2</v>
      </c>
      <c r="G7" s="65" t="s">
        <v>208</v>
      </c>
    </row>
    <row r="8" spans="1:7" x14ac:dyDescent="0.2">
      <c r="A8" s="65" t="s">
        <v>1243</v>
      </c>
      <c r="B8" s="65" t="s">
        <v>627</v>
      </c>
      <c r="C8" s="65" t="s">
        <v>628</v>
      </c>
      <c r="D8" s="72">
        <v>2</v>
      </c>
      <c r="E8" s="72" t="s">
        <v>202</v>
      </c>
      <c r="F8" s="72">
        <v>2</v>
      </c>
      <c r="G8" s="65" t="s">
        <v>208</v>
      </c>
    </row>
    <row r="9" spans="1:7" x14ac:dyDescent="0.2">
      <c r="A9" s="65" t="s">
        <v>1243</v>
      </c>
      <c r="B9" s="65" t="s">
        <v>639</v>
      </c>
      <c r="C9" s="65" t="s">
        <v>1224</v>
      </c>
      <c r="D9" s="72">
        <v>3</v>
      </c>
      <c r="E9" s="72" t="s">
        <v>202</v>
      </c>
      <c r="F9" s="72">
        <v>2</v>
      </c>
      <c r="G9" s="65" t="s">
        <v>208</v>
      </c>
    </row>
    <row r="10" spans="1:7" x14ac:dyDescent="0.2">
      <c r="A10" s="65" t="s">
        <v>1243</v>
      </c>
      <c r="B10" s="65" t="s">
        <v>758</v>
      </c>
      <c r="C10" s="65" t="s">
        <v>1225</v>
      </c>
      <c r="D10" s="72">
        <v>2</v>
      </c>
      <c r="E10" s="72" t="s">
        <v>202</v>
      </c>
      <c r="F10" s="72">
        <v>2</v>
      </c>
      <c r="G10" s="65" t="s">
        <v>208</v>
      </c>
    </row>
    <row r="11" spans="1:7" x14ac:dyDescent="0.2">
      <c r="A11" s="65" t="s">
        <v>1243</v>
      </c>
      <c r="B11" s="65" t="s">
        <v>768</v>
      </c>
      <c r="C11" s="65" t="s">
        <v>769</v>
      </c>
      <c r="D11" s="72">
        <v>2</v>
      </c>
      <c r="E11" s="72" t="s">
        <v>202</v>
      </c>
      <c r="F11" s="72">
        <v>2</v>
      </c>
      <c r="G11" s="65" t="s">
        <v>208</v>
      </c>
    </row>
    <row r="12" spans="1:7" x14ac:dyDescent="0.2">
      <c r="A12" s="65" t="s">
        <v>1243</v>
      </c>
      <c r="B12" s="65" t="s">
        <v>641</v>
      </c>
      <c r="C12" s="65" t="s">
        <v>642</v>
      </c>
      <c r="D12" s="72">
        <v>2</v>
      </c>
      <c r="E12" s="72" t="s">
        <v>202</v>
      </c>
      <c r="F12" s="72">
        <v>2</v>
      </c>
      <c r="G12" s="65" t="s">
        <v>208</v>
      </c>
    </row>
    <row r="13" spans="1:7" x14ac:dyDescent="0.2">
      <c r="A13" s="65" t="s">
        <v>1243</v>
      </c>
      <c r="B13" s="65" t="s">
        <v>649</v>
      </c>
      <c r="C13" s="65" t="s">
        <v>650</v>
      </c>
      <c r="D13" s="72">
        <v>2</v>
      </c>
      <c r="E13" s="72" t="s">
        <v>202</v>
      </c>
      <c r="F13" s="72">
        <v>2</v>
      </c>
      <c r="G13" s="65" t="s">
        <v>208</v>
      </c>
    </row>
    <row r="14" spans="1:7" x14ac:dyDescent="0.2">
      <c r="A14" s="65" t="s">
        <v>1243</v>
      </c>
      <c r="B14" s="65" t="s">
        <v>629</v>
      </c>
      <c r="C14" s="65" t="s">
        <v>630</v>
      </c>
      <c r="D14" s="72">
        <v>2</v>
      </c>
      <c r="E14" s="72" t="s">
        <v>202</v>
      </c>
      <c r="F14" s="72">
        <v>2</v>
      </c>
      <c r="G14" s="65" t="s">
        <v>208</v>
      </c>
    </row>
    <row r="15" spans="1:7" x14ac:dyDescent="0.2">
      <c r="A15" s="65" t="s">
        <v>1243</v>
      </c>
      <c r="B15" s="65" t="s">
        <v>850</v>
      </c>
      <c r="C15" s="65" t="s">
        <v>851</v>
      </c>
      <c r="D15" s="72">
        <v>2</v>
      </c>
      <c r="E15" s="72" t="s">
        <v>202</v>
      </c>
      <c r="F15" s="72">
        <v>1</v>
      </c>
      <c r="G15" s="65" t="s">
        <v>208</v>
      </c>
    </row>
    <row r="16" spans="1:7" x14ac:dyDescent="0.2">
      <c r="A16" s="65" t="s">
        <v>1243</v>
      </c>
      <c r="B16" s="65" t="s">
        <v>617</v>
      </c>
      <c r="C16" s="65" t="s">
        <v>618</v>
      </c>
      <c r="D16" s="72">
        <v>3</v>
      </c>
      <c r="E16" s="72" t="s">
        <v>202</v>
      </c>
      <c r="F16" s="72">
        <v>1</v>
      </c>
      <c r="G16" s="65" t="s">
        <v>208</v>
      </c>
    </row>
    <row r="17" spans="1:7" x14ac:dyDescent="0.2">
      <c r="A17" s="65" t="s">
        <v>1243</v>
      </c>
      <c r="B17" s="65" t="s">
        <v>774</v>
      </c>
      <c r="C17" s="65" t="s">
        <v>775</v>
      </c>
      <c r="D17" s="72">
        <v>2</v>
      </c>
      <c r="E17" s="72" t="s">
        <v>202</v>
      </c>
      <c r="F17" s="72">
        <v>2</v>
      </c>
      <c r="G17" s="65" t="s">
        <v>208</v>
      </c>
    </row>
    <row r="18" spans="1:7" x14ac:dyDescent="0.2">
      <c r="A18" s="65" t="s">
        <v>1243</v>
      </c>
      <c r="B18" s="65" t="s">
        <v>643</v>
      </c>
      <c r="C18" s="65" t="s">
        <v>644</v>
      </c>
      <c r="D18" s="72">
        <v>2</v>
      </c>
      <c r="E18" s="72" t="s">
        <v>202</v>
      </c>
      <c r="F18" s="72">
        <v>2</v>
      </c>
      <c r="G18" s="65" t="s">
        <v>208</v>
      </c>
    </row>
    <row r="19" spans="1:7" x14ac:dyDescent="0.2">
      <c r="A19" s="65" t="s">
        <v>1243</v>
      </c>
      <c r="B19" s="65" t="s">
        <v>619</v>
      </c>
      <c r="C19" s="65" t="s">
        <v>620</v>
      </c>
      <c r="D19" s="72">
        <v>2</v>
      </c>
      <c r="E19" s="72" t="s">
        <v>202</v>
      </c>
      <c r="F19" s="72">
        <v>1</v>
      </c>
      <c r="G19" s="65" t="s">
        <v>208</v>
      </c>
    </row>
    <row r="20" spans="1:7" x14ac:dyDescent="0.2">
      <c r="A20" s="65" t="s">
        <v>1243</v>
      </c>
      <c r="B20" s="65" t="s">
        <v>651</v>
      </c>
      <c r="C20" s="65" t="s">
        <v>1226</v>
      </c>
      <c r="D20" s="72">
        <v>3</v>
      </c>
      <c r="E20" s="72" t="s">
        <v>202</v>
      </c>
      <c r="F20" s="72">
        <v>2</v>
      </c>
      <c r="G20" s="65" t="s">
        <v>208</v>
      </c>
    </row>
    <row r="21" spans="1:7" x14ac:dyDescent="0.2">
      <c r="A21" s="65" t="s">
        <v>1243</v>
      </c>
      <c r="B21" s="65" t="s">
        <v>653</v>
      </c>
      <c r="C21" s="65" t="s">
        <v>654</v>
      </c>
      <c r="D21" s="72">
        <v>2</v>
      </c>
      <c r="E21" s="72" t="s">
        <v>202</v>
      </c>
      <c r="F21" s="72">
        <v>2</v>
      </c>
      <c r="G21" s="65" t="s">
        <v>208</v>
      </c>
    </row>
    <row r="22" spans="1:7" x14ac:dyDescent="0.2">
      <c r="A22" s="65" t="s">
        <v>1243</v>
      </c>
      <c r="B22" s="65" t="s">
        <v>760</v>
      </c>
      <c r="C22" s="65" t="s">
        <v>761</v>
      </c>
      <c r="D22" s="72">
        <v>3</v>
      </c>
      <c r="E22" s="72" t="s">
        <v>202</v>
      </c>
      <c r="F22" s="72">
        <v>2</v>
      </c>
      <c r="G22" s="65" t="s">
        <v>208</v>
      </c>
    </row>
    <row r="23" spans="1:7" x14ac:dyDescent="0.2">
      <c r="A23" s="65" t="s">
        <v>1243</v>
      </c>
      <c r="B23" s="65" t="s">
        <v>631</v>
      </c>
      <c r="C23" s="65" t="s">
        <v>632</v>
      </c>
      <c r="D23" s="72">
        <v>3</v>
      </c>
      <c r="E23" s="72" t="s">
        <v>202</v>
      </c>
      <c r="F23" s="72">
        <v>1</v>
      </c>
      <c r="G23" s="65" t="s">
        <v>208</v>
      </c>
    </row>
    <row r="24" spans="1:7" x14ac:dyDescent="0.2">
      <c r="A24" s="65" t="s">
        <v>1243</v>
      </c>
      <c r="B24" s="65" t="s">
        <v>838</v>
      </c>
      <c r="C24" s="65" t="s">
        <v>839</v>
      </c>
      <c r="D24" s="72">
        <v>2</v>
      </c>
      <c r="E24" s="72" t="s">
        <v>202</v>
      </c>
      <c r="F24" s="72">
        <v>2</v>
      </c>
      <c r="G24" s="65" t="s">
        <v>208</v>
      </c>
    </row>
    <row r="25" spans="1:7" x14ac:dyDescent="0.2">
      <c r="A25" s="65" t="s">
        <v>1243</v>
      </c>
      <c r="B25" s="65" t="s">
        <v>645</v>
      </c>
      <c r="C25" s="65" t="s">
        <v>1227</v>
      </c>
      <c r="D25" s="72">
        <v>3</v>
      </c>
      <c r="E25" s="72" t="s">
        <v>202</v>
      </c>
      <c r="F25" s="72">
        <v>1</v>
      </c>
      <c r="G25" s="65" t="s">
        <v>208</v>
      </c>
    </row>
    <row r="26" spans="1:7" x14ac:dyDescent="0.2">
      <c r="A26" s="65" t="s">
        <v>1243</v>
      </c>
      <c r="B26" s="65" t="s">
        <v>647</v>
      </c>
      <c r="C26" s="65" t="s">
        <v>648</v>
      </c>
      <c r="D26" s="72">
        <v>1</v>
      </c>
      <c r="E26" s="72" t="s">
        <v>202</v>
      </c>
      <c r="F26" s="72">
        <v>1</v>
      </c>
      <c r="G26" s="65" t="s">
        <v>208</v>
      </c>
    </row>
    <row r="27" spans="1:7" x14ac:dyDescent="0.2">
      <c r="A27" s="65" t="s">
        <v>1243</v>
      </c>
      <c r="B27" s="65" t="s">
        <v>621</v>
      </c>
      <c r="C27" s="65" t="s">
        <v>622</v>
      </c>
      <c r="D27" s="72">
        <v>2</v>
      </c>
      <c r="E27" s="72" t="s">
        <v>202</v>
      </c>
      <c r="F27" s="72">
        <v>1</v>
      </c>
      <c r="G27" s="65" t="s">
        <v>208</v>
      </c>
    </row>
    <row r="28" spans="1:7" x14ac:dyDescent="0.2">
      <c r="A28" s="65" t="s">
        <v>1243</v>
      </c>
      <c r="B28" s="65" t="s">
        <v>776</v>
      </c>
      <c r="C28" s="65" t="s">
        <v>777</v>
      </c>
      <c r="D28" s="72">
        <v>3</v>
      </c>
      <c r="E28" s="72" t="s">
        <v>202</v>
      </c>
      <c r="F28" s="72">
        <v>1</v>
      </c>
      <c r="G28" s="65" t="s">
        <v>208</v>
      </c>
    </row>
    <row r="29" spans="1:7" x14ac:dyDescent="0.2">
      <c r="A29" s="65" t="s">
        <v>1243</v>
      </c>
      <c r="B29" s="65" t="s">
        <v>623</v>
      </c>
      <c r="C29" s="65" t="s">
        <v>624</v>
      </c>
      <c r="D29" s="72">
        <v>2</v>
      </c>
      <c r="E29" s="72" t="s">
        <v>202</v>
      </c>
      <c r="F29" s="72">
        <v>1</v>
      </c>
      <c r="G29" s="65" t="s">
        <v>208</v>
      </c>
    </row>
    <row r="30" spans="1:7" x14ac:dyDescent="0.2">
      <c r="A30" s="65" t="s">
        <v>1243</v>
      </c>
      <c r="B30" s="65" t="s">
        <v>770</v>
      </c>
      <c r="C30" s="65" t="s">
        <v>771</v>
      </c>
      <c r="D30" s="72">
        <v>2</v>
      </c>
      <c r="E30" s="72" t="s">
        <v>202</v>
      </c>
      <c r="F30" s="72">
        <v>2</v>
      </c>
      <c r="G30" s="65" t="s">
        <v>208</v>
      </c>
    </row>
    <row r="31" spans="1:7" x14ac:dyDescent="0.2">
      <c r="A31" s="65" t="s">
        <v>1243</v>
      </c>
      <c r="B31" s="65" t="s">
        <v>655</v>
      </c>
      <c r="C31" s="65" t="s">
        <v>656</v>
      </c>
      <c r="D31" s="72">
        <v>2</v>
      </c>
      <c r="E31" s="72" t="s">
        <v>202</v>
      </c>
      <c r="F31" s="72">
        <v>2</v>
      </c>
      <c r="G31" s="65" t="s">
        <v>208</v>
      </c>
    </row>
    <row r="32" spans="1:7" x14ac:dyDescent="0.2">
      <c r="A32" s="65" t="s">
        <v>1243</v>
      </c>
      <c r="B32" s="65" t="s">
        <v>657</v>
      </c>
      <c r="C32" s="65" t="s">
        <v>1228</v>
      </c>
      <c r="D32" s="72">
        <v>3</v>
      </c>
      <c r="E32" s="72" t="s">
        <v>202</v>
      </c>
      <c r="F32" s="72">
        <v>2</v>
      </c>
      <c r="G32" s="65" t="s">
        <v>208</v>
      </c>
    </row>
    <row r="33" spans="1:7" x14ac:dyDescent="0.2">
      <c r="A33" s="65" t="s">
        <v>1243</v>
      </c>
      <c r="B33" s="65" t="s">
        <v>659</v>
      </c>
      <c r="C33" s="65" t="s">
        <v>1229</v>
      </c>
      <c r="D33" s="72">
        <v>3</v>
      </c>
      <c r="E33" s="72" t="s">
        <v>202</v>
      </c>
      <c r="F33" s="72">
        <v>2</v>
      </c>
      <c r="G33" s="65" t="s">
        <v>208</v>
      </c>
    </row>
    <row r="34" spans="1:7" x14ac:dyDescent="0.2">
      <c r="A34" s="65" t="s">
        <v>1243</v>
      </c>
      <c r="B34" s="65" t="s">
        <v>756</v>
      </c>
      <c r="C34" s="65" t="s">
        <v>757</v>
      </c>
      <c r="D34" s="72">
        <v>3</v>
      </c>
      <c r="E34" s="72" t="s">
        <v>202</v>
      </c>
      <c r="F34" s="72">
        <v>2</v>
      </c>
      <c r="G34" s="65" t="s">
        <v>209</v>
      </c>
    </row>
    <row r="35" spans="1:7" x14ac:dyDescent="0.2">
      <c r="A35" s="65" t="s">
        <v>1243</v>
      </c>
      <c r="B35" s="65" t="s">
        <v>1205</v>
      </c>
      <c r="C35" s="65" t="s">
        <v>1206</v>
      </c>
      <c r="D35" s="72">
        <v>3</v>
      </c>
      <c r="E35" s="72" t="s">
        <v>202</v>
      </c>
      <c r="F35" s="72">
        <v>2</v>
      </c>
      <c r="G35" s="65" t="s">
        <v>209</v>
      </c>
    </row>
    <row r="36" spans="1:7" x14ac:dyDescent="0.2">
      <c r="A36" s="65" t="s">
        <v>1243</v>
      </c>
      <c r="B36" s="65" t="s">
        <v>1207</v>
      </c>
      <c r="C36" s="65" t="s">
        <v>1208</v>
      </c>
      <c r="D36" s="72">
        <v>3</v>
      </c>
      <c r="E36" s="72" t="s">
        <v>202</v>
      </c>
      <c r="F36" s="72">
        <v>2</v>
      </c>
      <c r="G36" s="65" t="s">
        <v>209</v>
      </c>
    </row>
    <row r="37" spans="1:7" x14ac:dyDescent="0.2">
      <c r="A37" s="65" t="s">
        <v>1243</v>
      </c>
      <c r="B37" s="65" t="s">
        <v>852</v>
      </c>
      <c r="C37" s="65" t="s">
        <v>853</v>
      </c>
      <c r="D37" s="72">
        <v>3</v>
      </c>
      <c r="E37" s="72" t="s">
        <v>202</v>
      </c>
      <c r="F37" s="72">
        <v>2</v>
      </c>
      <c r="G37" s="65" t="s">
        <v>209</v>
      </c>
    </row>
    <row r="38" spans="1:7" x14ac:dyDescent="0.2">
      <c r="A38" s="65" t="s">
        <v>1243</v>
      </c>
      <c r="B38" s="65" t="s">
        <v>840</v>
      </c>
      <c r="C38" s="65" t="s">
        <v>1230</v>
      </c>
      <c r="D38" s="72">
        <v>3</v>
      </c>
      <c r="E38" s="72" t="s">
        <v>202</v>
      </c>
      <c r="F38" s="72">
        <v>2</v>
      </c>
      <c r="G38" s="65" t="s">
        <v>209</v>
      </c>
    </row>
    <row r="39" spans="1:7" x14ac:dyDescent="0.2">
      <c r="A39" s="65" t="s">
        <v>1243</v>
      </c>
      <c r="B39" s="65" t="s">
        <v>871</v>
      </c>
      <c r="C39" s="65" t="s">
        <v>872</v>
      </c>
      <c r="D39" s="72">
        <v>3</v>
      </c>
      <c r="E39" s="72" t="s">
        <v>202</v>
      </c>
      <c r="F39" s="72">
        <v>2</v>
      </c>
      <c r="G39" s="65" t="s">
        <v>210</v>
      </c>
    </row>
    <row r="40" spans="1:7" x14ac:dyDescent="0.2">
      <c r="A40" s="65" t="s">
        <v>1243</v>
      </c>
      <c r="B40" s="65" t="s">
        <v>848</v>
      </c>
      <c r="C40" s="65" t="s">
        <v>849</v>
      </c>
      <c r="D40" s="72">
        <v>3</v>
      </c>
      <c r="E40" s="72" t="s">
        <v>202</v>
      </c>
      <c r="F40" s="72">
        <v>2</v>
      </c>
      <c r="G40" s="65" t="s">
        <v>210</v>
      </c>
    </row>
    <row r="41" spans="1:7" x14ac:dyDescent="0.2">
      <c r="A41" s="65" t="s">
        <v>1243</v>
      </c>
      <c r="B41" s="65" t="s">
        <v>762</v>
      </c>
      <c r="C41" s="65" t="s">
        <v>1231</v>
      </c>
      <c r="D41" s="72">
        <v>4</v>
      </c>
      <c r="E41" s="72" t="s">
        <v>202</v>
      </c>
      <c r="F41" s="72">
        <v>2</v>
      </c>
      <c r="G41" s="65" t="s">
        <v>210</v>
      </c>
    </row>
    <row r="42" spans="1:7" x14ac:dyDescent="0.2">
      <c r="A42" s="65" t="s">
        <v>1244</v>
      </c>
      <c r="B42" s="65" t="s">
        <v>885</v>
      </c>
      <c r="C42" s="65" t="s">
        <v>886</v>
      </c>
      <c r="D42" s="72">
        <v>2</v>
      </c>
      <c r="E42" s="72" t="s">
        <v>202</v>
      </c>
      <c r="F42" s="72">
        <v>1</v>
      </c>
      <c r="G42" s="65" t="s">
        <v>352</v>
      </c>
    </row>
    <row r="43" spans="1:7" x14ac:dyDescent="0.2">
      <c r="A43" s="65" t="s">
        <v>1244</v>
      </c>
      <c r="B43" s="65" t="s">
        <v>889</v>
      </c>
      <c r="C43" s="65" t="s">
        <v>890</v>
      </c>
      <c r="D43" s="72">
        <v>2</v>
      </c>
      <c r="E43" s="72" t="s">
        <v>202</v>
      </c>
      <c r="F43" s="72">
        <v>3</v>
      </c>
      <c r="G43" s="65" t="s">
        <v>352</v>
      </c>
    </row>
    <row r="44" spans="1:7" x14ac:dyDescent="0.2">
      <c r="A44" s="65" t="s">
        <v>1244</v>
      </c>
      <c r="B44" s="65" t="s">
        <v>1167</v>
      </c>
      <c r="C44" s="65" t="s">
        <v>1168</v>
      </c>
      <c r="D44" s="72">
        <v>2</v>
      </c>
      <c r="E44" s="72" t="s">
        <v>202</v>
      </c>
      <c r="F44" s="72">
        <v>1</v>
      </c>
      <c r="G44" s="65" t="s">
        <v>352</v>
      </c>
    </row>
    <row r="45" spans="1:7" x14ac:dyDescent="0.2">
      <c r="A45" s="65" t="s">
        <v>1244</v>
      </c>
      <c r="B45" s="65" t="s">
        <v>633</v>
      </c>
      <c r="C45" s="65" t="s">
        <v>634</v>
      </c>
      <c r="D45" s="72">
        <v>2</v>
      </c>
      <c r="E45" s="72" t="s">
        <v>202</v>
      </c>
      <c r="F45" s="72">
        <v>2</v>
      </c>
      <c r="G45" s="65" t="s">
        <v>352</v>
      </c>
    </row>
    <row r="46" spans="1:7" x14ac:dyDescent="0.2">
      <c r="A46" s="65" t="s">
        <v>1244</v>
      </c>
      <c r="B46" s="65" t="s">
        <v>873</v>
      </c>
      <c r="C46" s="65" t="s">
        <v>874</v>
      </c>
      <c r="D46" s="72">
        <v>3</v>
      </c>
      <c r="E46" s="72" t="s">
        <v>202</v>
      </c>
      <c r="F46" s="72">
        <v>1</v>
      </c>
      <c r="G46" s="65" t="s">
        <v>352</v>
      </c>
    </row>
    <row r="47" spans="1:7" x14ac:dyDescent="0.2">
      <c r="A47" s="65" t="s">
        <v>1244</v>
      </c>
      <c r="B47" s="65" t="s">
        <v>875</v>
      </c>
      <c r="C47" s="65" t="s">
        <v>876</v>
      </c>
      <c r="D47" s="72">
        <v>2</v>
      </c>
      <c r="E47" s="72" t="s">
        <v>202</v>
      </c>
      <c r="F47" s="72">
        <v>1</v>
      </c>
      <c r="G47" s="65" t="s">
        <v>352</v>
      </c>
    </row>
    <row r="48" spans="1:7" x14ac:dyDescent="0.2">
      <c r="A48" s="65" t="s">
        <v>1244</v>
      </c>
      <c r="B48" s="65" t="s">
        <v>828</v>
      </c>
      <c r="C48" s="65" t="s">
        <v>829</v>
      </c>
      <c r="D48" s="72">
        <v>2</v>
      </c>
      <c r="E48" s="72" t="s">
        <v>202</v>
      </c>
      <c r="F48" s="72">
        <v>2</v>
      </c>
      <c r="G48" s="65" t="s">
        <v>352</v>
      </c>
    </row>
    <row r="49" spans="1:7" x14ac:dyDescent="0.2">
      <c r="A49" s="65" t="s">
        <v>1244</v>
      </c>
      <c r="B49" s="65" t="s">
        <v>869</v>
      </c>
      <c r="C49" s="65" t="s">
        <v>1241</v>
      </c>
      <c r="D49" s="72">
        <v>2</v>
      </c>
      <c r="E49" s="72" t="s">
        <v>202</v>
      </c>
      <c r="F49" s="72">
        <v>2</v>
      </c>
      <c r="G49" s="65" t="s">
        <v>352</v>
      </c>
    </row>
    <row r="50" spans="1:7" x14ac:dyDescent="0.2">
      <c r="A50" s="65" t="s">
        <v>1244</v>
      </c>
      <c r="B50" s="65" t="s">
        <v>830</v>
      </c>
      <c r="C50" s="65" t="s">
        <v>831</v>
      </c>
      <c r="D50" s="72">
        <v>2</v>
      </c>
      <c r="E50" s="72" t="s">
        <v>202</v>
      </c>
      <c r="F50" s="72">
        <v>2</v>
      </c>
      <c r="G50" s="65" t="s">
        <v>352</v>
      </c>
    </row>
    <row r="51" spans="1:7" x14ac:dyDescent="0.2">
      <c r="A51" s="65" t="s">
        <v>1244</v>
      </c>
      <c r="B51" s="65" t="s">
        <v>832</v>
      </c>
      <c r="C51" s="65" t="s">
        <v>833</v>
      </c>
      <c r="D51" s="72">
        <v>2</v>
      </c>
      <c r="E51" s="72" t="s">
        <v>202</v>
      </c>
      <c r="F51" s="72">
        <v>1</v>
      </c>
      <c r="G51" s="65" t="s">
        <v>352</v>
      </c>
    </row>
    <row r="52" spans="1:7" x14ac:dyDescent="0.2">
      <c r="A52" s="65" t="s">
        <v>1244</v>
      </c>
      <c r="B52" s="65" t="s">
        <v>637</v>
      </c>
      <c r="C52" s="65" t="s">
        <v>638</v>
      </c>
      <c r="D52" s="72">
        <v>2</v>
      </c>
      <c r="E52" s="72" t="s">
        <v>202</v>
      </c>
      <c r="F52" s="72">
        <v>1</v>
      </c>
      <c r="G52" s="65" t="s">
        <v>352</v>
      </c>
    </row>
    <row r="53" spans="1:7" x14ac:dyDescent="0.2">
      <c r="A53" s="65" t="s">
        <v>1244</v>
      </c>
      <c r="B53" s="65" t="s">
        <v>824</v>
      </c>
      <c r="C53" s="65" t="s">
        <v>825</v>
      </c>
      <c r="D53" s="72">
        <v>2</v>
      </c>
      <c r="E53" s="72" t="s">
        <v>202</v>
      </c>
      <c r="F53" s="72">
        <v>2</v>
      </c>
      <c r="G53" s="65" t="s">
        <v>352</v>
      </c>
    </row>
    <row r="54" spans="1:7" x14ac:dyDescent="0.2">
      <c r="A54" s="65" t="s">
        <v>1244</v>
      </c>
      <c r="B54" s="65" t="s">
        <v>834</v>
      </c>
      <c r="C54" s="65" t="s">
        <v>835</v>
      </c>
      <c r="D54" s="72">
        <v>2</v>
      </c>
      <c r="E54" s="72" t="s">
        <v>202</v>
      </c>
      <c r="F54" s="72">
        <v>1</v>
      </c>
      <c r="G54" s="65" t="s">
        <v>352</v>
      </c>
    </row>
    <row r="55" spans="1:7" x14ac:dyDescent="0.2">
      <c r="A55" s="65" t="s">
        <v>1244</v>
      </c>
      <c r="B55" s="65" t="s">
        <v>764</v>
      </c>
      <c r="C55" s="65" t="s">
        <v>765</v>
      </c>
      <c r="D55" s="72">
        <v>5</v>
      </c>
      <c r="E55" s="72" t="s">
        <v>202</v>
      </c>
      <c r="F55" s="72">
        <v>1</v>
      </c>
      <c r="G55" s="65" t="s">
        <v>352</v>
      </c>
    </row>
    <row r="56" spans="1:7" x14ac:dyDescent="0.2">
      <c r="A56" s="65" t="s">
        <v>1244</v>
      </c>
      <c r="B56" s="65" t="s">
        <v>826</v>
      </c>
      <c r="C56" s="65" t="s">
        <v>827</v>
      </c>
      <c r="D56" s="72">
        <v>3</v>
      </c>
      <c r="E56" s="72" t="s">
        <v>202</v>
      </c>
      <c r="F56" s="72">
        <v>1</v>
      </c>
      <c r="G56" s="65" t="s">
        <v>352</v>
      </c>
    </row>
    <row r="57" spans="1:7" x14ac:dyDescent="0.2">
      <c r="A57" s="65" t="s">
        <v>1244</v>
      </c>
      <c r="B57" s="65" t="s">
        <v>883</v>
      </c>
      <c r="C57" s="65" t="s">
        <v>884</v>
      </c>
      <c r="D57" s="72">
        <v>3</v>
      </c>
      <c r="E57" s="72" t="s">
        <v>202</v>
      </c>
      <c r="F57" s="72">
        <v>2</v>
      </c>
      <c r="G57" s="65" t="s">
        <v>352</v>
      </c>
    </row>
    <row r="58" spans="1:7" x14ac:dyDescent="0.2">
      <c r="A58" s="65" t="s">
        <v>1244</v>
      </c>
      <c r="B58" s="65" t="s">
        <v>881</v>
      </c>
      <c r="C58" s="65" t="s">
        <v>882</v>
      </c>
      <c r="D58" s="72">
        <v>2</v>
      </c>
      <c r="E58" s="72" t="s">
        <v>202</v>
      </c>
      <c r="F58" s="72">
        <v>2</v>
      </c>
      <c r="G58" s="65" t="s">
        <v>355</v>
      </c>
    </row>
    <row r="59" spans="1:7" x14ac:dyDescent="0.2">
      <c r="A59" s="65" t="s">
        <v>1244</v>
      </c>
      <c r="B59" s="65" t="s">
        <v>844</v>
      </c>
      <c r="C59" s="65" t="s">
        <v>845</v>
      </c>
      <c r="D59" s="72">
        <v>2</v>
      </c>
      <c r="E59" s="72" t="s">
        <v>202</v>
      </c>
      <c r="F59" s="72">
        <v>1</v>
      </c>
      <c r="G59" s="65" t="s">
        <v>355</v>
      </c>
    </row>
    <row r="60" spans="1:7" x14ac:dyDescent="0.2">
      <c r="A60" s="65" t="s">
        <v>1244</v>
      </c>
      <c r="B60" s="65" t="s">
        <v>754</v>
      </c>
      <c r="C60" s="65" t="s">
        <v>755</v>
      </c>
      <c r="D60" s="72">
        <v>3</v>
      </c>
      <c r="E60" s="72" t="s">
        <v>202</v>
      </c>
      <c r="F60" s="72">
        <v>1</v>
      </c>
      <c r="G60" s="65" t="s">
        <v>355</v>
      </c>
    </row>
    <row r="61" spans="1:7" x14ac:dyDescent="0.2">
      <c r="A61" s="65" t="s">
        <v>1244</v>
      </c>
      <c r="B61" s="65" t="s">
        <v>846</v>
      </c>
      <c r="C61" s="65" t="s">
        <v>847</v>
      </c>
      <c r="D61" s="72">
        <v>2</v>
      </c>
      <c r="E61" s="72" t="s">
        <v>202</v>
      </c>
      <c r="F61" s="72">
        <v>1</v>
      </c>
      <c r="G61" s="65" t="s">
        <v>355</v>
      </c>
    </row>
    <row r="62" spans="1:7" x14ac:dyDescent="0.2">
      <c r="A62" s="65" t="s">
        <v>1244</v>
      </c>
      <c r="B62" s="65" t="s">
        <v>635</v>
      </c>
      <c r="C62" s="65" t="s">
        <v>636</v>
      </c>
      <c r="D62" s="72">
        <v>2</v>
      </c>
      <c r="E62" s="72" t="s">
        <v>202</v>
      </c>
      <c r="F62" s="72">
        <v>1</v>
      </c>
      <c r="G62" s="65" t="s">
        <v>355</v>
      </c>
    </row>
    <row r="63" spans="1:7" x14ac:dyDescent="0.2">
      <c r="A63" s="65"/>
      <c r="B63" s="65"/>
      <c r="C63" s="65"/>
      <c r="D63" s="72"/>
      <c r="E63" s="72"/>
      <c r="F63" s="72"/>
      <c r="G63" s="65"/>
    </row>
    <row r="64" spans="1:7" x14ac:dyDescent="0.2">
      <c r="A64" s="65"/>
      <c r="B64" s="65"/>
      <c r="C64" s="65"/>
      <c r="D64" s="72"/>
      <c r="E64" s="72"/>
      <c r="F64" s="72"/>
      <c r="G64" s="65"/>
    </row>
    <row r="65" spans="1:7" x14ac:dyDescent="0.2">
      <c r="A65" s="65"/>
      <c r="B65" s="65"/>
      <c r="C65" s="65"/>
      <c r="D65" s="72"/>
      <c r="E65" s="72"/>
      <c r="F65" s="72"/>
      <c r="G65" s="65"/>
    </row>
    <row r="66" spans="1:7" x14ac:dyDescent="0.2">
      <c r="A66" s="65"/>
      <c r="B66" s="65"/>
      <c r="C66" s="65"/>
      <c r="D66" s="72"/>
      <c r="E66" s="72"/>
      <c r="F66" s="72"/>
      <c r="G66" s="65"/>
    </row>
    <row r="67" spans="1:7" x14ac:dyDescent="0.2">
      <c r="A67" s="65"/>
      <c r="B67" s="65"/>
      <c r="C67" s="65"/>
      <c r="D67" s="72"/>
      <c r="E67" s="72"/>
      <c r="F67" s="72"/>
      <c r="G67" s="65"/>
    </row>
    <row r="68" spans="1:7" x14ac:dyDescent="0.2">
      <c r="A68" s="65"/>
      <c r="B68" s="65"/>
      <c r="C68" s="65"/>
      <c r="D68" s="72"/>
      <c r="E68" s="72"/>
      <c r="F68" s="72"/>
      <c r="G68" s="65"/>
    </row>
    <row r="69" spans="1:7" x14ac:dyDescent="0.2">
      <c r="A69" s="65"/>
      <c r="B69" s="65"/>
      <c r="C69" s="65"/>
      <c r="D69" s="72"/>
      <c r="E69" s="72"/>
      <c r="F69" s="72"/>
      <c r="G69" s="65"/>
    </row>
    <row r="70" spans="1:7" x14ac:dyDescent="0.2">
      <c r="A70" s="65"/>
      <c r="B70" s="65"/>
      <c r="C70" s="65"/>
      <c r="D70" s="72"/>
      <c r="E70" s="72"/>
      <c r="F70" s="72"/>
      <c r="G70" s="65"/>
    </row>
    <row r="71" spans="1:7" x14ac:dyDescent="0.2">
      <c r="A71" s="65"/>
      <c r="B71" s="65"/>
      <c r="C71" s="65"/>
      <c r="D71" s="72"/>
      <c r="E71" s="72"/>
      <c r="F71" s="72"/>
      <c r="G71" s="65"/>
    </row>
    <row r="72" spans="1:7" x14ac:dyDescent="0.2">
      <c r="A72" s="65"/>
      <c r="B72" s="65"/>
      <c r="C72" s="65"/>
      <c r="D72" s="72"/>
      <c r="E72" s="72"/>
      <c r="F72" s="72"/>
      <c r="G72" s="65"/>
    </row>
    <row r="73" spans="1:7" x14ac:dyDescent="0.2">
      <c r="A73" s="65"/>
      <c r="B73" s="65"/>
      <c r="C73" s="65"/>
      <c r="D73" s="72"/>
      <c r="E73" s="72"/>
      <c r="F73" s="72"/>
      <c r="G73" s="65"/>
    </row>
    <row r="74" spans="1:7" x14ac:dyDescent="0.2">
      <c r="A74" s="65"/>
      <c r="B74" s="65"/>
      <c r="C74" s="65"/>
      <c r="D74" s="72"/>
      <c r="E74" s="72"/>
      <c r="F74" s="72"/>
      <c r="G74" s="65"/>
    </row>
    <row r="75" spans="1:7" x14ac:dyDescent="0.2">
      <c r="A75" s="65"/>
      <c r="B75" s="65"/>
      <c r="C75" s="65"/>
      <c r="D75" s="72"/>
      <c r="E75" s="72"/>
      <c r="F75" s="72"/>
      <c r="G75" s="65"/>
    </row>
    <row r="76" spans="1:7" x14ac:dyDescent="0.2">
      <c r="A76" s="65"/>
      <c r="B76" s="65"/>
      <c r="C76" s="65"/>
      <c r="D76" s="72"/>
      <c r="E76" s="72"/>
      <c r="F76" s="72"/>
      <c r="G76" s="65"/>
    </row>
    <row r="77" spans="1:7" x14ac:dyDescent="0.2">
      <c r="A77" s="65"/>
      <c r="B77" s="65"/>
      <c r="C77" s="65"/>
      <c r="D77" s="72"/>
      <c r="E77" s="72"/>
      <c r="F77" s="72"/>
      <c r="G77" s="65"/>
    </row>
    <row r="78" spans="1:7" x14ac:dyDescent="0.2">
      <c r="A78" s="65"/>
      <c r="B78" s="65"/>
      <c r="C78" s="65"/>
      <c r="D78" s="72"/>
      <c r="E78" s="72"/>
      <c r="F78" s="72"/>
      <c r="G78" s="65"/>
    </row>
    <row r="79" spans="1:7" x14ac:dyDescent="0.2">
      <c r="A79" s="65"/>
      <c r="B79" s="65"/>
      <c r="C79" s="65"/>
      <c r="D79" s="72"/>
      <c r="E79" s="72"/>
      <c r="F79" s="72"/>
      <c r="G79" s="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21"/>
  <sheetViews>
    <sheetView showGridLines="0" workbookViewId="0"/>
  </sheetViews>
  <sheetFormatPr baseColWidth="10" defaultColWidth="12.5703125" defaultRowHeight="15.75" customHeight="1" x14ac:dyDescent="0.2"/>
  <cols>
    <col min="2" max="2" width="19.7109375" customWidth="1"/>
    <col min="11" max="11" width="18.85546875" customWidth="1"/>
  </cols>
  <sheetData>
    <row r="1" spans="1:16" x14ac:dyDescent="0.2">
      <c r="A1" s="139" t="s">
        <v>3204</v>
      </c>
      <c r="B1" s="138"/>
      <c r="C1" s="139" t="s">
        <v>204</v>
      </c>
      <c r="D1" s="138"/>
      <c r="E1" s="138"/>
      <c r="F1" s="140"/>
    </row>
    <row r="2" spans="1:16" x14ac:dyDescent="0.2">
      <c r="A2" s="139" t="s">
        <v>1242</v>
      </c>
      <c r="B2" s="139" t="s">
        <v>207</v>
      </c>
      <c r="C2" s="148">
        <v>1</v>
      </c>
      <c r="D2" s="149">
        <v>2</v>
      </c>
      <c r="E2" s="149">
        <v>3</v>
      </c>
      <c r="F2" s="150" t="s">
        <v>3203</v>
      </c>
    </row>
    <row r="3" spans="1:16" x14ac:dyDescent="0.2">
      <c r="A3" s="137" t="s">
        <v>1244</v>
      </c>
      <c r="B3" s="137" t="s">
        <v>352</v>
      </c>
      <c r="C3" s="142">
        <v>9</v>
      </c>
      <c r="D3" s="151">
        <v>6</v>
      </c>
      <c r="E3" s="151">
        <v>1</v>
      </c>
      <c r="F3" s="152">
        <v>16</v>
      </c>
    </row>
    <row r="4" spans="1:16" x14ac:dyDescent="0.2">
      <c r="A4" s="153"/>
      <c r="B4" s="154" t="s">
        <v>355</v>
      </c>
      <c r="C4" s="155">
        <v>4</v>
      </c>
      <c r="D4" s="156">
        <v>1</v>
      </c>
      <c r="E4" s="156"/>
      <c r="F4" s="157">
        <v>5</v>
      </c>
    </row>
    <row r="5" spans="1:16" x14ac:dyDescent="0.2">
      <c r="A5" s="137" t="s">
        <v>1246</v>
      </c>
      <c r="B5" s="138"/>
      <c r="C5" s="142">
        <v>13</v>
      </c>
      <c r="D5" s="151">
        <v>7</v>
      </c>
      <c r="E5" s="151">
        <v>1</v>
      </c>
      <c r="F5" s="152">
        <v>21</v>
      </c>
    </row>
    <row r="6" spans="1:16" x14ac:dyDescent="0.2">
      <c r="A6" s="137" t="s">
        <v>1243</v>
      </c>
      <c r="B6" s="137" t="s">
        <v>208</v>
      </c>
      <c r="C6" s="142">
        <v>9</v>
      </c>
      <c r="D6" s="151">
        <v>21</v>
      </c>
      <c r="E6" s="151"/>
      <c r="F6" s="152">
        <v>30</v>
      </c>
    </row>
    <row r="7" spans="1:16" x14ac:dyDescent="0.2">
      <c r="A7" s="153"/>
      <c r="B7" s="154" t="s">
        <v>209</v>
      </c>
      <c r="C7" s="155"/>
      <c r="D7" s="156">
        <v>5</v>
      </c>
      <c r="E7" s="156"/>
      <c r="F7" s="157">
        <v>5</v>
      </c>
    </row>
    <row r="8" spans="1:16" x14ac:dyDescent="0.2">
      <c r="A8" s="153"/>
      <c r="B8" s="154" t="s">
        <v>210</v>
      </c>
      <c r="C8" s="155"/>
      <c r="D8" s="156">
        <v>3</v>
      </c>
      <c r="E8" s="156"/>
      <c r="F8" s="157">
        <v>3</v>
      </c>
    </row>
    <row r="9" spans="1:16" x14ac:dyDescent="0.2">
      <c r="A9" s="137" t="s">
        <v>1247</v>
      </c>
      <c r="B9" s="138"/>
      <c r="C9" s="142">
        <v>9</v>
      </c>
      <c r="D9" s="151">
        <v>29</v>
      </c>
      <c r="E9" s="151"/>
      <c r="F9" s="152">
        <v>38</v>
      </c>
    </row>
    <row r="10" spans="1:16" x14ac:dyDescent="0.2">
      <c r="A10" s="144" t="s">
        <v>3203</v>
      </c>
      <c r="B10" s="145"/>
      <c r="C10" s="146">
        <v>22</v>
      </c>
      <c r="D10" s="158">
        <v>36</v>
      </c>
      <c r="E10" s="158">
        <v>1</v>
      </c>
      <c r="F10" s="159">
        <v>59</v>
      </c>
    </row>
    <row r="12" spans="1:16" x14ac:dyDescent="0.2">
      <c r="C12" s="136" t="s">
        <v>1248</v>
      </c>
      <c r="D12" s="130"/>
      <c r="E12" s="130"/>
      <c r="F12" s="116"/>
      <c r="L12" s="116"/>
      <c r="M12" s="136" t="s">
        <v>1249</v>
      </c>
      <c r="N12" s="130"/>
      <c r="O12" s="130"/>
      <c r="P12" s="116"/>
    </row>
    <row r="13" spans="1:16" x14ac:dyDescent="0.2">
      <c r="A13" s="117" t="s">
        <v>1242</v>
      </c>
      <c r="B13" s="117" t="s">
        <v>207</v>
      </c>
      <c r="C13" s="118">
        <v>1</v>
      </c>
      <c r="D13" s="118">
        <v>2</v>
      </c>
      <c r="E13" s="118">
        <v>3</v>
      </c>
      <c r="F13" s="118" t="s">
        <v>1250</v>
      </c>
      <c r="J13" s="117" t="s">
        <v>1242</v>
      </c>
      <c r="K13" s="117" t="s">
        <v>207</v>
      </c>
      <c r="L13" s="118" t="s">
        <v>3</v>
      </c>
      <c r="M13" s="118">
        <v>1</v>
      </c>
      <c r="N13" s="118">
        <v>2</v>
      </c>
      <c r="O13" s="118">
        <v>3</v>
      </c>
      <c r="P13" s="118" t="s">
        <v>1250</v>
      </c>
    </row>
    <row r="14" spans="1:16" x14ac:dyDescent="0.2">
      <c r="A14" s="131" t="s">
        <v>1244</v>
      </c>
      <c r="B14" s="119" t="s">
        <v>352</v>
      </c>
      <c r="C14" s="119">
        <v>9</v>
      </c>
      <c r="D14" s="119">
        <v>6</v>
      </c>
      <c r="E14" s="119">
        <v>1</v>
      </c>
      <c r="F14" s="119">
        <v>16</v>
      </c>
      <c r="J14" s="131" t="s">
        <v>1244</v>
      </c>
      <c r="K14" s="119" t="s">
        <v>352</v>
      </c>
      <c r="L14" s="120">
        <v>17</v>
      </c>
      <c r="M14" s="119">
        <v>9</v>
      </c>
      <c r="N14" s="119">
        <v>6</v>
      </c>
      <c r="O14" s="119">
        <v>1</v>
      </c>
      <c r="P14" s="119">
        <v>16</v>
      </c>
    </row>
    <row r="15" spans="1:16" x14ac:dyDescent="0.2">
      <c r="A15" s="133"/>
      <c r="B15" s="119" t="s">
        <v>355</v>
      </c>
      <c r="C15" s="119">
        <v>4</v>
      </c>
      <c r="D15" s="119">
        <v>1</v>
      </c>
      <c r="E15" s="119"/>
      <c r="F15" s="119">
        <v>5</v>
      </c>
      <c r="J15" s="133"/>
      <c r="K15" s="119" t="s">
        <v>355</v>
      </c>
      <c r="L15" s="120" t="s">
        <v>1251</v>
      </c>
      <c r="M15" s="119">
        <v>4</v>
      </c>
      <c r="N15" s="119">
        <v>1</v>
      </c>
      <c r="O15" s="119"/>
      <c r="P15" s="119">
        <v>5</v>
      </c>
    </row>
    <row r="16" spans="1:16" x14ac:dyDescent="0.2">
      <c r="A16" s="134" t="s">
        <v>1246</v>
      </c>
      <c r="B16" s="135"/>
      <c r="C16" s="121">
        <v>13</v>
      </c>
      <c r="D16" s="121">
        <v>7</v>
      </c>
      <c r="E16" s="121">
        <v>1</v>
      </c>
      <c r="F16" s="121">
        <v>21</v>
      </c>
      <c r="J16" s="134" t="s">
        <v>1246</v>
      </c>
      <c r="K16" s="135"/>
      <c r="L16" s="122" t="s">
        <v>1252</v>
      </c>
      <c r="M16" s="121">
        <v>13</v>
      </c>
      <c r="N16" s="121">
        <v>7</v>
      </c>
      <c r="O16" s="121">
        <v>1</v>
      </c>
      <c r="P16" s="121">
        <v>21</v>
      </c>
    </row>
    <row r="17" spans="1:16" x14ac:dyDescent="0.2">
      <c r="A17" s="131" t="s">
        <v>1243</v>
      </c>
      <c r="B17" s="119" t="s">
        <v>208</v>
      </c>
      <c r="C17" s="119">
        <v>9</v>
      </c>
      <c r="D17" s="119">
        <v>21</v>
      </c>
      <c r="E17" s="119"/>
      <c r="F17" s="119">
        <v>30</v>
      </c>
      <c r="J17" s="131" t="s">
        <v>1243</v>
      </c>
      <c r="K17" s="119" t="s">
        <v>208</v>
      </c>
      <c r="L17" s="120">
        <v>18</v>
      </c>
      <c r="M17" s="119">
        <v>9</v>
      </c>
      <c r="N17" s="119">
        <v>21</v>
      </c>
      <c r="O17" s="119"/>
      <c r="P17" s="119">
        <v>30</v>
      </c>
    </row>
    <row r="18" spans="1:16" x14ac:dyDescent="0.2">
      <c r="A18" s="132"/>
      <c r="B18" s="119" t="s">
        <v>209</v>
      </c>
      <c r="C18" s="119"/>
      <c r="D18" s="119">
        <v>5</v>
      </c>
      <c r="E18" s="119"/>
      <c r="F18" s="119">
        <v>5</v>
      </c>
      <c r="J18" s="132"/>
      <c r="K18" s="119" t="s">
        <v>209</v>
      </c>
      <c r="L18" s="120" t="s">
        <v>1253</v>
      </c>
      <c r="M18" s="119"/>
      <c r="N18" s="119">
        <v>5</v>
      </c>
      <c r="O18" s="119"/>
      <c r="P18" s="119">
        <v>5</v>
      </c>
    </row>
    <row r="19" spans="1:16" x14ac:dyDescent="0.2">
      <c r="A19" s="133"/>
      <c r="B19" s="119" t="s">
        <v>210</v>
      </c>
      <c r="C19" s="119"/>
      <c r="D19" s="119">
        <v>3</v>
      </c>
      <c r="E19" s="119"/>
      <c r="F19" s="119">
        <v>3</v>
      </c>
      <c r="J19" s="133"/>
      <c r="K19" s="119" t="s">
        <v>210</v>
      </c>
      <c r="L19" s="119" t="s">
        <v>1254</v>
      </c>
      <c r="M19" s="119"/>
      <c r="N19" s="119">
        <v>3</v>
      </c>
      <c r="O19" s="119"/>
      <c r="P19" s="119">
        <v>3</v>
      </c>
    </row>
    <row r="20" spans="1:16" x14ac:dyDescent="0.2">
      <c r="A20" s="134" t="s">
        <v>1247</v>
      </c>
      <c r="B20" s="135"/>
      <c r="C20" s="121">
        <v>9</v>
      </c>
      <c r="D20" s="121">
        <v>29</v>
      </c>
      <c r="E20" s="121"/>
      <c r="F20" s="121">
        <v>38</v>
      </c>
      <c r="J20" s="134" t="s">
        <v>1247</v>
      </c>
      <c r="K20" s="135"/>
      <c r="L20" s="122" t="s">
        <v>1255</v>
      </c>
      <c r="M20" s="121">
        <v>9</v>
      </c>
      <c r="N20" s="121">
        <v>29</v>
      </c>
      <c r="O20" s="121"/>
      <c r="P20" s="121">
        <v>38</v>
      </c>
    </row>
    <row r="21" spans="1:16" x14ac:dyDescent="0.2">
      <c r="A21" s="134" t="s">
        <v>1245</v>
      </c>
      <c r="B21" s="135"/>
      <c r="C21" s="121">
        <v>22</v>
      </c>
      <c r="D21" s="121">
        <v>36</v>
      </c>
      <c r="E21" s="121">
        <v>1</v>
      </c>
      <c r="F21" s="121">
        <v>59</v>
      </c>
      <c r="J21" s="134" t="s">
        <v>1245</v>
      </c>
      <c r="K21" s="135"/>
      <c r="L21" s="121"/>
      <c r="M21" s="121">
        <v>22</v>
      </c>
      <c r="N21" s="121">
        <v>36</v>
      </c>
      <c r="O21" s="121">
        <v>1</v>
      </c>
      <c r="P21" s="121">
        <v>59</v>
      </c>
    </row>
  </sheetData>
  <mergeCells count="12">
    <mergeCell ref="C12:E12"/>
    <mergeCell ref="M12:O12"/>
    <mergeCell ref="A14:A15"/>
    <mergeCell ref="J14:J15"/>
    <mergeCell ref="A16:B16"/>
    <mergeCell ref="J16:K16"/>
    <mergeCell ref="A17:A19"/>
    <mergeCell ref="A20:B20"/>
    <mergeCell ref="A21:B21"/>
    <mergeCell ref="J20:K20"/>
    <mergeCell ref="J21:K21"/>
    <mergeCell ref="J17:J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J131"/>
  <sheetViews>
    <sheetView workbookViewId="0"/>
  </sheetViews>
  <sheetFormatPr baseColWidth="10" defaultColWidth="12.5703125" defaultRowHeight="15.75" customHeight="1" x14ac:dyDescent="0.2"/>
  <cols>
    <col min="2" max="2" width="24.42578125" customWidth="1"/>
  </cols>
  <sheetData>
    <row r="2" spans="1:10" x14ac:dyDescent="0.2">
      <c r="A2" s="65" t="s">
        <v>1256</v>
      </c>
      <c r="B2" s="65" t="s">
        <v>1257</v>
      </c>
      <c r="C2" s="65" t="s">
        <v>1258</v>
      </c>
      <c r="D2" s="65" t="s">
        <v>1259</v>
      </c>
      <c r="E2" s="65" t="s">
        <v>1260</v>
      </c>
      <c r="F2" s="65" t="s">
        <v>1261</v>
      </c>
      <c r="G2" s="65" t="s">
        <v>1262</v>
      </c>
      <c r="H2" s="65" t="s">
        <v>1263</v>
      </c>
      <c r="I2" s="65" t="s">
        <v>1264</v>
      </c>
      <c r="J2" s="65" t="s">
        <v>1264</v>
      </c>
    </row>
    <row r="3" spans="1:10" x14ac:dyDescent="0.2">
      <c r="A3" s="65">
        <v>157</v>
      </c>
      <c r="B3" s="65" t="s">
        <v>240</v>
      </c>
      <c r="C3" s="123">
        <v>45809</v>
      </c>
      <c r="D3" s="65" t="s">
        <v>344</v>
      </c>
      <c r="E3" s="124">
        <v>52729580</v>
      </c>
      <c r="F3" s="65">
        <v>25085.09</v>
      </c>
      <c r="G3" s="65">
        <v>-602141.53</v>
      </c>
      <c r="H3" s="65">
        <v>1419419.45</v>
      </c>
      <c r="I3" s="65">
        <v>842363.01</v>
      </c>
      <c r="J3" s="65">
        <v>1.5975151140000001E-2</v>
      </c>
    </row>
    <row r="4" spans="1:10" x14ac:dyDescent="0.2">
      <c r="A4" s="65">
        <v>1210</v>
      </c>
      <c r="B4" s="65" t="s">
        <v>245</v>
      </c>
      <c r="C4" s="123">
        <v>45809</v>
      </c>
      <c r="D4" s="72" t="s">
        <v>344</v>
      </c>
      <c r="E4" s="124">
        <v>51139800</v>
      </c>
      <c r="F4" s="65">
        <v>567998.35</v>
      </c>
      <c r="G4" s="65">
        <v>-491387.72</v>
      </c>
      <c r="H4" s="65">
        <v>3561164.26</v>
      </c>
      <c r="I4" s="65">
        <v>3637774.89</v>
      </c>
      <c r="J4" s="65">
        <v>7.1133928760000006E-2</v>
      </c>
    </row>
    <row r="5" spans="1:10" x14ac:dyDescent="0.2">
      <c r="A5" s="65">
        <v>2243</v>
      </c>
      <c r="B5" s="65" t="s">
        <v>279</v>
      </c>
      <c r="C5" s="123">
        <v>45809</v>
      </c>
      <c r="D5" s="72" t="s">
        <v>344</v>
      </c>
      <c r="E5" s="124">
        <v>37777470</v>
      </c>
      <c r="F5" s="65">
        <v>19699.419999999998</v>
      </c>
      <c r="G5" s="65">
        <v>335419.45</v>
      </c>
      <c r="H5" s="65">
        <v>676634.53</v>
      </c>
      <c r="I5" s="65">
        <v>1031753.4</v>
      </c>
      <c r="J5" s="65">
        <v>2.7311341919999999E-2</v>
      </c>
    </row>
    <row r="6" spans="1:10" x14ac:dyDescent="0.2">
      <c r="A6" s="65">
        <v>1561</v>
      </c>
      <c r="B6" s="65" t="s">
        <v>224</v>
      </c>
      <c r="C6" s="123">
        <v>45809</v>
      </c>
      <c r="D6" s="72" t="s">
        <v>344</v>
      </c>
      <c r="E6" s="124">
        <v>35559250</v>
      </c>
      <c r="F6" s="65">
        <v>1222.6300000000001</v>
      </c>
      <c r="G6" s="65">
        <v>360176.09</v>
      </c>
      <c r="H6" s="65">
        <v>1171434.98</v>
      </c>
      <c r="I6" s="65">
        <v>1532833.7</v>
      </c>
      <c r="J6" s="65">
        <v>4.3106468779999997E-2</v>
      </c>
    </row>
    <row r="7" spans="1:10" x14ac:dyDescent="0.2">
      <c r="A7" s="65">
        <v>2244</v>
      </c>
      <c r="B7" s="65" t="s">
        <v>280</v>
      </c>
      <c r="C7" s="123">
        <v>45809</v>
      </c>
      <c r="D7" s="72" t="s">
        <v>344</v>
      </c>
      <c r="E7" s="124">
        <v>30393090</v>
      </c>
      <c r="F7" s="65">
        <v>56630.7</v>
      </c>
      <c r="G7" s="65">
        <v>891046.09</v>
      </c>
      <c r="H7" s="65">
        <v>1662561.11</v>
      </c>
      <c r="I7" s="65">
        <v>2610237.9</v>
      </c>
      <c r="J7" s="65">
        <v>8.5882610159999997E-2</v>
      </c>
    </row>
    <row r="8" spans="1:10" x14ac:dyDescent="0.2">
      <c r="A8" s="65">
        <v>1510</v>
      </c>
      <c r="B8" s="65" t="s">
        <v>313</v>
      </c>
      <c r="C8" s="123">
        <v>45809</v>
      </c>
      <c r="D8" s="72" t="s">
        <v>344</v>
      </c>
      <c r="E8" s="124">
        <v>26997480</v>
      </c>
      <c r="F8" s="65">
        <v>26063.93</v>
      </c>
      <c r="G8" s="65">
        <v>559689.11</v>
      </c>
      <c r="H8" s="65">
        <v>1245884.6299999999</v>
      </c>
      <c r="I8" s="65">
        <v>1831637.67</v>
      </c>
      <c r="J8" s="65">
        <v>6.7844764399999993E-2</v>
      </c>
    </row>
    <row r="9" spans="1:10" x14ac:dyDescent="0.2">
      <c r="A9" s="65">
        <v>1074</v>
      </c>
      <c r="B9" s="65" t="s">
        <v>230</v>
      </c>
      <c r="C9" s="123">
        <v>45809</v>
      </c>
      <c r="D9" s="72" t="s">
        <v>344</v>
      </c>
      <c r="E9" s="124">
        <v>25731840</v>
      </c>
      <c r="F9" s="65">
        <v>0</v>
      </c>
      <c r="G9" s="65">
        <v>479329.19</v>
      </c>
      <c r="H9" s="65">
        <v>2245391.89</v>
      </c>
      <c r="I9" s="65">
        <v>2724721.08</v>
      </c>
      <c r="J9" s="65">
        <v>0.1058890884</v>
      </c>
    </row>
    <row r="10" spans="1:10" x14ac:dyDescent="0.2">
      <c r="A10" s="65">
        <v>1562</v>
      </c>
      <c r="B10" s="65" t="s">
        <v>314</v>
      </c>
      <c r="C10" s="123">
        <v>45809</v>
      </c>
      <c r="D10" s="72" t="s">
        <v>344</v>
      </c>
      <c r="E10" s="124">
        <v>23298670</v>
      </c>
      <c r="F10" s="65">
        <v>68377.490000000005</v>
      </c>
      <c r="G10" s="65">
        <v>194874.84</v>
      </c>
      <c r="H10" s="65">
        <v>2279533.91</v>
      </c>
      <c r="I10" s="65">
        <v>2542786.2400000002</v>
      </c>
      <c r="J10" s="65">
        <v>0.1091386865</v>
      </c>
    </row>
    <row r="11" spans="1:10" x14ac:dyDescent="0.2">
      <c r="A11" s="65">
        <v>155</v>
      </c>
      <c r="B11" s="65" t="s">
        <v>234</v>
      </c>
      <c r="C11" s="123">
        <v>45809</v>
      </c>
      <c r="D11" s="72" t="s">
        <v>344</v>
      </c>
      <c r="E11" s="124">
        <v>20542810</v>
      </c>
      <c r="F11" s="65">
        <v>7752.54</v>
      </c>
      <c r="G11" s="65">
        <v>914841.54</v>
      </c>
      <c r="H11" s="65">
        <v>292025.31</v>
      </c>
      <c r="I11" s="65">
        <v>1214619.3899999999</v>
      </c>
      <c r="J11" s="65">
        <v>5.9126253419999997E-2</v>
      </c>
    </row>
    <row r="12" spans="1:10" x14ac:dyDescent="0.2">
      <c r="A12" s="65">
        <v>231</v>
      </c>
      <c r="B12" s="65" t="s">
        <v>289</v>
      </c>
      <c r="C12" s="123">
        <v>45809</v>
      </c>
      <c r="D12" s="72" t="s">
        <v>344</v>
      </c>
      <c r="E12" s="124">
        <v>19301900</v>
      </c>
      <c r="F12" s="65">
        <v>62658.82</v>
      </c>
      <c r="G12" s="65">
        <v>451717.21</v>
      </c>
      <c r="H12" s="65">
        <v>1830671.47</v>
      </c>
      <c r="I12" s="65">
        <v>2345047.5</v>
      </c>
      <c r="J12" s="65">
        <v>0.1214930914</v>
      </c>
    </row>
    <row r="13" spans="1:10" x14ac:dyDescent="0.2">
      <c r="A13" s="65">
        <v>1601</v>
      </c>
      <c r="B13" s="65" t="s">
        <v>299</v>
      </c>
      <c r="C13" s="123">
        <v>45809</v>
      </c>
      <c r="D13" s="72" t="s">
        <v>344</v>
      </c>
      <c r="E13" s="124">
        <v>16891000</v>
      </c>
      <c r="F13" s="65">
        <v>63702.22</v>
      </c>
      <c r="G13" s="65">
        <v>187471.2</v>
      </c>
      <c r="H13" s="65">
        <v>2006500.36</v>
      </c>
      <c r="I13" s="65">
        <v>2257673.7799999998</v>
      </c>
      <c r="J13" s="65">
        <v>0.1336613451</v>
      </c>
    </row>
    <row r="14" spans="1:10" x14ac:dyDescent="0.2">
      <c r="A14" s="65">
        <v>235</v>
      </c>
      <c r="B14" s="65" t="s">
        <v>309</v>
      </c>
      <c r="C14" s="123">
        <v>45809</v>
      </c>
      <c r="D14" s="72" t="s">
        <v>344</v>
      </c>
      <c r="E14" s="124">
        <v>16810890</v>
      </c>
      <c r="F14" s="65">
        <v>43152.84</v>
      </c>
      <c r="G14" s="65">
        <v>276498.86</v>
      </c>
      <c r="H14" s="65">
        <v>1259239.98</v>
      </c>
      <c r="I14" s="65">
        <v>1578891.68</v>
      </c>
      <c r="J14" s="65">
        <v>9.3920766840000003E-2</v>
      </c>
    </row>
    <row r="15" spans="1:10" x14ac:dyDescent="0.2">
      <c r="A15" s="65">
        <v>2473</v>
      </c>
      <c r="B15" s="65" t="s">
        <v>292</v>
      </c>
      <c r="C15" s="123">
        <v>45809</v>
      </c>
      <c r="D15" s="72" t="s">
        <v>344</v>
      </c>
      <c r="E15" s="124">
        <v>14660620</v>
      </c>
      <c r="F15" s="65">
        <v>62942.17</v>
      </c>
      <c r="G15" s="65">
        <v>276300.73</v>
      </c>
      <c r="H15" s="65">
        <v>2986302.53</v>
      </c>
      <c r="I15" s="65">
        <v>3325545.43</v>
      </c>
      <c r="J15" s="65">
        <v>0.22683525190000001</v>
      </c>
    </row>
    <row r="16" spans="1:10" x14ac:dyDescent="0.2">
      <c r="A16" s="65">
        <v>233</v>
      </c>
      <c r="B16" s="65" t="s">
        <v>298</v>
      </c>
      <c r="C16" s="123">
        <v>45809</v>
      </c>
      <c r="D16" s="72" t="s">
        <v>344</v>
      </c>
      <c r="E16" s="124">
        <v>14569450</v>
      </c>
      <c r="F16" s="65">
        <v>2979.87</v>
      </c>
      <c r="G16" s="65">
        <v>215378.38</v>
      </c>
      <c r="H16" s="65">
        <v>554861.25</v>
      </c>
      <c r="I16" s="65">
        <v>773219.5</v>
      </c>
      <c r="J16" s="65">
        <v>5.307128958E-2</v>
      </c>
    </row>
    <row r="17" spans="1:10" x14ac:dyDescent="0.2">
      <c r="A17" s="65">
        <v>1671</v>
      </c>
      <c r="B17" s="65" t="s">
        <v>277</v>
      </c>
      <c r="C17" s="123">
        <v>45809</v>
      </c>
      <c r="D17" s="72" t="s">
        <v>344</v>
      </c>
      <c r="E17" s="124">
        <v>14502120</v>
      </c>
      <c r="F17" s="65">
        <v>27637.52</v>
      </c>
      <c r="G17" s="65">
        <v>-53134.77</v>
      </c>
      <c r="H17" s="65">
        <v>1417249.41</v>
      </c>
      <c r="I17" s="65">
        <v>1391752.16</v>
      </c>
      <c r="J17" s="65">
        <v>9.5968876270000003E-2</v>
      </c>
    </row>
    <row r="18" spans="1:10" x14ac:dyDescent="0.2">
      <c r="A18" s="65">
        <v>2247</v>
      </c>
      <c r="B18" s="65" t="s">
        <v>269</v>
      </c>
      <c r="C18" s="123">
        <v>45809</v>
      </c>
      <c r="D18" s="72" t="s">
        <v>344</v>
      </c>
      <c r="E18" s="124">
        <v>14468040</v>
      </c>
      <c r="F18" s="65">
        <v>41938.6</v>
      </c>
      <c r="G18" s="65">
        <v>193955.07</v>
      </c>
      <c r="H18" s="65">
        <v>1991742.55</v>
      </c>
      <c r="I18" s="65">
        <v>2227636.2200000002</v>
      </c>
      <c r="J18" s="65">
        <v>0.15396945410000001</v>
      </c>
    </row>
    <row r="19" spans="1:10" x14ac:dyDescent="0.2">
      <c r="A19" s="65">
        <v>1085</v>
      </c>
      <c r="B19" s="65" t="s">
        <v>310</v>
      </c>
      <c r="C19" s="123">
        <v>45809</v>
      </c>
      <c r="D19" s="72" t="s">
        <v>344</v>
      </c>
      <c r="E19" s="124">
        <v>14212380</v>
      </c>
      <c r="F19" s="65">
        <v>150400</v>
      </c>
      <c r="G19" s="65">
        <v>89599.29</v>
      </c>
      <c r="H19" s="65">
        <v>1484836.7</v>
      </c>
      <c r="I19" s="65">
        <v>1724835.99</v>
      </c>
      <c r="J19" s="65">
        <v>0.1213615165</v>
      </c>
    </row>
    <row r="20" spans="1:10" x14ac:dyDescent="0.2">
      <c r="A20" s="65">
        <v>1673</v>
      </c>
      <c r="B20" s="65" t="s">
        <v>281</v>
      </c>
      <c r="C20" s="123">
        <v>45809</v>
      </c>
      <c r="D20" s="72" t="s">
        <v>344</v>
      </c>
      <c r="E20" s="124">
        <v>12081290</v>
      </c>
      <c r="F20" s="65">
        <v>48206.39</v>
      </c>
      <c r="G20" s="65">
        <v>-388262.2</v>
      </c>
      <c r="H20" s="65">
        <v>1057388.97</v>
      </c>
      <c r="I20" s="65">
        <v>717333.16</v>
      </c>
      <c r="J20" s="65">
        <v>5.9375543510000003E-2</v>
      </c>
    </row>
    <row r="21" spans="1:10" x14ac:dyDescent="0.2">
      <c r="A21" s="65">
        <v>1803</v>
      </c>
      <c r="B21" s="65" t="s">
        <v>265</v>
      </c>
      <c r="C21" s="123">
        <v>45809</v>
      </c>
      <c r="D21" s="72" t="s">
        <v>344</v>
      </c>
      <c r="E21" s="124">
        <v>11859600</v>
      </c>
      <c r="F21" s="65">
        <v>68331.86</v>
      </c>
      <c r="G21" s="65">
        <v>54352.959999999999</v>
      </c>
      <c r="H21" s="65">
        <v>1192615.73</v>
      </c>
      <c r="I21" s="65">
        <v>1315300.55</v>
      </c>
      <c r="J21" s="65">
        <v>0.1109059791</v>
      </c>
    </row>
    <row r="22" spans="1:10" x14ac:dyDescent="0.2">
      <c r="A22" s="65">
        <v>2248</v>
      </c>
      <c r="B22" s="65" t="s">
        <v>316</v>
      </c>
      <c r="C22" s="123">
        <v>45809</v>
      </c>
      <c r="D22" s="72" t="s">
        <v>344</v>
      </c>
      <c r="E22" s="124">
        <v>10825290</v>
      </c>
      <c r="F22" s="65">
        <v>43695.56</v>
      </c>
      <c r="G22" s="65">
        <v>227389.48</v>
      </c>
      <c r="H22" s="65">
        <v>584986.02</v>
      </c>
      <c r="I22" s="65">
        <v>856071.06</v>
      </c>
      <c r="J22" s="65">
        <v>7.9080658349999999E-2</v>
      </c>
    </row>
    <row r="23" spans="1:10" x14ac:dyDescent="0.2">
      <c r="A23" s="65">
        <v>2050</v>
      </c>
      <c r="B23" s="65" t="s">
        <v>284</v>
      </c>
      <c r="C23" s="123">
        <v>45809</v>
      </c>
      <c r="D23" s="72" t="s">
        <v>344</v>
      </c>
      <c r="E23" s="124">
        <v>10203650</v>
      </c>
      <c r="F23" s="65">
        <v>47951.7</v>
      </c>
      <c r="G23" s="65">
        <v>307605.17</v>
      </c>
      <c r="H23" s="65">
        <v>2301031.35</v>
      </c>
      <c r="I23" s="65">
        <v>2656588.2200000002</v>
      </c>
      <c r="J23" s="65">
        <v>0.26035665860000001</v>
      </c>
    </row>
    <row r="24" spans="1:10" x14ac:dyDescent="0.2">
      <c r="A24" s="65">
        <v>175</v>
      </c>
      <c r="B24" s="65" t="s">
        <v>250</v>
      </c>
      <c r="C24" s="123">
        <v>45809</v>
      </c>
      <c r="D24" s="72" t="s">
        <v>344</v>
      </c>
      <c r="E24" s="124">
        <v>9692010</v>
      </c>
      <c r="F24" s="65">
        <v>26147.1</v>
      </c>
      <c r="G24" s="65">
        <v>80192.240000000005</v>
      </c>
      <c r="H24" s="65">
        <v>239402.53</v>
      </c>
      <c r="I24" s="65">
        <v>345741.87</v>
      </c>
      <c r="J24" s="65">
        <v>3.5672875899999998E-2</v>
      </c>
    </row>
    <row r="25" spans="1:10" x14ac:dyDescent="0.2">
      <c r="A25" s="65">
        <v>1807</v>
      </c>
      <c r="B25" s="65" t="s">
        <v>273</v>
      </c>
      <c r="C25" s="123">
        <v>45809</v>
      </c>
      <c r="D25" s="72" t="s">
        <v>344</v>
      </c>
      <c r="E25" s="124">
        <v>8034850</v>
      </c>
      <c r="F25" s="65">
        <v>53064.72</v>
      </c>
      <c r="G25" s="65">
        <v>252671.44</v>
      </c>
      <c r="H25" s="65">
        <v>2633556.83</v>
      </c>
      <c r="I25" s="65">
        <v>2939292.99</v>
      </c>
      <c r="J25" s="65">
        <v>0.36581802899999999</v>
      </c>
    </row>
    <row r="26" spans="1:10" x14ac:dyDescent="0.2">
      <c r="A26" s="65">
        <v>1800</v>
      </c>
      <c r="B26" s="65" t="s">
        <v>262</v>
      </c>
      <c r="C26" s="123">
        <v>45809</v>
      </c>
      <c r="D26" s="72" t="s">
        <v>344</v>
      </c>
      <c r="E26" s="124">
        <v>7797270</v>
      </c>
      <c r="F26" s="65">
        <v>38086.58</v>
      </c>
      <c r="G26" s="65">
        <v>-11245.18</v>
      </c>
      <c r="H26" s="65">
        <v>1920848.98</v>
      </c>
      <c r="I26" s="65">
        <v>1947690.38</v>
      </c>
      <c r="J26" s="65">
        <v>0.24979132179999999</v>
      </c>
    </row>
    <row r="27" spans="1:10" x14ac:dyDescent="0.2">
      <c r="A27" s="65">
        <v>1079</v>
      </c>
      <c r="B27" s="65" t="s">
        <v>267</v>
      </c>
      <c r="C27" s="123">
        <v>45809</v>
      </c>
      <c r="D27" s="72" t="s">
        <v>344</v>
      </c>
      <c r="E27" s="124">
        <v>6572710</v>
      </c>
      <c r="F27" s="65">
        <v>103037.27</v>
      </c>
      <c r="G27" s="65">
        <v>418399.38</v>
      </c>
      <c r="H27" s="65">
        <v>2347788.0299999998</v>
      </c>
      <c r="I27" s="65">
        <v>2869224.68</v>
      </c>
      <c r="J27" s="65">
        <v>0.4365360224</v>
      </c>
    </row>
    <row r="28" spans="1:10" x14ac:dyDescent="0.2">
      <c r="A28" s="65">
        <v>1812</v>
      </c>
      <c r="B28" s="65" t="s">
        <v>304</v>
      </c>
      <c r="C28" s="123">
        <v>45809</v>
      </c>
      <c r="D28" s="72" t="s">
        <v>344</v>
      </c>
      <c r="E28" s="124">
        <v>6080080</v>
      </c>
      <c r="F28" s="65">
        <v>34974.050000000003</v>
      </c>
      <c r="G28" s="65">
        <v>195864.35</v>
      </c>
      <c r="H28" s="65">
        <v>1491427.29</v>
      </c>
      <c r="I28" s="65">
        <v>1722265.69</v>
      </c>
      <c r="J28" s="65">
        <v>0.28326365609999998</v>
      </c>
    </row>
    <row r="29" spans="1:10" x14ac:dyDescent="0.2">
      <c r="A29" s="65">
        <v>1072</v>
      </c>
      <c r="B29" s="65" t="s">
        <v>258</v>
      </c>
      <c r="C29" s="123">
        <v>45809</v>
      </c>
      <c r="D29" s="72" t="s">
        <v>344</v>
      </c>
      <c r="E29" s="124">
        <v>5929170</v>
      </c>
      <c r="F29" s="65">
        <v>53552.95</v>
      </c>
      <c r="G29" s="65">
        <v>-16960.28</v>
      </c>
      <c r="H29" s="65">
        <v>640003.83999999997</v>
      </c>
      <c r="I29" s="65">
        <v>676596.51</v>
      </c>
      <c r="J29" s="65">
        <v>0.11411319120000001</v>
      </c>
    </row>
    <row r="30" spans="1:10" x14ac:dyDescent="0.2">
      <c r="A30" s="65">
        <v>1868</v>
      </c>
      <c r="B30" s="65" t="s">
        <v>1265</v>
      </c>
      <c r="C30" s="123">
        <v>45809</v>
      </c>
      <c r="D30" s="72" t="s">
        <v>344</v>
      </c>
      <c r="E30" s="124">
        <v>5823920</v>
      </c>
      <c r="F30" s="65">
        <v>18998.36</v>
      </c>
      <c r="G30" s="65">
        <v>159021.98000000001</v>
      </c>
      <c r="H30" s="65">
        <v>984153.06</v>
      </c>
      <c r="I30" s="65">
        <v>1162173.3999999999</v>
      </c>
      <c r="J30" s="65">
        <v>0.19955174519999999</v>
      </c>
    </row>
    <row r="31" spans="1:10" x14ac:dyDescent="0.2">
      <c r="A31" s="65">
        <v>2052</v>
      </c>
      <c r="B31" s="65" t="s">
        <v>251</v>
      </c>
      <c r="C31" s="123">
        <v>45809</v>
      </c>
      <c r="D31" s="72" t="s">
        <v>344</v>
      </c>
      <c r="E31" s="124">
        <v>5761210</v>
      </c>
      <c r="F31" s="65">
        <v>76018.67</v>
      </c>
      <c r="G31" s="65">
        <v>168260.14</v>
      </c>
      <c r="H31" s="65">
        <v>1612473.24</v>
      </c>
      <c r="I31" s="65">
        <v>1856752.05</v>
      </c>
      <c r="J31" s="65">
        <v>0.32228508420000002</v>
      </c>
    </row>
    <row r="32" spans="1:10" x14ac:dyDescent="0.2">
      <c r="A32" s="65">
        <v>1867</v>
      </c>
      <c r="B32" s="65" t="s">
        <v>294</v>
      </c>
      <c r="C32" s="123">
        <v>45809</v>
      </c>
      <c r="D32" s="72" t="s">
        <v>344</v>
      </c>
      <c r="E32" s="124">
        <v>5587750</v>
      </c>
      <c r="F32" s="65">
        <v>55680.52</v>
      </c>
      <c r="G32" s="65">
        <v>202021.99</v>
      </c>
      <c r="H32" s="65">
        <v>770240.46</v>
      </c>
      <c r="I32" s="65">
        <v>1027942.97</v>
      </c>
      <c r="J32" s="65">
        <v>0.18396366519999999</v>
      </c>
    </row>
    <row r="33" spans="1:10" x14ac:dyDescent="0.2">
      <c r="A33" s="65">
        <v>883</v>
      </c>
      <c r="B33" s="65" t="s">
        <v>297</v>
      </c>
      <c r="C33" s="123">
        <v>45809</v>
      </c>
      <c r="D33" s="72" t="s">
        <v>344</v>
      </c>
      <c r="E33" s="124">
        <v>5313830</v>
      </c>
      <c r="F33" s="65">
        <v>87138.559999999998</v>
      </c>
      <c r="G33" s="65">
        <v>-2693.24</v>
      </c>
      <c r="H33" s="65">
        <v>1883279.6</v>
      </c>
      <c r="I33" s="65">
        <v>1967724.92</v>
      </c>
      <c r="J33" s="65">
        <v>0.3703025727</v>
      </c>
    </row>
    <row r="34" spans="1:10" x14ac:dyDescent="0.2">
      <c r="A34" s="65">
        <v>2606</v>
      </c>
      <c r="B34" s="65" t="s">
        <v>255</v>
      </c>
      <c r="C34" s="123">
        <v>45809</v>
      </c>
      <c r="D34" s="72" t="s">
        <v>344</v>
      </c>
      <c r="E34" s="124">
        <v>5113600</v>
      </c>
      <c r="F34" s="65">
        <v>7000</v>
      </c>
      <c r="G34" s="65">
        <v>24708.2</v>
      </c>
      <c r="H34" s="65">
        <v>449596.27</v>
      </c>
      <c r="I34" s="65">
        <v>481304.47</v>
      </c>
      <c r="J34" s="65">
        <v>9.4122432340000006E-2</v>
      </c>
    </row>
    <row r="35" spans="1:10" x14ac:dyDescent="0.2">
      <c r="A35" s="65">
        <v>1806</v>
      </c>
      <c r="B35" s="65" t="s">
        <v>285</v>
      </c>
      <c r="C35" s="123">
        <v>45809</v>
      </c>
      <c r="D35" s="72" t="s">
        <v>344</v>
      </c>
      <c r="E35" s="124">
        <v>5025020</v>
      </c>
      <c r="F35" s="65">
        <v>80057.5</v>
      </c>
      <c r="G35" s="65">
        <v>212183.23</v>
      </c>
      <c r="H35" s="65">
        <v>1706769.04</v>
      </c>
      <c r="I35" s="65">
        <v>1999009.77</v>
      </c>
      <c r="J35" s="65">
        <v>0.39781130619999999</v>
      </c>
    </row>
    <row r="36" spans="1:10" x14ac:dyDescent="0.2">
      <c r="A36" s="65">
        <v>1082</v>
      </c>
      <c r="B36" s="65" t="s">
        <v>1239</v>
      </c>
      <c r="C36" s="123">
        <v>45809</v>
      </c>
      <c r="D36" s="72" t="s">
        <v>344</v>
      </c>
      <c r="E36" s="124">
        <v>4772040</v>
      </c>
      <c r="F36" s="65">
        <v>0</v>
      </c>
      <c r="G36" s="65">
        <v>-5263.43</v>
      </c>
      <c r="H36" s="65">
        <v>273937.34999999998</v>
      </c>
      <c r="I36" s="65">
        <v>268673.91999999998</v>
      </c>
      <c r="J36" s="65">
        <v>5.6301690680000002E-2</v>
      </c>
    </row>
    <row r="37" spans="1:10" x14ac:dyDescent="0.2">
      <c r="A37" s="65">
        <v>1623</v>
      </c>
      <c r="B37" s="65" t="s">
        <v>293</v>
      </c>
      <c r="C37" s="123">
        <v>45809</v>
      </c>
      <c r="D37" s="72" t="s">
        <v>344</v>
      </c>
      <c r="E37" s="124">
        <v>4437080</v>
      </c>
      <c r="F37" s="65">
        <v>26313.14</v>
      </c>
      <c r="G37" s="65">
        <v>52864.97</v>
      </c>
      <c r="H37" s="65">
        <v>580297.63</v>
      </c>
      <c r="I37" s="65">
        <v>659475.74</v>
      </c>
      <c r="J37" s="65">
        <v>0.1486283186</v>
      </c>
    </row>
    <row r="38" spans="1:10" x14ac:dyDescent="0.2">
      <c r="A38" s="65">
        <v>754</v>
      </c>
      <c r="B38" s="65" t="s">
        <v>252</v>
      </c>
      <c r="C38" s="123">
        <v>45809</v>
      </c>
      <c r="D38" s="72" t="s">
        <v>344</v>
      </c>
      <c r="E38" s="124">
        <v>4422700</v>
      </c>
      <c r="F38" s="65">
        <v>35548.480000000003</v>
      </c>
      <c r="G38" s="65">
        <v>-41637.019999999997</v>
      </c>
      <c r="H38" s="65">
        <v>325034.38</v>
      </c>
      <c r="I38" s="65">
        <v>318945.84000000003</v>
      </c>
      <c r="J38" s="65">
        <v>7.2115639770000003E-2</v>
      </c>
    </row>
    <row r="39" spans="1:10" x14ac:dyDescent="0.2">
      <c r="A39" s="65">
        <v>2600</v>
      </c>
      <c r="B39" s="65" t="s">
        <v>1266</v>
      </c>
      <c r="C39" s="123">
        <v>45809</v>
      </c>
      <c r="D39" s="72" t="s">
        <v>344</v>
      </c>
      <c r="E39" s="124">
        <v>4419100</v>
      </c>
      <c r="F39" s="65">
        <v>97002.83</v>
      </c>
      <c r="G39" s="65">
        <v>335548.73</v>
      </c>
      <c r="H39" s="65">
        <v>993645.81</v>
      </c>
      <c r="I39" s="65">
        <v>1426197.37</v>
      </c>
      <c r="J39" s="65">
        <v>0.3227348035</v>
      </c>
    </row>
    <row r="40" spans="1:10" x14ac:dyDescent="0.2">
      <c r="A40" s="65">
        <v>1071</v>
      </c>
      <c r="B40" s="65" t="s">
        <v>257</v>
      </c>
      <c r="C40" s="123">
        <v>45809</v>
      </c>
      <c r="D40" s="72" t="s">
        <v>344</v>
      </c>
      <c r="E40" s="124">
        <v>3993980</v>
      </c>
      <c r="F40" s="65">
        <v>0</v>
      </c>
      <c r="G40" s="65">
        <v>271987.84999999998</v>
      </c>
      <c r="H40" s="65">
        <v>1919991.94</v>
      </c>
      <c r="I40" s="65">
        <v>2191979.79</v>
      </c>
      <c r="J40" s="65">
        <v>0.54882092299999996</v>
      </c>
    </row>
    <row r="41" spans="1:10" x14ac:dyDescent="0.2">
      <c r="A41" s="65">
        <v>1084</v>
      </c>
      <c r="B41" s="65" t="s">
        <v>1237</v>
      </c>
      <c r="C41" s="123">
        <v>45809</v>
      </c>
      <c r="D41" s="72" t="s">
        <v>344</v>
      </c>
      <c r="E41" s="124">
        <v>3473040</v>
      </c>
      <c r="F41" s="65">
        <v>72799.899999999994</v>
      </c>
      <c r="G41" s="65">
        <v>260245.77</v>
      </c>
      <c r="H41" s="65">
        <v>2611695.83</v>
      </c>
      <c r="I41" s="65">
        <v>2944741.5</v>
      </c>
      <c r="J41" s="65">
        <v>0.84788585790000004</v>
      </c>
    </row>
    <row r="42" spans="1:10" x14ac:dyDescent="0.2">
      <c r="A42" s="65">
        <v>2001</v>
      </c>
      <c r="B42" s="65" t="s">
        <v>296</v>
      </c>
      <c r="C42" s="123">
        <v>45809</v>
      </c>
      <c r="D42" s="72" t="s">
        <v>344</v>
      </c>
      <c r="E42" s="124">
        <v>3417110</v>
      </c>
      <c r="F42" s="65">
        <v>19215.759999999998</v>
      </c>
      <c r="G42" s="65">
        <v>42990.39</v>
      </c>
      <c r="H42" s="65">
        <v>556222.69999999995</v>
      </c>
      <c r="I42" s="65">
        <v>618428.85</v>
      </c>
      <c r="J42" s="65">
        <v>0.18098008260000001</v>
      </c>
    </row>
    <row r="43" spans="1:10" x14ac:dyDescent="0.2">
      <c r="A43" s="65">
        <v>1804</v>
      </c>
      <c r="B43" s="65" t="s">
        <v>270</v>
      </c>
      <c r="C43" s="123">
        <v>45809</v>
      </c>
      <c r="D43" s="72" t="s">
        <v>344</v>
      </c>
      <c r="E43" s="124">
        <v>3160240</v>
      </c>
      <c r="F43" s="65">
        <v>80623.31</v>
      </c>
      <c r="G43" s="65">
        <v>27699.77</v>
      </c>
      <c r="H43" s="65">
        <v>690063.7</v>
      </c>
      <c r="I43" s="65">
        <v>798386.78</v>
      </c>
      <c r="J43" s="65">
        <v>0.25263485679999997</v>
      </c>
    </row>
    <row r="44" spans="1:10" x14ac:dyDescent="0.2">
      <c r="A44" s="65">
        <v>1156</v>
      </c>
      <c r="B44" s="65" t="s">
        <v>305</v>
      </c>
      <c r="C44" s="123">
        <v>45809</v>
      </c>
      <c r="D44" s="72" t="s">
        <v>344</v>
      </c>
      <c r="E44" s="124">
        <v>2912990</v>
      </c>
      <c r="F44" s="65">
        <v>50026.84</v>
      </c>
      <c r="G44" s="65">
        <v>178174.66</v>
      </c>
      <c r="H44" s="65">
        <v>628149.46</v>
      </c>
      <c r="I44" s="65">
        <v>856350.96</v>
      </c>
      <c r="J44" s="65">
        <v>0.29397662200000002</v>
      </c>
    </row>
    <row r="45" spans="1:10" x14ac:dyDescent="0.2">
      <c r="A45" s="65">
        <v>1813</v>
      </c>
      <c r="B45" s="65" t="s">
        <v>1267</v>
      </c>
      <c r="C45" s="123">
        <v>45809</v>
      </c>
      <c r="D45" s="72" t="s">
        <v>344</v>
      </c>
      <c r="E45" s="124">
        <v>2673740</v>
      </c>
      <c r="F45" s="65">
        <v>14008.96</v>
      </c>
      <c r="G45" s="65">
        <v>14667.82</v>
      </c>
      <c r="H45" s="65">
        <v>216277.26</v>
      </c>
      <c r="I45" s="65">
        <v>244954.04</v>
      </c>
      <c r="J45" s="65">
        <v>9.1614756859999993E-2</v>
      </c>
    </row>
    <row r="46" spans="1:10" x14ac:dyDescent="0.2">
      <c r="A46" s="65">
        <v>1797</v>
      </c>
      <c r="B46" s="65" t="s">
        <v>256</v>
      </c>
      <c r="C46" s="123">
        <v>45809</v>
      </c>
      <c r="D46" s="72" t="s">
        <v>344</v>
      </c>
      <c r="E46" s="124">
        <v>2419120</v>
      </c>
      <c r="F46" s="65">
        <v>38438.01</v>
      </c>
      <c r="G46" s="65">
        <v>11775.96</v>
      </c>
      <c r="H46" s="65">
        <v>299888.96000000002</v>
      </c>
      <c r="I46" s="65">
        <v>350102.93</v>
      </c>
      <c r="J46" s="65">
        <v>0.14472325890000001</v>
      </c>
    </row>
    <row r="47" spans="1:10" x14ac:dyDescent="0.2">
      <c r="A47" s="65">
        <v>1819</v>
      </c>
      <c r="B47" s="65" t="s">
        <v>233</v>
      </c>
      <c r="C47" s="123">
        <v>45809</v>
      </c>
      <c r="D47" s="72" t="s">
        <v>344</v>
      </c>
      <c r="E47" s="124">
        <v>2263540</v>
      </c>
      <c r="F47" s="65">
        <v>7946.93</v>
      </c>
      <c r="G47" s="65">
        <v>-11587.91</v>
      </c>
      <c r="H47" s="65">
        <v>402016.06</v>
      </c>
      <c r="I47" s="65">
        <v>398375.08</v>
      </c>
      <c r="J47" s="65">
        <v>0.17599648339999999</v>
      </c>
    </row>
    <row r="48" spans="1:10" x14ac:dyDescent="0.2">
      <c r="A48" s="65">
        <v>1081</v>
      </c>
      <c r="B48" s="65" t="s">
        <v>302</v>
      </c>
      <c r="C48" s="123">
        <v>45809</v>
      </c>
      <c r="D48" s="72" t="s">
        <v>344</v>
      </c>
      <c r="E48" s="124">
        <v>1429260</v>
      </c>
      <c r="F48" s="65">
        <v>38324.58</v>
      </c>
      <c r="G48" s="65">
        <v>-14502.95</v>
      </c>
      <c r="H48" s="65">
        <v>514019.61</v>
      </c>
      <c r="I48" s="65">
        <v>537841.24</v>
      </c>
      <c r="J48" s="65">
        <v>0.37630748780000001</v>
      </c>
    </row>
    <row r="49" spans="1:10" x14ac:dyDescent="0.2">
      <c r="A49" s="65">
        <v>1793</v>
      </c>
      <c r="B49" s="65" t="s">
        <v>236</v>
      </c>
      <c r="C49" s="123">
        <v>45809</v>
      </c>
      <c r="D49" s="72" t="s">
        <v>344</v>
      </c>
      <c r="E49" s="124">
        <v>1276870</v>
      </c>
      <c r="F49" s="65">
        <v>69362.19</v>
      </c>
      <c r="G49" s="65">
        <v>45912.45</v>
      </c>
      <c r="H49" s="65">
        <v>414143.4</v>
      </c>
      <c r="I49" s="65">
        <v>529418.04</v>
      </c>
      <c r="J49" s="65">
        <v>0.41462172339999998</v>
      </c>
    </row>
    <row r="50" spans="1:10" x14ac:dyDescent="0.2">
      <c r="A50" s="65">
        <v>1795</v>
      </c>
      <c r="B50" s="65" t="s">
        <v>247</v>
      </c>
      <c r="C50" s="123">
        <v>45809</v>
      </c>
      <c r="D50" s="72" t="s">
        <v>344</v>
      </c>
      <c r="E50" s="124">
        <v>1066000</v>
      </c>
      <c r="F50" s="65">
        <v>110246.13</v>
      </c>
      <c r="G50" s="65">
        <v>21883.94</v>
      </c>
      <c r="H50" s="65">
        <v>574692.67000000004</v>
      </c>
      <c r="I50" s="65">
        <v>706822.74</v>
      </c>
      <c r="J50" s="65">
        <v>0.66306073170000002</v>
      </c>
    </row>
    <row r="51" spans="1:10" x14ac:dyDescent="0.2">
      <c r="A51" s="65">
        <v>1796</v>
      </c>
      <c r="B51" s="65" t="s">
        <v>254</v>
      </c>
      <c r="C51" s="123">
        <v>45809</v>
      </c>
      <c r="D51" s="72" t="s">
        <v>344</v>
      </c>
      <c r="E51" s="124">
        <v>886950</v>
      </c>
      <c r="F51" s="65">
        <v>2000</v>
      </c>
      <c r="G51" s="65">
        <v>39355.21</v>
      </c>
      <c r="H51" s="65">
        <v>426201.09</v>
      </c>
      <c r="I51" s="65">
        <v>467556.3</v>
      </c>
      <c r="J51" s="65">
        <v>0.52715068490000005</v>
      </c>
    </row>
    <row r="52" spans="1:10" x14ac:dyDescent="0.2">
      <c r="A52" s="65">
        <v>1816</v>
      </c>
      <c r="B52" s="65" t="s">
        <v>283</v>
      </c>
      <c r="C52" s="123">
        <v>45809</v>
      </c>
      <c r="D52" s="72" t="s">
        <v>344</v>
      </c>
      <c r="E52" s="124">
        <v>788870</v>
      </c>
      <c r="F52" s="65">
        <v>23096.3</v>
      </c>
      <c r="G52" s="65">
        <v>8205.85</v>
      </c>
      <c r="H52" s="65">
        <v>647832.75</v>
      </c>
      <c r="I52" s="65">
        <v>679134.9</v>
      </c>
      <c r="J52" s="65">
        <v>0.86089583839999995</v>
      </c>
    </row>
    <row r="53" spans="1:10" x14ac:dyDescent="0.2">
      <c r="A53" s="65">
        <v>1805</v>
      </c>
      <c r="B53" s="65" t="s">
        <v>271</v>
      </c>
      <c r="C53" s="123">
        <v>45809</v>
      </c>
      <c r="D53" s="72" t="s">
        <v>344</v>
      </c>
      <c r="E53" s="124">
        <v>348190</v>
      </c>
      <c r="F53" s="65">
        <v>30401.71</v>
      </c>
      <c r="G53" s="65">
        <v>65443.3</v>
      </c>
      <c r="H53" s="65">
        <v>129820.67</v>
      </c>
      <c r="I53" s="65">
        <v>225665.68</v>
      </c>
      <c r="J53" s="65">
        <v>0.64811074410000002</v>
      </c>
    </row>
    <row r="54" spans="1:10" x14ac:dyDescent="0.2">
      <c r="A54" s="65">
        <v>1559</v>
      </c>
      <c r="B54" s="65" t="s">
        <v>1268</v>
      </c>
      <c r="C54" s="123">
        <v>45809</v>
      </c>
      <c r="D54" s="72" t="s">
        <v>344</v>
      </c>
      <c r="E54" s="124">
        <v>155560</v>
      </c>
      <c r="F54" s="65">
        <v>0</v>
      </c>
      <c r="G54" s="65">
        <v>-53924.19</v>
      </c>
      <c r="H54" s="65">
        <v>-119736.92</v>
      </c>
      <c r="I54" s="65">
        <v>-173661.11</v>
      </c>
      <c r="J54" s="65">
        <v>-1.1163609539999999</v>
      </c>
    </row>
    <row r="55" spans="1:10" x14ac:dyDescent="0.2">
      <c r="A55" s="65">
        <v>1560</v>
      </c>
      <c r="B55" s="65" t="s">
        <v>1269</v>
      </c>
      <c r="C55" s="123">
        <v>45809</v>
      </c>
      <c r="D55" s="72" t="s">
        <v>344</v>
      </c>
      <c r="E55" s="124">
        <v>132170</v>
      </c>
      <c r="F55" s="65">
        <v>0</v>
      </c>
      <c r="G55" s="65">
        <v>-99240.35</v>
      </c>
      <c r="H55" s="65">
        <v>-144335.34</v>
      </c>
      <c r="I55" s="65">
        <v>-243575.69</v>
      </c>
      <c r="J55" s="65">
        <v>-1.8428969509999999</v>
      </c>
    </row>
    <row r="56" spans="1:10" x14ac:dyDescent="0.2">
      <c r="A56" s="65">
        <v>2296</v>
      </c>
      <c r="B56" s="65" t="s">
        <v>1270</v>
      </c>
      <c r="C56" s="123">
        <v>45809</v>
      </c>
      <c r="D56" s="72" t="s">
        <v>344</v>
      </c>
      <c r="E56" s="124">
        <v>124200</v>
      </c>
      <c r="F56" s="65">
        <v>0</v>
      </c>
      <c r="G56" s="65">
        <v>-39175.29</v>
      </c>
      <c r="H56" s="65">
        <v>-97117.4</v>
      </c>
      <c r="I56" s="65">
        <v>-136292.69</v>
      </c>
      <c r="J56" s="65">
        <v>-1.0973646539999999</v>
      </c>
    </row>
    <row r="57" spans="1:10" x14ac:dyDescent="0.2">
      <c r="A57" s="65">
        <v>2295</v>
      </c>
      <c r="B57" s="65" t="s">
        <v>1271</v>
      </c>
      <c r="C57" s="123">
        <v>45809</v>
      </c>
      <c r="D57" s="72" t="s">
        <v>344</v>
      </c>
      <c r="E57" s="124">
        <v>97860</v>
      </c>
      <c r="F57" s="65">
        <v>0</v>
      </c>
      <c r="G57" s="65">
        <v>-39578.86</v>
      </c>
      <c r="H57" s="65">
        <v>-70322.14</v>
      </c>
      <c r="I57" s="65">
        <v>-109901</v>
      </c>
      <c r="J57" s="65">
        <v>-1.123043123</v>
      </c>
    </row>
    <row r="58" spans="1:10" x14ac:dyDescent="0.2">
      <c r="A58" s="65">
        <v>1633</v>
      </c>
      <c r="B58" s="65" t="s">
        <v>1272</v>
      </c>
      <c r="C58" s="123">
        <v>45809</v>
      </c>
      <c r="D58" s="72" t="s">
        <v>344</v>
      </c>
      <c r="E58" s="124">
        <v>43180</v>
      </c>
      <c r="F58" s="65">
        <v>0</v>
      </c>
      <c r="G58" s="65">
        <v>-10580</v>
      </c>
      <c r="H58" s="65">
        <v>-47344.14</v>
      </c>
      <c r="I58" s="65">
        <v>-57924.14</v>
      </c>
      <c r="J58" s="65">
        <v>-1.341457619</v>
      </c>
    </row>
    <row r="59" spans="1:10" x14ac:dyDescent="0.2">
      <c r="A59" s="65">
        <v>2291</v>
      </c>
      <c r="B59" s="65" t="s">
        <v>1273</v>
      </c>
      <c r="C59" s="123">
        <v>45809</v>
      </c>
      <c r="D59" s="72" t="s">
        <v>344</v>
      </c>
      <c r="E59" s="124">
        <v>37240</v>
      </c>
      <c r="F59" s="65">
        <v>0</v>
      </c>
      <c r="G59" s="65">
        <v>-7016.44</v>
      </c>
      <c r="H59" s="65">
        <v>-36438.19</v>
      </c>
      <c r="I59" s="65">
        <v>-43454.63</v>
      </c>
      <c r="J59" s="65">
        <v>-1.166880505</v>
      </c>
    </row>
    <row r="60" spans="1:10" x14ac:dyDescent="0.2">
      <c r="A60" s="65">
        <v>2293</v>
      </c>
      <c r="B60" s="65" t="s">
        <v>1274</v>
      </c>
      <c r="C60" s="123">
        <v>45809</v>
      </c>
      <c r="D60" s="72" t="s">
        <v>344</v>
      </c>
      <c r="E60" s="124">
        <v>23840</v>
      </c>
      <c r="F60" s="65">
        <v>0</v>
      </c>
      <c r="G60" s="65">
        <v>-6042.86</v>
      </c>
      <c r="H60" s="65">
        <v>-21492.86</v>
      </c>
      <c r="I60" s="65">
        <v>-27535.72</v>
      </c>
      <c r="J60" s="65">
        <v>-1.155021812</v>
      </c>
    </row>
    <row r="61" spans="1:10" x14ac:dyDescent="0.2">
      <c r="A61" s="65">
        <v>2292</v>
      </c>
      <c r="B61" s="65" t="s">
        <v>1275</v>
      </c>
      <c r="C61" s="123">
        <v>45809</v>
      </c>
      <c r="D61" s="72" t="s">
        <v>344</v>
      </c>
      <c r="E61" s="124">
        <v>23600</v>
      </c>
      <c r="F61" s="65">
        <v>0</v>
      </c>
      <c r="G61" s="65">
        <v>-1950</v>
      </c>
      <c r="H61" s="65">
        <v>-18874.599999999999</v>
      </c>
      <c r="I61" s="65">
        <v>-20824.599999999999</v>
      </c>
      <c r="J61" s="65">
        <v>-0.88239830509999995</v>
      </c>
    </row>
    <row r="62" spans="1:10" x14ac:dyDescent="0.2">
      <c r="A62" s="65">
        <v>238</v>
      </c>
      <c r="B62" s="65" t="s">
        <v>315</v>
      </c>
      <c r="C62" s="123">
        <v>45809</v>
      </c>
      <c r="D62" s="72" t="s">
        <v>344</v>
      </c>
      <c r="E62" s="124">
        <v>21500</v>
      </c>
      <c r="F62" s="65">
        <v>0</v>
      </c>
      <c r="G62" s="65">
        <v>-39302.61</v>
      </c>
      <c r="H62" s="65">
        <v>21630.04</v>
      </c>
      <c r="I62" s="65">
        <v>-17672.57</v>
      </c>
      <c r="J62" s="65">
        <v>-0.82198000000000004</v>
      </c>
    </row>
    <row r="63" spans="1:10" x14ac:dyDescent="0.2">
      <c r="A63" s="65">
        <v>1632</v>
      </c>
      <c r="B63" s="65" t="s">
        <v>1276</v>
      </c>
      <c r="C63" s="123">
        <v>45809</v>
      </c>
      <c r="D63" s="72" t="s">
        <v>344</v>
      </c>
      <c r="E63" s="124">
        <v>17800</v>
      </c>
      <c r="F63" s="65">
        <v>0</v>
      </c>
      <c r="G63" s="65">
        <v>-30450</v>
      </c>
      <c r="H63" s="65">
        <v>10450</v>
      </c>
      <c r="I63" s="65">
        <v>-20000</v>
      </c>
      <c r="J63" s="65">
        <v>-1.123595506</v>
      </c>
    </row>
    <row r="64" spans="1:10" x14ac:dyDescent="0.2">
      <c r="A64" s="65">
        <v>2723</v>
      </c>
      <c r="B64" s="65" t="s">
        <v>1277</v>
      </c>
      <c r="C64" s="123">
        <v>45809</v>
      </c>
      <c r="D64" s="72" t="s">
        <v>344</v>
      </c>
      <c r="E64" s="124">
        <v>8900</v>
      </c>
      <c r="F64" s="65">
        <v>0</v>
      </c>
      <c r="G64" s="65">
        <v>-890</v>
      </c>
      <c r="H64" s="65">
        <v>-8130</v>
      </c>
      <c r="I64" s="65">
        <v>-9020</v>
      </c>
      <c r="J64" s="65">
        <v>-1.013483146</v>
      </c>
    </row>
    <row r="65" spans="1:10" x14ac:dyDescent="0.2">
      <c r="A65" s="65">
        <v>2724</v>
      </c>
      <c r="B65" s="65" t="s">
        <v>1278</v>
      </c>
      <c r="C65" s="123">
        <v>45809</v>
      </c>
      <c r="D65" s="72" t="s">
        <v>344</v>
      </c>
      <c r="E65" s="124">
        <v>5500</v>
      </c>
      <c r="F65" s="65">
        <v>0</v>
      </c>
      <c r="G65" s="65">
        <v>0</v>
      </c>
      <c r="H65" s="65">
        <v>-5500</v>
      </c>
      <c r="I65" s="65">
        <v>-5500</v>
      </c>
      <c r="J65" s="65">
        <v>-1</v>
      </c>
    </row>
    <row r="66" spans="1:10" x14ac:dyDescent="0.2">
      <c r="A66" s="65">
        <v>966</v>
      </c>
      <c r="B66" s="65" t="s">
        <v>1279</v>
      </c>
      <c r="C66" s="123">
        <v>45809</v>
      </c>
      <c r="D66" s="65" t="s">
        <v>344</v>
      </c>
      <c r="E66" s="124">
        <v>4500</v>
      </c>
      <c r="F66" s="65">
        <v>0</v>
      </c>
      <c r="G66" s="65">
        <v>-12695.9</v>
      </c>
      <c r="H66" s="65">
        <v>8311.52</v>
      </c>
      <c r="I66" s="65">
        <v>-4384.38</v>
      </c>
      <c r="J66" s="65">
        <v>-0.97430666669999999</v>
      </c>
    </row>
    <row r="67" spans="1:10" x14ac:dyDescent="0.2">
      <c r="A67" s="65">
        <v>2725</v>
      </c>
      <c r="B67" s="65" t="s">
        <v>1280</v>
      </c>
      <c r="C67" s="123">
        <v>45809</v>
      </c>
      <c r="D67" s="65" t="s">
        <v>344</v>
      </c>
      <c r="E67" s="124">
        <v>3980</v>
      </c>
      <c r="F67" s="65">
        <v>0</v>
      </c>
      <c r="G67" s="65">
        <v>0</v>
      </c>
      <c r="H67" s="65">
        <v>-3980</v>
      </c>
      <c r="I67" s="65">
        <v>-3980</v>
      </c>
      <c r="J67" s="65">
        <v>-1</v>
      </c>
    </row>
    <row r="68" spans="1:10" x14ac:dyDescent="0.2">
      <c r="A68" s="65">
        <v>2726</v>
      </c>
      <c r="B68" s="65" t="s">
        <v>1281</v>
      </c>
      <c r="C68" s="123">
        <v>45809</v>
      </c>
      <c r="D68" s="65" t="s">
        <v>344</v>
      </c>
      <c r="E68" s="124">
        <v>2700</v>
      </c>
      <c r="F68" s="65">
        <v>0</v>
      </c>
      <c r="G68" s="65">
        <v>-5250</v>
      </c>
      <c r="H68" s="65">
        <v>-10500</v>
      </c>
      <c r="I68" s="65">
        <v>-15750</v>
      </c>
      <c r="J68" s="65">
        <v>-5.8333333329999997</v>
      </c>
    </row>
    <row r="69" spans="1:10" x14ac:dyDescent="0.2">
      <c r="A69" s="65">
        <v>2722</v>
      </c>
      <c r="B69" s="65" t="s">
        <v>1282</v>
      </c>
      <c r="C69" s="123">
        <v>45809</v>
      </c>
      <c r="D69" s="65" t="s">
        <v>344</v>
      </c>
      <c r="E69" s="124">
        <v>1200</v>
      </c>
      <c r="F69" s="65">
        <v>0</v>
      </c>
      <c r="G69" s="65">
        <v>0</v>
      </c>
      <c r="H69" s="65">
        <v>-1200</v>
      </c>
      <c r="I69" s="65">
        <v>-1200</v>
      </c>
      <c r="J69" s="65">
        <v>-1</v>
      </c>
    </row>
    <row r="70" spans="1:10" x14ac:dyDescent="0.2">
      <c r="A70" s="65">
        <v>1079</v>
      </c>
      <c r="B70" s="65" t="s">
        <v>267</v>
      </c>
      <c r="C70" s="123">
        <v>45809</v>
      </c>
      <c r="D70" s="65" t="s">
        <v>1283</v>
      </c>
      <c r="E70" s="124">
        <v>0</v>
      </c>
      <c r="F70" s="65">
        <v>93499.199999999997</v>
      </c>
      <c r="G70" s="65">
        <v>0</v>
      </c>
      <c r="H70" s="65">
        <v>120590.39999999999</v>
      </c>
      <c r="I70" s="65">
        <v>214089.60000000001</v>
      </c>
      <c r="J70" s="65" t="s">
        <v>1284</v>
      </c>
    </row>
    <row r="71" spans="1:10" x14ac:dyDescent="0.2">
      <c r="A71" s="65">
        <v>2242</v>
      </c>
      <c r="B71" s="65" t="s">
        <v>308</v>
      </c>
      <c r="C71" s="123">
        <v>45809</v>
      </c>
      <c r="D71" s="65" t="s">
        <v>344</v>
      </c>
      <c r="E71" s="124">
        <v>0</v>
      </c>
      <c r="F71" s="65">
        <v>65641.48</v>
      </c>
      <c r="G71" s="65">
        <v>-159977.65</v>
      </c>
      <c r="H71" s="65">
        <v>192060.75</v>
      </c>
      <c r="I71" s="65">
        <v>97724.58</v>
      </c>
      <c r="J71" s="65" t="s">
        <v>1284</v>
      </c>
    </row>
    <row r="72" spans="1:10" x14ac:dyDescent="0.2">
      <c r="A72" s="65">
        <v>2244</v>
      </c>
      <c r="B72" s="65" t="s">
        <v>280</v>
      </c>
      <c r="C72" s="123">
        <v>45809</v>
      </c>
      <c r="D72" s="65" t="s">
        <v>1283</v>
      </c>
      <c r="E72" s="124">
        <v>0</v>
      </c>
      <c r="F72" s="65">
        <v>55200</v>
      </c>
      <c r="G72" s="65">
        <v>58542.96</v>
      </c>
      <c r="H72" s="65">
        <v>0</v>
      </c>
      <c r="I72" s="65">
        <v>113742.96</v>
      </c>
      <c r="J72" s="65" t="s">
        <v>1284</v>
      </c>
    </row>
    <row r="73" spans="1:10" x14ac:dyDescent="0.2">
      <c r="A73" s="65">
        <v>235</v>
      </c>
      <c r="B73" s="65" t="s">
        <v>309</v>
      </c>
      <c r="C73" s="123">
        <v>45809</v>
      </c>
      <c r="D73" s="65" t="s">
        <v>1283</v>
      </c>
      <c r="E73" s="124">
        <v>0</v>
      </c>
      <c r="F73" s="65">
        <v>31497</v>
      </c>
      <c r="G73" s="65">
        <v>50026.8</v>
      </c>
      <c r="H73" s="65">
        <v>38953.26</v>
      </c>
      <c r="I73" s="65">
        <v>120477.06</v>
      </c>
      <c r="J73" s="65" t="s">
        <v>1284</v>
      </c>
    </row>
    <row r="74" spans="1:10" x14ac:dyDescent="0.2">
      <c r="A74" s="65">
        <v>1807</v>
      </c>
      <c r="B74" s="65" t="s">
        <v>273</v>
      </c>
      <c r="C74" s="123">
        <v>45809</v>
      </c>
      <c r="D74" s="65" t="s">
        <v>1283</v>
      </c>
      <c r="E74" s="124">
        <v>0</v>
      </c>
      <c r="F74" s="65">
        <v>31367.09</v>
      </c>
      <c r="G74" s="65">
        <v>-28442.3</v>
      </c>
      <c r="H74" s="65">
        <v>90213.08</v>
      </c>
      <c r="I74" s="65">
        <v>93137.87</v>
      </c>
      <c r="J74" s="65" t="s">
        <v>1284</v>
      </c>
    </row>
    <row r="75" spans="1:10" x14ac:dyDescent="0.2">
      <c r="A75" s="65">
        <v>2247</v>
      </c>
      <c r="B75" s="65" t="s">
        <v>269</v>
      </c>
      <c r="C75" s="123">
        <v>45809</v>
      </c>
      <c r="D75" s="65" t="s">
        <v>1283</v>
      </c>
      <c r="E75" s="124">
        <v>0</v>
      </c>
      <c r="F75" s="65">
        <v>31013.7</v>
      </c>
      <c r="G75" s="65">
        <v>0</v>
      </c>
      <c r="H75" s="65">
        <v>1942.16</v>
      </c>
      <c r="I75" s="65">
        <v>32955.86</v>
      </c>
      <c r="J75" s="65" t="s">
        <v>1284</v>
      </c>
    </row>
    <row r="76" spans="1:10" x14ac:dyDescent="0.2">
      <c r="A76" s="65">
        <v>1074</v>
      </c>
      <c r="B76" s="65" t="s">
        <v>230</v>
      </c>
      <c r="C76" s="123">
        <v>45809</v>
      </c>
      <c r="D76" s="65" t="s">
        <v>1283</v>
      </c>
      <c r="E76" s="124">
        <v>0</v>
      </c>
      <c r="F76" s="65">
        <v>27734.94</v>
      </c>
      <c r="G76" s="65">
        <v>-50969.72</v>
      </c>
      <c r="H76" s="65">
        <v>4798.92</v>
      </c>
      <c r="I76" s="65">
        <v>-18435.86</v>
      </c>
      <c r="J76" s="65" t="s">
        <v>1284</v>
      </c>
    </row>
    <row r="77" spans="1:10" x14ac:dyDescent="0.2">
      <c r="A77" s="65">
        <v>1817</v>
      </c>
      <c r="B77" s="65" t="s">
        <v>1285</v>
      </c>
      <c r="C77" s="123">
        <v>45809</v>
      </c>
      <c r="D77" s="65" t="s">
        <v>344</v>
      </c>
      <c r="E77" s="124">
        <v>0</v>
      </c>
      <c r="F77" s="65">
        <v>26365.38</v>
      </c>
      <c r="G77" s="65">
        <v>0</v>
      </c>
      <c r="H77" s="65">
        <v>0</v>
      </c>
      <c r="I77" s="65">
        <v>26365.38</v>
      </c>
      <c r="J77" s="65" t="s">
        <v>1284</v>
      </c>
    </row>
    <row r="78" spans="1:10" x14ac:dyDescent="0.2">
      <c r="A78" s="65">
        <v>2243</v>
      </c>
      <c r="B78" s="65" t="s">
        <v>279</v>
      </c>
      <c r="C78" s="123">
        <v>45809</v>
      </c>
      <c r="D78" s="65" t="s">
        <v>1283</v>
      </c>
      <c r="E78" s="124">
        <v>0</v>
      </c>
      <c r="F78" s="65">
        <v>21446.7</v>
      </c>
      <c r="G78" s="65">
        <v>0</v>
      </c>
      <c r="H78" s="65">
        <v>4285.17</v>
      </c>
      <c r="I78" s="65">
        <v>25731.87</v>
      </c>
      <c r="J78" s="65" t="s">
        <v>1284</v>
      </c>
    </row>
    <row r="79" spans="1:10" x14ac:dyDescent="0.2">
      <c r="A79" s="65">
        <v>1868</v>
      </c>
      <c r="B79" s="65" t="s">
        <v>1265</v>
      </c>
      <c r="C79" s="123">
        <v>45809</v>
      </c>
      <c r="D79" s="65" t="s">
        <v>1283</v>
      </c>
      <c r="E79" s="124">
        <v>0</v>
      </c>
      <c r="F79" s="65">
        <v>8411.08</v>
      </c>
      <c r="G79" s="65">
        <v>46035.42</v>
      </c>
      <c r="H79" s="65">
        <v>23118.89</v>
      </c>
      <c r="I79" s="65">
        <v>77565.39</v>
      </c>
      <c r="J79" s="65" t="s">
        <v>1284</v>
      </c>
    </row>
    <row r="80" spans="1:10" x14ac:dyDescent="0.2">
      <c r="A80" s="65">
        <v>1210</v>
      </c>
      <c r="B80" s="65" t="s">
        <v>245</v>
      </c>
      <c r="C80" s="123">
        <v>45809</v>
      </c>
      <c r="D80" s="65" t="s">
        <v>1283</v>
      </c>
      <c r="E80" s="124">
        <v>0</v>
      </c>
      <c r="F80" s="65">
        <v>6750</v>
      </c>
      <c r="G80" s="65">
        <v>-450</v>
      </c>
      <c r="H80" s="65">
        <v>19361.97</v>
      </c>
      <c r="I80" s="65">
        <v>25661.97</v>
      </c>
      <c r="J80" s="65" t="s">
        <v>1284</v>
      </c>
    </row>
    <row r="81" spans="1:10" x14ac:dyDescent="0.2">
      <c r="A81" s="65">
        <v>1671</v>
      </c>
      <c r="B81" s="65" t="s">
        <v>277</v>
      </c>
      <c r="C81" s="123">
        <v>45809</v>
      </c>
      <c r="D81" s="65" t="s">
        <v>1283</v>
      </c>
      <c r="E81" s="124">
        <v>0</v>
      </c>
      <c r="F81" s="65">
        <v>6574.95</v>
      </c>
      <c r="G81" s="65">
        <v>0</v>
      </c>
      <c r="H81" s="65">
        <v>10327.64</v>
      </c>
      <c r="I81" s="65">
        <v>16902.59</v>
      </c>
      <c r="J81" s="65" t="s">
        <v>1284</v>
      </c>
    </row>
    <row r="82" spans="1:10" x14ac:dyDescent="0.2">
      <c r="A82" s="65">
        <v>231</v>
      </c>
      <c r="B82" s="65" t="s">
        <v>289</v>
      </c>
      <c r="C82" s="123">
        <v>45809</v>
      </c>
      <c r="D82" s="65" t="s">
        <v>1283</v>
      </c>
      <c r="E82" s="124">
        <v>0</v>
      </c>
      <c r="F82" s="65">
        <v>5042.7</v>
      </c>
      <c r="G82" s="65">
        <v>-37600</v>
      </c>
      <c r="H82" s="65">
        <v>4880.1099999999997</v>
      </c>
      <c r="I82" s="65">
        <v>-27677.19</v>
      </c>
      <c r="J82" s="65" t="s">
        <v>1284</v>
      </c>
    </row>
    <row r="83" spans="1:10" x14ac:dyDescent="0.2">
      <c r="A83" s="65">
        <v>1076</v>
      </c>
      <c r="B83" s="65" t="s">
        <v>291</v>
      </c>
      <c r="C83" s="123">
        <v>45809</v>
      </c>
      <c r="D83" s="65" t="s">
        <v>1283</v>
      </c>
      <c r="E83" s="124">
        <v>0</v>
      </c>
      <c r="F83" s="65">
        <v>3555.21</v>
      </c>
      <c r="G83" s="65">
        <v>0</v>
      </c>
      <c r="H83" s="65">
        <v>145814.96</v>
      </c>
      <c r="I83" s="65">
        <v>149370.17000000001</v>
      </c>
      <c r="J83" s="65" t="s">
        <v>1284</v>
      </c>
    </row>
    <row r="84" spans="1:10" x14ac:dyDescent="0.2">
      <c r="A84" s="65">
        <v>965</v>
      </c>
      <c r="B84" s="65" t="s">
        <v>268</v>
      </c>
      <c r="C84" s="123">
        <v>45809</v>
      </c>
      <c r="D84" s="65" t="s">
        <v>1283</v>
      </c>
      <c r="E84" s="124">
        <v>0</v>
      </c>
      <c r="F84" s="65">
        <v>2470.63</v>
      </c>
      <c r="G84" s="65">
        <v>-8016.61</v>
      </c>
      <c r="H84" s="65">
        <v>48032.49</v>
      </c>
      <c r="I84" s="65">
        <v>42486.51</v>
      </c>
      <c r="J84" s="65" t="s">
        <v>1284</v>
      </c>
    </row>
    <row r="85" spans="1:10" x14ac:dyDescent="0.2">
      <c r="A85" s="65">
        <v>1601</v>
      </c>
      <c r="B85" s="65" t="s">
        <v>299</v>
      </c>
      <c r="C85" s="123">
        <v>45809</v>
      </c>
      <c r="D85" s="65" t="s">
        <v>1283</v>
      </c>
      <c r="E85" s="124">
        <v>0</v>
      </c>
      <c r="F85" s="65">
        <v>1399.79</v>
      </c>
      <c r="G85" s="65">
        <v>0</v>
      </c>
      <c r="H85" s="65">
        <v>5508.7</v>
      </c>
      <c r="I85" s="65">
        <v>6908.49</v>
      </c>
      <c r="J85" s="65" t="s">
        <v>1284</v>
      </c>
    </row>
    <row r="86" spans="1:10" x14ac:dyDescent="0.2">
      <c r="A86" s="65">
        <v>1561</v>
      </c>
      <c r="B86" s="65" t="s">
        <v>224</v>
      </c>
      <c r="C86" s="123">
        <v>45809</v>
      </c>
      <c r="D86" s="65" t="s">
        <v>1283</v>
      </c>
      <c r="E86" s="124">
        <v>0</v>
      </c>
      <c r="F86" s="65">
        <v>997.18</v>
      </c>
      <c r="G86" s="65">
        <v>-72000</v>
      </c>
      <c r="H86" s="65">
        <v>2022.14</v>
      </c>
      <c r="I86" s="65">
        <v>-68980.679999999993</v>
      </c>
      <c r="J86" s="65" t="s">
        <v>1284</v>
      </c>
    </row>
    <row r="87" spans="1:10" x14ac:dyDescent="0.2">
      <c r="A87" s="65">
        <v>1074</v>
      </c>
      <c r="B87" s="65" t="s">
        <v>230</v>
      </c>
      <c r="C87" s="123">
        <v>45809</v>
      </c>
      <c r="D87" s="65" t="s">
        <v>1283</v>
      </c>
      <c r="E87" s="124">
        <v>0</v>
      </c>
      <c r="F87" s="65">
        <v>0</v>
      </c>
      <c r="G87" s="65">
        <v>0</v>
      </c>
      <c r="H87" s="65">
        <v>27641.21</v>
      </c>
      <c r="I87" s="65">
        <v>27641.21</v>
      </c>
      <c r="J87" s="65" t="s">
        <v>1284</v>
      </c>
    </row>
    <row r="88" spans="1:10" x14ac:dyDescent="0.2">
      <c r="A88" s="65">
        <v>1819</v>
      </c>
      <c r="B88" s="65" t="s">
        <v>233</v>
      </c>
      <c r="C88" s="123">
        <v>45809</v>
      </c>
      <c r="D88" s="65" t="s">
        <v>1283</v>
      </c>
      <c r="E88" s="124">
        <v>0</v>
      </c>
      <c r="F88" s="65">
        <v>0</v>
      </c>
      <c r="G88" s="65">
        <v>0</v>
      </c>
      <c r="H88" s="65">
        <v>10070.56</v>
      </c>
      <c r="I88" s="65">
        <v>10070.56</v>
      </c>
      <c r="J88" s="65" t="s">
        <v>1284</v>
      </c>
    </row>
    <row r="89" spans="1:10" x14ac:dyDescent="0.2">
      <c r="A89" s="65">
        <v>157</v>
      </c>
      <c r="B89" s="65" t="s">
        <v>240</v>
      </c>
      <c r="C89" s="123">
        <v>45809</v>
      </c>
      <c r="D89" s="65" t="s">
        <v>1283</v>
      </c>
      <c r="E89" s="124">
        <v>0</v>
      </c>
      <c r="F89" s="65">
        <v>0</v>
      </c>
      <c r="G89" s="65">
        <v>-64406.64</v>
      </c>
      <c r="H89" s="65">
        <v>11104.26</v>
      </c>
      <c r="I89" s="65">
        <v>-53302.38</v>
      </c>
      <c r="J89" s="65" t="s">
        <v>1284</v>
      </c>
    </row>
    <row r="90" spans="1:10" x14ac:dyDescent="0.2">
      <c r="A90" s="65">
        <v>175</v>
      </c>
      <c r="B90" s="65" t="s">
        <v>250</v>
      </c>
      <c r="C90" s="123">
        <v>45809</v>
      </c>
      <c r="D90" s="65" t="s">
        <v>1283</v>
      </c>
      <c r="E90" s="124">
        <v>0</v>
      </c>
      <c r="F90" s="65">
        <v>0</v>
      </c>
      <c r="G90" s="65">
        <v>-50400</v>
      </c>
      <c r="H90" s="65">
        <v>5987.7</v>
      </c>
      <c r="I90" s="65">
        <v>-44412.3</v>
      </c>
      <c r="J90" s="65" t="s">
        <v>1284</v>
      </c>
    </row>
    <row r="91" spans="1:10" x14ac:dyDescent="0.2">
      <c r="A91" s="65">
        <v>1069</v>
      </c>
      <c r="B91" s="65" t="s">
        <v>1286</v>
      </c>
      <c r="C91" s="123">
        <v>45809</v>
      </c>
      <c r="D91" s="65" t="s">
        <v>1283</v>
      </c>
      <c r="E91" s="124">
        <v>0</v>
      </c>
      <c r="F91" s="65">
        <v>0</v>
      </c>
      <c r="G91" s="65">
        <v>-1590</v>
      </c>
      <c r="H91" s="65">
        <v>1590</v>
      </c>
      <c r="I91" s="65">
        <v>0</v>
      </c>
      <c r="J91" s="65" t="s">
        <v>1284</v>
      </c>
    </row>
    <row r="92" spans="1:10" x14ac:dyDescent="0.2">
      <c r="A92" s="65">
        <v>2052</v>
      </c>
      <c r="B92" s="65" t="s">
        <v>251</v>
      </c>
      <c r="C92" s="123">
        <v>45809</v>
      </c>
      <c r="D92" s="65" t="s">
        <v>1283</v>
      </c>
      <c r="E92" s="124">
        <v>0</v>
      </c>
      <c r="F92" s="65">
        <v>0</v>
      </c>
      <c r="G92" s="65">
        <v>0</v>
      </c>
      <c r="H92" s="65">
        <v>44596.87</v>
      </c>
      <c r="I92" s="65">
        <v>44596.87</v>
      </c>
      <c r="J92" s="65" t="s">
        <v>1284</v>
      </c>
    </row>
    <row r="93" spans="1:10" x14ac:dyDescent="0.2">
      <c r="A93" s="65">
        <v>1797</v>
      </c>
      <c r="B93" s="65" t="s">
        <v>256</v>
      </c>
      <c r="C93" s="123">
        <v>45809</v>
      </c>
      <c r="D93" s="65" t="s">
        <v>1283</v>
      </c>
      <c r="E93" s="124">
        <v>0</v>
      </c>
      <c r="F93" s="65">
        <v>0</v>
      </c>
      <c r="G93" s="65">
        <v>-19200</v>
      </c>
      <c r="H93" s="65">
        <v>26430.67</v>
      </c>
      <c r="I93" s="65">
        <v>7230.67</v>
      </c>
      <c r="J93" s="65" t="s">
        <v>1284</v>
      </c>
    </row>
    <row r="94" spans="1:10" x14ac:dyDescent="0.2">
      <c r="A94" s="65">
        <v>1084</v>
      </c>
      <c r="B94" s="65" t="s">
        <v>1237</v>
      </c>
      <c r="C94" s="123">
        <v>45809</v>
      </c>
      <c r="D94" s="65" t="s">
        <v>1283</v>
      </c>
      <c r="E94" s="124">
        <v>0</v>
      </c>
      <c r="F94" s="65">
        <v>0</v>
      </c>
      <c r="G94" s="65">
        <v>0</v>
      </c>
      <c r="H94" s="65">
        <v>148049.68</v>
      </c>
      <c r="I94" s="65">
        <v>148049.68</v>
      </c>
      <c r="J94" s="65" t="s">
        <v>1284</v>
      </c>
    </row>
    <row r="95" spans="1:10" x14ac:dyDescent="0.2">
      <c r="A95" s="65">
        <v>1803</v>
      </c>
      <c r="B95" s="65" t="s">
        <v>265</v>
      </c>
      <c r="C95" s="123">
        <v>45809</v>
      </c>
      <c r="D95" s="65" t="s">
        <v>1283</v>
      </c>
      <c r="E95" s="124">
        <v>0</v>
      </c>
      <c r="F95" s="65">
        <v>0</v>
      </c>
      <c r="G95" s="65">
        <v>-73815.600000000006</v>
      </c>
      <c r="H95" s="65">
        <v>3024.17</v>
      </c>
      <c r="I95" s="65">
        <v>-70791.429999999993</v>
      </c>
      <c r="J95" s="65" t="s">
        <v>1284</v>
      </c>
    </row>
    <row r="96" spans="1:10" x14ac:dyDescent="0.2">
      <c r="A96" s="65">
        <v>1560</v>
      </c>
      <c r="B96" s="65" t="s">
        <v>1269</v>
      </c>
      <c r="C96" s="123">
        <v>45809</v>
      </c>
      <c r="D96" s="65" t="s">
        <v>1283</v>
      </c>
      <c r="E96" s="124">
        <v>0</v>
      </c>
      <c r="F96" s="65">
        <v>0</v>
      </c>
      <c r="G96" s="65">
        <v>-1560</v>
      </c>
      <c r="H96" s="65">
        <v>1560</v>
      </c>
      <c r="I96" s="65">
        <v>0</v>
      </c>
      <c r="J96" s="65" t="s">
        <v>1284</v>
      </c>
    </row>
    <row r="97" spans="1:10" x14ac:dyDescent="0.2">
      <c r="A97" s="65">
        <v>1804</v>
      </c>
      <c r="B97" s="65" t="s">
        <v>270</v>
      </c>
      <c r="C97" s="123">
        <v>45809</v>
      </c>
      <c r="D97" s="65" t="s">
        <v>1283</v>
      </c>
      <c r="E97" s="124">
        <v>0</v>
      </c>
      <c r="F97" s="65">
        <v>0</v>
      </c>
      <c r="G97" s="65">
        <v>0</v>
      </c>
      <c r="H97" s="65">
        <v>101345.63</v>
      </c>
      <c r="I97" s="65">
        <v>101345.63</v>
      </c>
      <c r="J97" s="65" t="s">
        <v>1284</v>
      </c>
    </row>
    <row r="98" spans="1:10" x14ac:dyDescent="0.2">
      <c r="A98" s="65">
        <v>1673</v>
      </c>
      <c r="B98" s="65" t="s">
        <v>281</v>
      </c>
      <c r="C98" s="123">
        <v>45809</v>
      </c>
      <c r="D98" s="65" t="s">
        <v>1283</v>
      </c>
      <c r="E98" s="124">
        <v>0</v>
      </c>
      <c r="F98" s="65">
        <v>0</v>
      </c>
      <c r="G98" s="65">
        <v>0</v>
      </c>
      <c r="H98" s="65">
        <v>2931.9</v>
      </c>
      <c r="I98" s="65">
        <v>2931.9</v>
      </c>
      <c r="J98" s="65" t="s">
        <v>1284</v>
      </c>
    </row>
    <row r="99" spans="1:10" x14ac:dyDescent="0.2">
      <c r="A99" s="65">
        <v>1816</v>
      </c>
      <c r="B99" s="65" t="s">
        <v>283</v>
      </c>
      <c r="C99" s="123">
        <v>45809</v>
      </c>
      <c r="D99" s="65" t="s">
        <v>1283</v>
      </c>
      <c r="E99" s="124">
        <v>0</v>
      </c>
      <c r="F99" s="65">
        <v>0</v>
      </c>
      <c r="G99" s="65">
        <v>0</v>
      </c>
      <c r="H99" s="65">
        <v>53655.64</v>
      </c>
      <c r="I99" s="65">
        <v>53655.64</v>
      </c>
      <c r="J99" s="65" t="s">
        <v>1284</v>
      </c>
    </row>
    <row r="100" spans="1:10" x14ac:dyDescent="0.2">
      <c r="A100" s="65">
        <v>1806</v>
      </c>
      <c r="B100" s="65" t="s">
        <v>285</v>
      </c>
      <c r="C100" s="123">
        <v>45809</v>
      </c>
      <c r="D100" s="65" t="s">
        <v>1283</v>
      </c>
      <c r="E100" s="124">
        <v>0</v>
      </c>
      <c r="F100" s="65">
        <v>0</v>
      </c>
      <c r="G100" s="65">
        <v>-14400</v>
      </c>
      <c r="H100" s="65">
        <v>14400</v>
      </c>
      <c r="I100" s="65">
        <v>0</v>
      </c>
      <c r="J100" s="65" t="s">
        <v>1284</v>
      </c>
    </row>
    <row r="101" spans="1:10" x14ac:dyDescent="0.2">
      <c r="A101" s="65">
        <v>1068</v>
      </c>
      <c r="B101" s="65" t="s">
        <v>286</v>
      </c>
      <c r="C101" s="123">
        <v>45809</v>
      </c>
      <c r="D101" s="65" t="s">
        <v>1283</v>
      </c>
      <c r="E101" s="124">
        <v>0</v>
      </c>
      <c r="F101" s="65">
        <v>0</v>
      </c>
      <c r="G101" s="65">
        <v>0</v>
      </c>
      <c r="H101" s="65">
        <v>70550.55</v>
      </c>
      <c r="I101" s="65">
        <v>70550.55</v>
      </c>
      <c r="J101" s="65" t="s">
        <v>1284</v>
      </c>
    </row>
    <row r="102" spans="1:10" x14ac:dyDescent="0.2">
      <c r="A102" s="65">
        <v>1867</v>
      </c>
      <c r="B102" s="65" t="s">
        <v>294</v>
      </c>
      <c r="C102" s="123">
        <v>45809</v>
      </c>
      <c r="D102" s="65" t="s">
        <v>1283</v>
      </c>
      <c r="E102" s="124">
        <v>0</v>
      </c>
      <c r="F102" s="65">
        <v>0</v>
      </c>
      <c r="G102" s="65">
        <v>0</v>
      </c>
      <c r="H102" s="65">
        <v>1438.99</v>
      </c>
      <c r="I102" s="65">
        <v>1438.99</v>
      </c>
      <c r="J102" s="65" t="s">
        <v>1284</v>
      </c>
    </row>
    <row r="103" spans="1:10" x14ac:dyDescent="0.2">
      <c r="A103" s="65">
        <v>2001</v>
      </c>
      <c r="B103" s="65" t="s">
        <v>296</v>
      </c>
      <c r="C103" s="123">
        <v>45809</v>
      </c>
      <c r="D103" s="65" t="s">
        <v>1283</v>
      </c>
      <c r="E103" s="124">
        <v>0</v>
      </c>
      <c r="F103" s="65">
        <v>0</v>
      </c>
      <c r="G103" s="65">
        <v>-21600</v>
      </c>
      <c r="H103" s="65">
        <v>4338.34</v>
      </c>
      <c r="I103" s="65">
        <v>-17261.66</v>
      </c>
      <c r="J103" s="65" t="s">
        <v>1284</v>
      </c>
    </row>
    <row r="104" spans="1:10" x14ac:dyDescent="0.2">
      <c r="A104" s="65">
        <v>1812</v>
      </c>
      <c r="B104" s="65" t="s">
        <v>304</v>
      </c>
      <c r="C104" s="123">
        <v>45809</v>
      </c>
      <c r="D104" s="65" t="s">
        <v>1283</v>
      </c>
      <c r="E104" s="124">
        <v>0</v>
      </c>
      <c r="F104" s="65">
        <v>0</v>
      </c>
      <c r="G104" s="65">
        <v>3067.05</v>
      </c>
      <c r="H104" s="65">
        <v>80852.820000000007</v>
      </c>
      <c r="I104" s="65">
        <v>83919.87</v>
      </c>
      <c r="J104" s="65" t="s">
        <v>1284</v>
      </c>
    </row>
    <row r="105" spans="1:10" x14ac:dyDescent="0.2">
      <c r="A105" s="65">
        <v>1156</v>
      </c>
      <c r="B105" s="65" t="s">
        <v>305</v>
      </c>
      <c r="C105" s="123">
        <v>45809</v>
      </c>
      <c r="D105" s="65" t="s">
        <v>1283</v>
      </c>
      <c r="E105" s="124">
        <v>0</v>
      </c>
      <c r="F105" s="65">
        <v>0</v>
      </c>
      <c r="G105" s="65">
        <v>0</v>
      </c>
      <c r="H105" s="65">
        <v>3067.74</v>
      </c>
      <c r="I105" s="65">
        <v>3067.74</v>
      </c>
      <c r="J105" s="65" t="s">
        <v>1284</v>
      </c>
    </row>
    <row r="106" spans="1:10" x14ac:dyDescent="0.2">
      <c r="A106" s="65">
        <v>1082</v>
      </c>
      <c r="B106" s="65" t="s">
        <v>1239</v>
      </c>
      <c r="C106" s="123">
        <v>45809</v>
      </c>
      <c r="D106" s="65" t="s">
        <v>1283</v>
      </c>
      <c r="E106" s="124">
        <v>0</v>
      </c>
      <c r="F106" s="65">
        <v>0</v>
      </c>
      <c r="G106" s="65">
        <v>0</v>
      </c>
      <c r="H106" s="65">
        <v>35562.410000000003</v>
      </c>
      <c r="I106" s="65">
        <v>35562.410000000003</v>
      </c>
      <c r="J106" s="65" t="s">
        <v>1284</v>
      </c>
    </row>
    <row r="107" spans="1:10" x14ac:dyDescent="0.2">
      <c r="A107" s="65">
        <v>2242</v>
      </c>
      <c r="B107" s="65" t="s">
        <v>308</v>
      </c>
      <c r="C107" s="123">
        <v>45809</v>
      </c>
      <c r="D107" s="65" t="s">
        <v>1283</v>
      </c>
      <c r="E107" s="124">
        <v>0</v>
      </c>
      <c r="F107" s="65">
        <v>0</v>
      </c>
      <c r="G107" s="65">
        <v>-47762.5</v>
      </c>
      <c r="H107" s="65">
        <v>47762.5</v>
      </c>
      <c r="I107" s="65">
        <v>0</v>
      </c>
      <c r="J107" s="65" t="s">
        <v>1284</v>
      </c>
    </row>
    <row r="108" spans="1:10" x14ac:dyDescent="0.2">
      <c r="A108" s="65">
        <v>1559</v>
      </c>
      <c r="B108" s="65" t="s">
        <v>1268</v>
      </c>
      <c r="C108" s="123">
        <v>45809</v>
      </c>
      <c r="D108" s="65" t="s">
        <v>1283</v>
      </c>
      <c r="E108" s="124">
        <v>0</v>
      </c>
      <c r="F108" s="65">
        <v>0</v>
      </c>
      <c r="G108" s="65">
        <v>-650</v>
      </c>
      <c r="H108" s="65">
        <v>650</v>
      </c>
      <c r="I108" s="65">
        <v>0</v>
      </c>
      <c r="J108" s="65" t="s">
        <v>1284</v>
      </c>
    </row>
    <row r="109" spans="1:10" x14ac:dyDescent="0.2">
      <c r="A109" s="65">
        <v>1085</v>
      </c>
      <c r="B109" s="65" t="s">
        <v>310</v>
      </c>
      <c r="C109" s="123">
        <v>45809</v>
      </c>
      <c r="D109" s="65" t="s">
        <v>1283</v>
      </c>
      <c r="E109" s="124">
        <v>0</v>
      </c>
      <c r="F109" s="65">
        <v>0</v>
      </c>
      <c r="G109" s="65">
        <v>-3089.36</v>
      </c>
      <c r="H109" s="65">
        <v>127933.73</v>
      </c>
      <c r="I109" s="65">
        <v>124844.37</v>
      </c>
      <c r="J109" s="65" t="s">
        <v>1284</v>
      </c>
    </row>
    <row r="110" spans="1:10" x14ac:dyDescent="0.2">
      <c r="A110" s="65">
        <v>1510</v>
      </c>
      <c r="B110" s="65" t="s">
        <v>313</v>
      </c>
      <c r="C110" s="123">
        <v>45809</v>
      </c>
      <c r="D110" s="65" t="s">
        <v>1283</v>
      </c>
      <c r="E110" s="124">
        <v>0</v>
      </c>
      <c r="F110" s="65">
        <v>0</v>
      </c>
      <c r="G110" s="65">
        <v>0</v>
      </c>
      <c r="H110" s="65">
        <v>6497.53</v>
      </c>
      <c r="I110" s="65">
        <v>6497.53</v>
      </c>
      <c r="J110" s="65" t="s">
        <v>1284</v>
      </c>
    </row>
    <row r="111" spans="1:10" x14ac:dyDescent="0.2">
      <c r="A111" s="65">
        <v>1562</v>
      </c>
      <c r="B111" s="65" t="s">
        <v>314</v>
      </c>
      <c r="C111" s="123">
        <v>45809</v>
      </c>
      <c r="D111" s="65" t="s">
        <v>1283</v>
      </c>
      <c r="E111" s="124">
        <v>0</v>
      </c>
      <c r="F111" s="65">
        <v>0</v>
      </c>
      <c r="G111" s="65">
        <v>0</v>
      </c>
      <c r="H111" s="65">
        <v>155327.91</v>
      </c>
      <c r="I111" s="65">
        <v>155327.91</v>
      </c>
      <c r="J111" s="65" t="s">
        <v>1284</v>
      </c>
    </row>
    <row r="112" spans="1:10" x14ac:dyDescent="0.2">
      <c r="A112" s="65">
        <v>1632</v>
      </c>
      <c r="B112" s="65" t="s">
        <v>1276</v>
      </c>
      <c r="C112" s="123">
        <v>45809</v>
      </c>
      <c r="D112" s="65" t="s">
        <v>1283</v>
      </c>
      <c r="E112" s="124">
        <v>0</v>
      </c>
      <c r="F112" s="65">
        <v>0</v>
      </c>
      <c r="G112" s="65">
        <v>-5850</v>
      </c>
      <c r="H112" s="65">
        <v>5850</v>
      </c>
      <c r="I112" s="65">
        <v>0</v>
      </c>
      <c r="J112" s="65" t="s">
        <v>1284</v>
      </c>
    </row>
    <row r="113" spans="1:10" x14ac:dyDescent="0.2">
      <c r="A113" s="65">
        <v>2248</v>
      </c>
      <c r="B113" s="65" t="s">
        <v>316</v>
      </c>
      <c r="C113" s="123">
        <v>45809</v>
      </c>
      <c r="D113" s="65" t="s">
        <v>1283</v>
      </c>
      <c r="E113" s="124">
        <v>0</v>
      </c>
      <c r="F113" s="65">
        <v>0</v>
      </c>
      <c r="G113" s="65">
        <v>0</v>
      </c>
      <c r="H113" s="65">
        <v>6001.43</v>
      </c>
      <c r="I113" s="65">
        <v>6001.43</v>
      </c>
      <c r="J113" s="65" t="s">
        <v>1284</v>
      </c>
    </row>
    <row r="114" spans="1:10" x14ac:dyDescent="0.2">
      <c r="A114" s="65">
        <v>154</v>
      </c>
      <c r="B114" s="65" t="s">
        <v>1287</v>
      </c>
      <c r="C114" s="123">
        <v>45809</v>
      </c>
      <c r="D114" s="65" t="s">
        <v>344</v>
      </c>
      <c r="E114" s="124">
        <v>0</v>
      </c>
      <c r="F114" s="65">
        <v>0</v>
      </c>
      <c r="G114" s="65">
        <v>-61045.760000000002</v>
      </c>
      <c r="H114" s="65">
        <v>61045.760000000002</v>
      </c>
      <c r="I114" s="65">
        <v>0</v>
      </c>
      <c r="J114" s="65" t="s">
        <v>1284</v>
      </c>
    </row>
    <row r="115" spans="1:10" x14ac:dyDescent="0.2">
      <c r="A115" s="65">
        <v>1074</v>
      </c>
      <c r="B115" s="65" t="s">
        <v>230</v>
      </c>
      <c r="C115" s="123">
        <v>45809</v>
      </c>
      <c r="D115" s="65" t="s">
        <v>344</v>
      </c>
      <c r="E115" s="124">
        <v>0</v>
      </c>
      <c r="F115" s="65">
        <v>0</v>
      </c>
      <c r="G115" s="65">
        <v>147661</v>
      </c>
      <c r="H115" s="65">
        <v>225238.26</v>
      </c>
      <c r="I115" s="65">
        <v>372899.26</v>
      </c>
      <c r="J115" s="65" t="s">
        <v>1284</v>
      </c>
    </row>
    <row r="116" spans="1:10" x14ac:dyDescent="0.2">
      <c r="A116" s="65">
        <v>1069</v>
      </c>
      <c r="B116" s="65" t="s">
        <v>1286</v>
      </c>
      <c r="C116" s="123">
        <v>45809</v>
      </c>
      <c r="D116" s="65" t="s">
        <v>344</v>
      </c>
      <c r="E116" s="124">
        <v>0</v>
      </c>
      <c r="F116" s="65">
        <v>0</v>
      </c>
      <c r="G116" s="65">
        <v>-26635.94</v>
      </c>
      <c r="H116" s="65">
        <v>26635.94</v>
      </c>
      <c r="I116" s="65">
        <v>0</v>
      </c>
      <c r="J116" s="65" t="s">
        <v>1284</v>
      </c>
    </row>
    <row r="117" spans="1:10" x14ac:dyDescent="0.2">
      <c r="A117" s="65">
        <v>1080</v>
      </c>
      <c r="B117" s="65" t="s">
        <v>1288</v>
      </c>
      <c r="C117" s="123">
        <v>45809</v>
      </c>
      <c r="D117" s="65" t="s">
        <v>344</v>
      </c>
      <c r="E117" s="124">
        <v>0</v>
      </c>
      <c r="F117" s="65">
        <v>0</v>
      </c>
      <c r="G117" s="65">
        <v>-8000</v>
      </c>
      <c r="H117" s="65">
        <v>8000</v>
      </c>
      <c r="I117" s="65">
        <v>0</v>
      </c>
      <c r="J117" s="65" t="s">
        <v>1284</v>
      </c>
    </row>
    <row r="118" spans="1:10" x14ac:dyDescent="0.2">
      <c r="A118" s="65">
        <v>217</v>
      </c>
      <c r="B118" s="65" t="s">
        <v>1289</v>
      </c>
      <c r="C118" s="123">
        <v>45809</v>
      </c>
      <c r="D118" s="65" t="s">
        <v>344</v>
      </c>
      <c r="E118" s="124">
        <v>0</v>
      </c>
      <c r="F118" s="65">
        <v>0</v>
      </c>
      <c r="G118" s="65">
        <v>-1594.29</v>
      </c>
      <c r="H118" s="65">
        <v>1594.29</v>
      </c>
      <c r="I118" s="65">
        <v>0</v>
      </c>
      <c r="J118" s="65" t="s">
        <v>1284</v>
      </c>
    </row>
    <row r="119" spans="1:10" x14ac:dyDescent="0.2">
      <c r="A119" s="65">
        <v>223</v>
      </c>
      <c r="B119" s="65" t="s">
        <v>1290</v>
      </c>
      <c r="C119" s="123">
        <v>45809</v>
      </c>
      <c r="D119" s="65" t="s">
        <v>344</v>
      </c>
      <c r="E119" s="124">
        <v>0</v>
      </c>
      <c r="F119" s="65">
        <v>0</v>
      </c>
      <c r="G119" s="65">
        <v>-219521.95</v>
      </c>
      <c r="H119" s="65">
        <v>219521.95</v>
      </c>
      <c r="I119" s="65">
        <v>0</v>
      </c>
      <c r="J119" s="65" t="s">
        <v>1284</v>
      </c>
    </row>
    <row r="120" spans="1:10" x14ac:dyDescent="0.2">
      <c r="A120" s="65">
        <v>1675</v>
      </c>
      <c r="B120" s="65" t="s">
        <v>288</v>
      </c>
      <c r="C120" s="123">
        <v>45809</v>
      </c>
      <c r="D120" s="65" t="s">
        <v>344</v>
      </c>
      <c r="E120" s="124">
        <v>0</v>
      </c>
      <c r="F120" s="65">
        <v>0</v>
      </c>
      <c r="G120" s="65">
        <v>-145522.32999999999</v>
      </c>
      <c r="H120" s="65">
        <v>145522.32999999999</v>
      </c>
      <c r="I120" s="65">
        <v>0</v>
      </c>
      <c r="J120" s="65" t="s">
        <v>1284</v>
      </c>
    </row>
    <row r="121" spans="1:10" x14ac:dyDescent="0.2">
      <c r="A121" s="65">
        <v>1076</v>
      </c>
      <c r="B121" s="65" t="s">
        <v>291</v>
      </c>
      <c r="C121" s="123">
        <v>45809</v>
      </c>
      <c r="D121" s="65" t="s">
        <v>344</v>
      </c>
      <c r="E121" s="124">
        <v>0</v>
      </c>
      <c r="F121" s="65">
        <v>0</v>
      </c>
      <c r="G121" s="65">
        <v>-40444.9</v>
      </c>
      <c r="H121" s="65">
        <v>40444.9</v>
      </c>
      <c r="I121" s="65">
        <v>0</v>
      </c>
      <c r="J121" s="65" t="s">
        <v>1284</v>
      </c>
    </row>
    <row r="122" spans="1:10" x14ac:dyDescent="0.2">
      <c r="A122" s="65">
        <v>1077</v>
      </c>
      <c r="B122" s="65" t="s">
        <v>1291</v>
      </c>
      <c r="C122" s="123">
        <v>45809</v>
      </c>
      <c r="D122" s="65" t="s">
        <v>344</v>
      </c>
      <c r="E122" s="124">
        <v>0</v>
      </c>
      <c r="F122" s="65">
        <v>0</v>
      </c>
      <c r="G122" s="65">
        <v>-27575.32</v>
      </c>
      <c r="H122" s="65">
        <v>27575.32</v>
      </c>
      <c r="I122" s="65">
        <v>0</v>
      </c>
      <c r="J122" s="65" t="s">
        <v>1284</v>
      </c>
    </row>
    <row r="123" spans="1:10" x14ac:dyDescent="0.2">
      <c r="A123" s="65">
        <v>2291</v>
      </c>
      <c r="B123" s="65" t="s">
        <v>1273</v>
      </c>
      <c r="C123" s="123">
        <v>45809</v>
      </c>
      <c r="D123" s="65" t="s">
        <v>1283</v>
      </c>
      <c r="E123" s="124">
        <v>0</v>
      </c>
      <c r="F123" s="65">
        <v>0</v>
      </c>
      <c r="G123" s="65">
        <v>-1400</v>
      </c>
      <c r="H123" s="65">
        <v>1400</v>
      </c>
      <c r="I123" s="65">
        <v>0</v>
      </c>
      <c r="J123" s="65" t="s">
        <v>1284</v>
      </c>
    </row>
    <row r="124" spans="1:10" x14ac:dyDescent="0.2">
      <c r="A124" s="65">
        <v>2600</v>
      </c>
      <c r="B124" s="65" t="s">
        <v>1266</v>
      </c>
      <c r="C124" s="123">
        <v>45809</v>
      </c>
      <c r="D124" s="65" t="s">
        <v>1283</v>
      </c>
      <c r="E124" s="124">
        <v>0</v>
      </c>
      <c r="F124" s="65">
        <v>0</v>
      </c>
      <c r="G124" s="65">
        <v>0</v>
      </c>
      <c r="H124" s="65">
        <v>19839.87</v>
      </c>
      <c r="I124" s="65">
        <v>19839.87</v>
      </c>
      <c r="J124" s="65" t="s">
        <v>1284</v>
      </c>
    </row>
    <row r="125" spans="1:10" x14ac:dyDescent="0.2">
      <c r="A125" s="65">
        <v>2295</v>
      </c>
      <c r="B125" s="65" t="s">
        <v>1271</v>
      </c>
      <c r="C125" s="123">
        <v>45809</v>
      </c>
      <c r="D125" s="65" t="s">
        <v>1283</v>
      </c>
      <c r="E125" s="124">
        <v>0</v>
      </c>
      <c r="F125" s="65">
        <v>0</v>
      </c>
      <c r="G125" s="65">
        <v>-28750</v>
      </c>
      <c r="H125" s="65">
        <v>28750</v>
      </c>
      <c r="I125" s="65">
        <v>0</v>
      </c>
      <c r="J125" s="65" t="s">
        <v>1284</v>
      </c>
    </row>
    <row r="126" spans="1:10" x14ac:dyDescent="0.2">
      <c r="A126" s="65">
        <v>883</v>
      </c>
      <c r="B126" s="65" t="s">
        <v>297</v>
      </c>
      <c r="C126" s="123">
        <v>45809</v>
      </c>
      <c r="D126" s="65" t="s">
        <v>1283</v>
      </c>
      <c r="E126" s="124">
        <v>0</v>
      </c>
      <c r="F126" s="65">
        <v>0</v>
      </c>
      <c r="G126" s="65">
        <v>900</v>
      </c>
      <c r="H126" s="65">
        <v>143394.32</v>
      </c>
      <c r="I126" s="65">
        <v>144294.32</v>
      </c>
      <c r="J126" s="65" t="s">
        <v>1284</v>
      </c>
    </row>
    <row r="127" spans="1:10" x14ac:dyDescent="0.2">
      <c r="A127" s="65">
        <v>965</v>
      </c>
      <c r="B127" s="65" t="s">
        <v>268</v>
      </c>
      <c r="C127" s="123">
        <v>45809</v>
      </c>
      <c r="D127" s="65" t="s">
        <v>344</v>
      </c>
      <c r="E127" s="124">
        <v>0</v>
      </c>
      <c r="F127" s="65">
        <v>0</v>
      </c>
      <c r="G127" s="65">
        <v>-19110.830000000002</v>
      </c>
      <c r="H127" s="65">
        <v>19110.830000000002</v>
      </c>
      <c r="I127" s="65">
        <v>0</v>
      </c>
      <c r="J127" s="65" t="s">
        <v>1284</v>
      </c>
    </row>
    <row r="128" spans="1:10" x14ac:dyDescent="0.2">
      <c r="A128" s="65">
        <v>963</v>
      </c>
      <c r="B128" s="65" t="s">
        <v>1292</v>
      </c>
      <c r="C128" s="123">
        <v>45809</v>
      </c>
      <c r="D128" s="65" t="s">
        <v>344</v>
      </c>
      <c r="E128" s="124">
        <v>0</v>
      </c>
      <c r="F128" s="65">
        <v>0</v>
      </c>
      <c r="G128" s="65">
        <v>-55703.39</v>
      </c>
      <c r="H128" s="65">
        <v>55703.39</v>
      </c>
      <c r="I128" s="65">
        <v>0</v>
      </c>
      <c r="J128" s="65" t="s">
        <v>1284</v>
      </c>
    </row>
    <row r="129" spans="1:10" x14ac:dyDescent="0.2">
      <c r="A129" s="65">
        <v>232</v>
      </c>
      <c r="B129" s="65" t="s">
        <v>1293</v>
      </c>
      <c r="C129" s="123">
        <v>45809</v>
      </c>
      <c r="D129" s="65" t="s">
        <v>344</v>
      </c>
      <c r="E129" s="124">
        <v>0</v>
      </c>
      <c r="F129" s="65">
        <v>0</v>
      </c>
      <c r="G129" s="65">
        <v>0</v>
      </c>
      <c r="H129" s="65">
        <v>0</v>
      </c>
      <c r="I129" s="65">
        <v>0</v>
      </c>
      <c r="J129" s="65" t="s">
        <v>1284</v>
      </c>
    </row>
    <row r="130" spans="1:10" x14ac:dyDescent="0.2">
      <c r="A130" s="65">
        <v>964</v>
      </c>
      <c r="B130" s="65" t="s">
        <v>1294</v>
      </c>
      <c r="C130" s="123">
        <v>45809</v>
      </c>
      <c r="D130" s="65" t="s">
        <v>344</v>
      </c>
      <c r="E130" s="124">
        <v>0</v>
      </c>
      <c r="F130" s="65">
        <v>0</v>
      </c>
      <c r="G130" s="65">
        <v>-63221.34</v>
      </c>
      <c r="H130" s="65">
        <v>63221.34</v>
      </c>
      <c r="I130" s="65">
        <v>0</v>
      </c>
      <c r="J130" s="65" t="s">
        <v>1284</v>
      </c>
    </row>
    <row r="131" spans="1:10" x14ac:dyDescent="0.2">
      <c r="A131" s="65">
        <v>236</v>
      </c>
      <c r="B131" s="65" t="s">
        <v>1295</v>
      </c>
      <c r="C131" s="123">
        <v>45809</v>
      </c>
      <c r="D131" s="65" t="s">
        <v>344</v>
      </c>
      <c r="E131" s="124">
        <v>0</v>
      </c>
      <c r="F131" s="65">
        <v>0</v>
      </c>
      <c r="G131" s="65">
        <v>-176711.4</v>
      </c>
      <c r="H131" s="65">
        <v>176711.4</v>
      </c>
      <c r="I131" s="65">
        <v>0</v>
      </c>
      <c r="J131" s="65" t="s">
        <v>1284</v>
      </c>
    </row>
  </sheetData>
  <autoFilter ref="A2:J131" xr:uid="{00000000-0009-0000-0000-00000B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L1000"/>
  <sheetViews>
    <sheetView showGridLines="0" workbookViewId="0"/>
  </sheetViews>
  <sheetFormatPr baseColWidth="10" defaultColWidth="12.5703125" defaultRowHeight="15.75" customHeight="1" x14ac:dyDescent="0.2"/>
  <sheetData>
    <row r="1" spans="1:38" x14ac:dyDescent="0.2">
      <c r="A1" s="137"/>
      <c r="B1" s="138"/>
      <c r="C1" s="139" t="s">
        <v>3200</v>
      </c>
      <c r="D1" s="140"/>
      <c r="E1" s="125"/>
      <c r="H1" s="65" t="s">
        <v>1256</v>
      </c>
      <c r="I1" s="65" t="s">
        <v>1257</v>
      </c>
      <c r="J1" s="65" t="s">
        <v>1296</v>
      </c>
      <c r="K1" s="65" t="s">
        <v>1297</v>
      </c>
      <c r="O1" s="74" t="s">
        <v>4</v>
      </c>
      <c r="P1" s="75" t="s">
        <v>101</v>
      </c>
      <c r="Q1" s="76" t="s">
        <v>197</v>
      </c>
      <c r="R1" s="76" t="s">
        <v>201</v>
      </c>
      <c r="S1" s="76" t="s">
        <v>204</v>
      </c>
      <c r="T1" s="76" t="s">
        <v>206</v>
      </c>
      <c r="U1" s="76" t="s">
        <v>1232</v>
      </c>
      <c r="V1" s="75" t="s">
        <v>207</v>
      </c>
      <c r="Y1" s="65" t="s">
        <v>1298</v>
      </c>
      <c r="Z1" s="65" t="s">
        <v>1299</v>
      </c>
      <c r="AA1" s="65" t="s">
        <v>1300</v>
      </c>
      <c r="AB1" s="65" t="s">
        <v>319</v>
      </c>
      <c r="AC1" s="65" t="s">
        <v>1301</v>
      </c>
      <c r="AD1" s="65" t="s">
        <v>1248</v>
      </c>
      <c r="AE1" s="65" t="s">
        <v>1302</v>
      </c>
      <c r="AF1" s="65" t="s">
        <v>1303</v>
      </c>
      <c r="AG1" s="65" t="s">
        <v>1304</v>
      </c>
      <c r="AH1" s="65" t="s">
        <v>1305</v>
      </c>
      <c r="AI1" s="65" t="s">
        <v>1306</v>
      </c>
      <c r="AJ1" s="65" t="s">
        <v>1307</v>
      </c>
      <c r="AK1" s="65" t="s">
        <v>1308</v>
      </c>
      <c r="AL1" s="65"/>
    </row>
    <row r="2" spans="1:38" x14ac:dyDescent="0.2">
      <c r="A2" s="139" t="s">
        <v>1256</v>
      </c>
      <c r="B2" s="139" t="s">
        <v>1257</v>
      </c>
      <c r="C2" s="137" t="s">
        <v>3201</v>
      </c>
      <c r="D2" s="141" t="s">
        <v>3202</v>
      </c>
      <c r="E2" s="125" t="e">
        <f t="shared" ref="E2:E85" si="0">D2/C2</f>
        <v>#VALUE!</v>
      </c>
      <c r="H2" s="65">
        <v>154</v>
      </c>
      <c r="I2" s="65" t="s">
        <v>1287</v>
      </c>
      <c r="J2" s="124">
        <v>0</v>
      </c>
      <c r="K2" s="65">
        <v>0</v>
      </c>
      <c r="O2" s="78" t="s">
        <v>5</v>
      </c>
      <c r="P2" s="79" t="s">
        <v>102</v>
      </c>
      <c r="Q2" s="80">
        <f t="shared" ref="Q2:Q79" si="1">VLOOKUP(O2,$Z$1:$AK$288,3,0)</f>
        <v>3</v>
      </c>
      <c r="R2" s="80" t="str">
        <f t="shared" ref="R2:R79" si="2">VLOOKUP(O2,$Z$1:$AK$288,4,0)</f>
        <v>NO</v>
      </c>
      <c r="S2" s="97">
        <f t="shared" ref="S2:S79" si="3">VLOOKUP(O2,$Z$1:$AK$288,5,0)</f>
        <v>2</v>
      </c>
      <c r="T2" s="80">
        <f t="shared" ref="T2:T79" si="4">VLOOKUP(O2,$Z$1:$AK$288,11,0)</f>
        <v>128597</v>
      </c>
      <c r="U2" s="98">
        <f t="shared" ref="U2:U79" si="5">VLOOKUP(O2,$Z$1:$AK$288,12,0)</f>
        <v>2.1000000000000001E-2</v>
      </c>
      <c r="V2" s="81" t="s">
        <v>208</v>
      </c>
      <c r="Y2" s="65" t="s">
        <v>1309</v>
      </c>
      <c r="Z2" s="65" t="s">
        <v>588</v>
      </c>
      <c r="AA2" s="65" t="s">
        <v>589</v>
      </c>
      <c r="AB2" s="65">
        <f>VLOOKUP(Z2,SABANA!$B$1:$AY$479,27,0)</f>
        <v>4</v>
      </c>
      <c r="AC2" s="65" t="str">
        <f>VLOOKUP(Z2,SABANA!$B$1:$AY$479,48,0)</f>
        <v>NO</v>
      </c>
      <c r="AD2" s="65">
        <f>VLOOKUP(Z2,SABANA!$B$1:$AY$479,41,0)</f>
        <v>1</v>
      </c>
      <c r="AE2" s="65">
        <v>6</v>
      </c>
      <c r="AF2" s="65">
        <v>66221</v>
      </c>
      <c r="AG2" s="65">
        <v>2207.3666669999998</v>
      </c>
      <c r="AH2" s="65">
        <v>213509752</v>
      </c>
      <c r="AI2" s="65">
        <v>8974120</v>
      </c>
      <c r="AJ2" s="65">
        <v>299137.3333</v>
      </c>
      <c r="AK2" s="71">
        <v>4.2000000000000003E-2</v>
      </c>
      <c r="AL2" s="71"/>
    </row>
    <row r="3" spans="1:38" x14ac:dyDescent="0.2">
      <c r="A3" s="137">
        <v>154</v>
      </c>
      <c r="B3" s="137" t="s">
        <v>1287</v>
      </c>
      <c r="C3" s="142">
        <v>0</v>
      </c>
      <c r="D3" s="143">
        <v>0</v>
      </c>
      <c r="E3" s="125" t="e">
        <f t="shared" si="0"/>
        <v>#DIV/0!</v>
      </c>
      <c r="H3" s="65">
        <v>155</v>
      </c>
      <c r="I3" s="65" t="s">
        <v>234</v>
      </c>
      <c r="J3" s="124">
        <v>20542810</v>
      </c>
      <c r="K3" s="65">
        <v>1214619.3899999999</v>
      </c>
      <c r="O3" s="78" t="s">
        <v>35</v>
      </c>
      <c r="P3" s="79" t="s">
        <v>132</v>
      </c>
      <c r="Q3" s="80">
        <f t="shared" si="1"/>
        <v>2</v>
      </c>
      <c r="R3" s="80" t="str">
        <f t="shared" si="2"/>
        <v>NO</v>
      </c>
      <c r="S3" s="97">
        <f t="shared" si="3"/>
        <v>2</v>
      </c>
      <c r="T3" s="80">
        <f t="shared" si="4"/>
        <v>175583.3333</v>
      </c>
      <c r="U3" s="98">
        <f t="shared" si="5"/>
        <v>2.7E-2</v>
      </c>
      <c r="V3" s="81" t="s">
        <v>208</v>
      </c>
      <c r="Y3" s="65" t="s">
        <v>1309</v>
      </c>
      <c r="Z3" s="65" t="s">
        <v>590</v>
      </c>
      <c r="AA3" s="65" t="s">
        <v>591</v>
      </c>
      <c r="AB3" s="65">
        <f>VLOOKUP(Z3,SABANA!$B$1:$AY$479,27,0)</f>
        <v>3</v>
      </c>
      <c r="AC3" s="65" t="str">
        <f>VLOOKUP(Z3,SABANA!$B$1:$AY$479,48,0)</f>
        <v>NO</v>
      </c>
      <c r="AD3" s="65">
        <f>VLOOKUP(Z3,SABANA!$B$1:$AY$479,41,0)</f>
        <v>1</v>
      </c>
      <c r="AE3" s="65">
        <v>6</v>
      </c>
      <c r="AF3" s="65">
        <v>50321</v>
      </c>
      <c r="AG3" s="65">
        <v>1677.366667</v>
      </c>
      <c r="AH3" s="65">
        <v>167408593</v>
      </c>
      <c r="AI3" s="65">
        <v>6120700</v>
      </c>
      <c r="AJ3" s="65">
        <v>204023.3333</v>
      </c>
      <c r="AK3" s="71">
        <v>3.6999999999999998E-2</v>
      </c>
      <c r="AL3" s="71"/>
    </row>
    <row r="4" spans="1:38" x14ac:dyDescent="0.2">
      <c r="A4" s="137">
        <v>155</v>
      </c>
      <c r="B4" s="137" t="s">
        <v>234</v>
      </c>
      <c r="C4" s="142">
        <v>20542810</v>
      </c>
      <c r="D4" s="143">
        <v>1214619.3899999999</v>
      </c>
      <c r="E4" s="125">
        <f t="shared" si="0"/>
        <v>5.9126253419079469E-2</v>
      </c>
      <c r="H4" s="65">
        <v>157</v>
      </c>
      <c r="I4" s="65" t="s">
        <v>240</v>
      </c>
      <c r="J4" s="124">
        <v>52729580</v>
      </c>
      <c r="K4" s="65">
        <v>789060.63</v>
      </c>
      <c r="O4" s="78" t="s">
        <v>366</v>
      </c>
      <c r="P4" s="79" t="s">
        <v>367</v>
      </c>
      <c r="Q4" s="80">
        <f t="shared" si="1"/>
        <v>3</v>
      </c>
      <c r="R4" s="80" t="str">
        <f t="shared" si="2"/>
        <v>NO</v>
      </c>
      <c r="S4" s="97">
        <f t="shared" si="3"/>
        <v>2</v>
      </c>
      <c r="T4" s="80">
        <f t="shared" si="4"/>
        <v>84847.666670000006</v>
      </c>
      <c r="U4" s="98">
        <f t="shared" si="5"/>
        <v>2.5999999999999999E-2</v>
      </c>
      <c r="V4" s="87" t="s">
        <v>209</v>
      </c>
      <c r="Y4" s="65" t="s">
        <v>1309</v>
      </c>
      <c r="Z4" s="65" t="s">
        <v>594</v>
      </c>
      <c r="AA4" s="65" t="s">
        <v>595</v>
      </c>
      <c r="AB4" s="65">
        <f>VLOOKUP(Z4,SABANA!$B$1:$AY$479,27,0)</f>
        <v>2</v>
      </c>
      <c r="AC4" s="65" t="str">
        <f>VLOOKUP(Z4,SABANA!$B$1:$AY$479,48,0)</f>
        <v>NO</v>
      </c>
      <c r="AD4" s="65">
        <f>VLOOKUP(Z4,SABANA!$B$1:$AY$479,41,0)</f>
        <v>1</v>
      </c>
      <c r="AE4" s="65">
        <v>6</v>
      </c>
      <c r="AF4" s="65">
        <v>69470</v>
      </c>
      <c r="AG4" s="65">
        <v>2315.666667</v>
      </c>
      <c r="AH4" s="65">
        <v>214012516</v>
      </c>
      <c r="AI4" s="65">
        <v>3843250</v>
      </c>
      <c r="AJ4" s="65">
        <v>128108.3333</v>
      </c>
      <c r="AK4" s="71">
        <v>1.7999999999999999E-2</v>
      </c>
      <c r="AL4" s="71"/>
    </row>
    <row r="5" spans="1:38" x14ac:dyDescent="0.2">
      <c r="A5" s="137">
        <v>157</v>
      </c>
      <c r="B5" s="137" t="s">
        <v>240</v>
      </c>
      <c r="C5" s="142">
        <v>52729580</v>
      </c>
      <c r="D5" s="143">
        <v>789060.63</v>
      </c>
      <c r="E5" s="125">
        <f t="shared" si="0"/>
        <v>1.4964288166148868E-2</v>
      </c>
      <c r="H5" s="65">
        <v>175</v>
      </c>
      <c r="I5" s="65" t="s">
        <v>250</v>
      </c>
      <c r="J5" s="124">
        <v>9692010</v>
      </c>
      <c r="K5" s="65">
        <v>301329.57</v>
      </c>
      <c r="O5" s="78" t="s">
        <v>66</v>
      </c>
      <c r="P5" s="79" t="s">
        <v>163</v>
      </c>
      <c r="Q5" s="80">
        <f t="shared" si="1"/>
        <v>5</v>
      </c>
      <c r="R5" s="80" t="str">
        <f t="shared" si="2"/>
        <v>SI</v>
      </c>
      <c r="S5" s="97">
        <f t="shared" si="3"/>
        <v>4</v>
      </c>
      <c r="T5" s="80">
        <f t="shared" si="4"/>
        <v>915786.33330000006</v>
      </c>
      <c r="U5" s="98">
        <f t="shared" si="5"/>
        <v>8.6999999999999994E-2</v>
      </c>
      <c r="V5" s="88" t="s">
        <v>210</v>
      </c>
      <c r="Y5" s="65" t="s">
        <v>1309</v>
      </c>
      <c r="Z5" s="65" t="s">
        <v>596</v>
      </c>
      <c r="AA5" s="65" t="s">
        <v>597</v>
      </c>
      <c r="AB5" s="65">
        <f>VLOOKUP(Z5,SABANA!$B$1:$AY$479,27,0)</f>
        <v>4</v>
      </c>
      <c r="AC5" s="65" t="str">
        <f>VLOOKUP(Z5,SABANA!$B$1:$AY$479,48,0)</f>
        <v>NO</v>
      </c>
      <c r="AD5" s="65">
        <f>VLOOKUP(Z5,SABANA!$B$1:$AY$479,41,0)</f>
        <v>2</v>
      </c>
      <c r="AE5" s="65">
        <v>6</v>
      </c>
      <c r="AF5" s="65">
        <v>57653</v>
      </c>
      <c r="AG5" s="65">
        <v>1921.7666670000001</v>
      </c>
      <c r="AH5" s="65">
        <v>179690734</v>
      </c>
      <c r="AI5" s="65">
        <v>7278330</v>
      </c>
      <c r="AJ5" s="65">
        <v>242611</v>
      </c>
      <c r="AK5" s="71">
        <v>4.1000000000000002E-2</v>
      </c>
      <c r="AL5" s="71"/>
    </row>
    <row r="6" spans="1:38" x14ac:dyDescent="0.2">
      <c r="A6" s="137">
        <v>175</v>
      </c>
      <c r="B6" s="137" t="s">
        <v>250</v>
      </c>
      <c r="C6" s="142">
        <v>9692010</v>
      </c>
      <c r="D6" s="143">
        <v>301329.57</v>
      </c>
      <c r="E6" s="125">
        <f t="shared" si="0"/>
        <v>3.1090513732445594E-2</v>
      </c>
      <c r="H6" s="65">
        <v>217</v>
      </c>
      <c r="I6" s="65" t="s">
        <v>1289</v>
      </c>
      <c r="J6" s="124">
        <v>0</v>
      </c>
      <c r="K6" s="65">
        <v>0</v>
      </c>
      <c r="O6" s="78" t="s">
        <v>67</v>
      </c>
      <c r="P6" s="79" t="s">
        <v>164</v>
      </c>
      <c r="Q6" s="80">
        <f t="shared" si="1"/>
        <v>4</v>
      </c>
      <c r="R6" s="80" t="str">
        <f t="shared" si="2"/>
        <v>SI</v>
      </c>
      <c r="S6" s="97">
        <f t="shared" si="3"/>
        <v>4</v>
      </c>
      <c r="T6" s="80">
        <f t="shared" si="4"/>
        <v>741700.66669999994</v>
      </c>
      <c r="U6" s="98">
        <f t="shared" si="5"/>
        <v>7.4999999999999997E-2</v>
      </c>
      <c r="V6" s="88" t="s">
        <v>210</v>
      </c>
      <c r="Y6" s="65" t="s">
        <v>1309</v>
      </c>
      <c r="Z6" s="65" t="s">
        <v>598</v>
      </c>
      <c r="AA6" s="65" t="s">
        <v>599</v>
      </c>
      <c r="AB6" s="65">
        <f>VLOOKUP(Z6,SABANA!$B$1:$AY$479,27,0)</f>
        <v>2</v>
      </c>
      <c r="AC6" s="65" t="str">
        <f>VLOOKUP(Z6,SABANA!$B$1:$AY$479,48,0)</f>
        <v>NO</v>
      </c>
      <c r="AD6" s="65">
        <f>VLOOKUP(Z6,SABANA!$B$1:$AY$479,41,0)</f>
        <v>1</v>
      </c>
      <c r="AE6" s="65">
        <v>6</v>
      </c>
      <c r="AF6" s="65">
        <v>91452</v>
      </c>
      <c r="AG6" s="65">
        <v>3048.4</v>
      </c>
      <c r="AH6" s="65">
        <v>285240314</v>
      </c>
      <c r="AI6" s="65">
        <v>6135140</v>
      </c>
      <c r="AJ6" s="65">
        <v>204504.6667</v>
      </c>
      <c r="AK6" s="71">
        <v>2.1999999999999999E-2</v>
      </c>
      <c r="AL6" s="71"/>
    </row>
    <row r="7" spans="1:38" x14ac:dyDescent="0.2">
      <c r="A7" s="137">
        <v>217</v>
      </c>
      <c r="B7" s="137" t="s">
        <v>1289</v>
      </c>
      <c r="C7" s="142">
        <v>0</v>
      </c>
      <c r="D7" s="143">
        <v>0</v>
      </c>
      <c r="E7" s="125" t="e">
        <f t="shared" si="0"/>
        <v>#DIV/0!</v>
      </c>
      <c r="H7" s="65">
        <v>223</v>
      </c>
      <c r="I7" s="65" t="s">
        <v>1290</v>
      </c>
      <c r="J7" s="124">
        <v>0</v>
      </c>
      <c r="K7" s="65">
        <v>0</v>
      </c>
      <c r="O7" s="78" t="s">
        <v>368</v>
      </c>
      <c r="P7" s="79" t="s">
        <v>369</v>
      </c>
      <c r="Q7" s="80">
        <f t="shared" si="1"/>
        <v>3</v>
      </c>
      <c r="R7" s="80" t="str">
        <f t="shared" si="2"/>
        <v>NO</v>
      </c>
      <c r="S7" s="97">
        <f t="shared" si="3"/>
        <v>2</v>
      </c>
      <c r="T7" s="80">
        <f t="shared" si="4"/>
        <v>117157.6667</v>
      </c>
      <c r="U7" s="98">
        <f t="shared" si="5"/>
        <v>3.5000000000000003E-2</v>
      </c>
      <c r="V7" s="87" t="s">
        <v>209</v>
      </c>
      <c r="Y7" s="65" t="s">
        <v>1309</v>
      </c>
      <c r="Z7" s="65" t="s">
        <v>602</v>
      </c>
      <c r="AA7" s="65" t="s">
        <v>603</v>
      </c>
      <c r="AB7" s="65">
        <f>VLOOKUP(Z7,SABANA!$B$1:$AY$479,27,0)</f>
        <v>3</v>
      </c>
      <c r="AC7" s="65" t="str">
        <f>VLOOKUP(Z7,SABANA!$B$1:$AY$479,48,0)</f>
        <v>NO</v>
      </c>
      <c r="AD7" s="65">
        <f>VLOOKUP(Z7,SABANA!$B$1:$AY$479,41,0)</f>
        <v>1</v>
      </c>
      <c r="AE7" s="65">
        <v>6</v>
      </c>
      <c r="AF7" s="65">
        <v>55562</v>
      </c>
      <c r="AG7" s="65">
        <v>1852.0666670000001</v>
      </c>
      <c r="AH7" s="65">
        <v>194146146</v>
      </c>
      <c r="AI7" s="65">
        <v>4851160</v>
      </c>
      <c r="AJ7" s="65">
        <v>161705.3333</v>
      </c>
      <c r="AK7" s="71">
        <v>2.5000000000000001E-2</v>
      </c>
      <c r="AL7" s="71"/>
    </row>
    <row r="8" spans="1:38" x14ac:dyDescent="0.2">
      <c r="A8" s="137">
        <v>223</v>
      </c>
      <c r="B8" s="137" t="s">
        <v>1290</v>
      </c>
      <c r="C8" s="142">
        <v>0</v>
      </c>
      <c r="D8" s="143">
        <v>0</v>
      </c>
      <c r="E8" s="125" t="e">
        <f t="shared" si="0"/>
        <v>#DIV/0!</v>
      </c>
      <c r="H8" s="65">
        <v>231</v>
      </c>
      <c r="I8" s="65" t="s">
        <v>289</v>
      </c>
      <c r="J8" s="124">
        <v>19301900</v>
      </c>
      <c r="K8" s="65">
        <v>2317370.31</v>
      </c>
      <c r="O8" s="78" t="s">
        <v>68</v>
      </c>
      <c r="P8" s="79" t="s">
        <v>165</v>
      </c>
      <c r="Q8" s="80">
        <f t="shared" si="1"/>
        <v>4</v>
      </c>
      <c r="R8" s="80" t="str">
        <f t="shared" si="2"/>
        <v>SI</v>
      </c>
      <c r="S8" s="97">
        <f t="shared" si="3"/>
        <v>4</v>
      </c>
      <c r="T8" s="80">
        <f t="shared" si="4"/>
        <v>568537.33330000006</v>
      </c>
      <c r="U8" s="98">
        <f t="shared" si="5"/>
        <v>8.1000000000000003E-2</v>
      </c>
      <c r="V8" s="88" t="s">
        <v>210</v>
      </c>
      <c r="Y8" s="65" t="s">
        <v>1309</v>
      </c>
      <c r="Z8" s="65" t="s">
        <v>604</v>
      </c>
      <c r="AA8" s="65" t="s">
        <v>605</v>
      </c>
      <c r="AB8" s="65">
        <f>VLOOKUP(Z8,SABANA!$B$1:$AY$479,27,0)</f>
        <v>2</v>
      </c>
      <c r="AC8" s="65" t="str">
        <f>VLOOKUP(Z8,SABANA!$B$1:$AY$479,48,0)</f>
        <v>NO</v>
      </c>
      <c r="AD8" s="65">
        <f>VLOOKUP(Z8,SABANA!$B$1:$AY$479,41,0)</f>
        <v>1</v>
      </c>
      <c r="AE8" s="65">
        <v>6</v>
      </c>
      <c r="AF8" s="65">
        <v>47182</v>
      </c>
      <c r="AG8" s="65">
        <v>1572.7333329999999</v>
      </c>
      <c r="AH8" s="65">
        <v>145156279</v>
      </c>
      <c r="AJ8" s="65">
        <v>0</v>
      </c>
      <c r="AK8" s="71">
        <v>0</v>
      </c>
      <c r="AL8" s="71"/>
    </row>
    <row r="9" spans="1:38" x14ac:dyDescent="0.2">
      <c r="A9" s="137">
        <v>231</v>
      </c>
      <c r="B9" s="137" t="s">
        <v>289</v>
      </c>
      <c r="C9" s="142">
        <v>19301900</v>
      </c>
      <c r="D9" s="143">
        <v>2317370.31</v>
      </c>
      <c r="E9" s="125">
        <f t="shared" si="0"/>
        <v>0.12005918122050162</v>
      </c>
      <c r="H9" s="65">
        <v>232</v>
      </c>
      <c r="I9" s="65" t="s">
        <v>1293</v>
      </c>
      <c r="J9" s="124">
        <v>0</v>
      </c>
      <c r="K9" s="65">
        <v>0</v>
      </c>
      <c r="O9" s="78" t="s">
        <v>6</v>
      </c>
      <c r="P9" s="79" t="s">
        <v>103</v>
      </c>
      <c r="Q9" s="80">
        <f t="shared" si="1"/>
        <v>3</v>
      </c>
      <c r="R9" s="80" t="str">
        <f t="shared" si="2"/>
        <v>NO</v>
      </c>
      <c r="S9" s="97">
        <f t="shared" si="3"/>
        <v>4</v>
      </c>
      <c r="T9" s="80">
        <f t="shared" si="4"/>
        <v>137402</v>
      </c>
      <c r="U9" s="98">
        <f t="shared" si="5"/>
        <v>2.8000000000000001E-2</v>
      </c>
      <c r="V9" s="87" t="s">
        <v>209</v>
      </c>
      <c r="Y9" s="65" t="s">
        <v>1309</v>
      </c>
      <c r="Z9" s="65" t="s">
        <v>607</v>
      </c>
      <c r="AA9" s="65" t="s">
        <v>608</v>
      </c>
      <c r="AB9" s="65">
        <f>VLOOKUP(Z9,SABANA!$B$1:$AY$479,27,0)</f>
        <v>3</v>
      </c>
      <c r="AC9" s="65" t="str">
        <f>VLOOKUP(Z9,SABANA!$B$1:$AY$479,48,0)</f>
        <v>NO</v>
      </c>
      <c r="AD9" s="65">
        <f>VLOOKUP(Z9,SABANA!$B$1:$AY$479,41,0)</f>
        <v>3</v>
      </c>
      <c r="AE9" s="65">
        <v>6</v>
      </c>
      <c r="AF9" s="65">
        <v>40370</v>
      </c>
      <c r="AG9" s="65">
        <v>1345.666667</v>
      </c>
      <c r="AH9" s="65">
        <v>125423559</v>
      </c>
      <c r="AI9" s="65">
        <v>2497010</v>
      </c>
      <c r="AJ9" s="65">
        <v>83233.666670000006</v>
      </c>
      <c r="AK9" s="71">
        <v>0.02</v>
      </c>
      <c r="AL9" s="71"/>
    </row>
    <row r="10" spans="1:38" x14ac:dyDescent="0.2">
      <c r="A10" s="137">
        <v>232</v>
      </c>
      <c r="B10" s="137" t="s">
        <v>1293</v>
      </c>
      <c r="C10" s="142">
        <v>0</v>
      </c>
      <c r="D10" s="143">
        <v>0</v>
      </c>
      <c r="E10" s="125" t="e">
        <f t="shared" si="0"/>
        <v>#DIV/0!</v>
      </c>
      <c r="H10" s="65">
        <v>233</v>
      </c>
      <c r="I10" s="65" t="s">
        <v>298</v>
      </c>
      <c r="J10" s="124">
        <v>14569450</v>
      </c>
      <c r="K10" s="65">
        <v>773219.5</v>
      </c>
      <c r="O10" s="78" t="s">
        <v>372</v>
      </c>
      <c r="P10" s="79" t="s">
        <v>462</v>
      </c>
      <c r="Q10" s="80">
        <f t="shared" si="1"/>
        <v>3</v>
      </c>
      <c r="R10" s="80" t="str">
        <f t="shared" si="2"/>
        <v>NO</v>
      </c>
      <c r="S10" s="97">
        <f t="shared" si="3"/>
        <v>2</v>
      </c>
      <c r="T10" s="80">
        <f t="shared" si="4"/>
        <v>98653.333329999994</v>
      </c>
      <c r="U10" s="98">
        <f t="shared" si="5"/>
        <v>2.3E-2</v>
      </c>
      <c r="V10" s="81" t="s">
        <v>208</v>
      </c>
      <c r="Y10" s="65" t="s">
        <v>1309</v>
      </c>
      <c r="Z10" s="65" t="s">
        <v>609</v>
      </c>
      <c r="AA10" s="65" t="s">
        <v>610</v>
      </c>
      <c r="AB10" s="65">
        <f>VLOOKUP(Z10,SABANA!$B$1:$AY$479,27,0)</f>
        <v>2</v>
      </c>
      <c r="AC10" s="65" t="str">
        <f>VLOOKUP(Z10,SABANA!$B$1:$AY$479,48,0)</f>
        <v>NO</v>
      </c>
      <c r="AD10" s="65">
        <f>VLOOKUP(Z10,SABANA!$B$1:$AY$479,41,0)</f>
        <v>1</v>
      </c>
      <c r="AE10" s="65">
        <v>6</v>
      </c>
      <c r="AF10" s="65">
        <v>58262</v>
      </c>
      <c r="AG10" s="65">
        <v>1942.0666670000001</v>
      </c>
      <c r="AH10" s="65">
        <v>186409152</v>
      </c>
      <c r="AI10" s="65">
        <v>3092010</v>
      </c>
      <c r="AJ10" s="65">
        <v>103067</v>
      </c>
      <c r="AK10" s="71">
        <v>1.7000000000000001E-2</v>
      </c>
      <c r="AL10" s="71"/>
    </row>
    <row r="11" spans="1:38" x14ac:dyDescent="0.2">
      <c r="A11" s="137">
        <v>233</v>
      </c>
      <c r="B11" s="137" t="s">
        <v>298</v>
      </c>
      <c r="C11" s="142">
        <v>14569450</v>
      </c>
      <c r="D11" s="143">
        <v>773219.5</v>
      </c>
      <c r="E11" s="125">
        <f t="shared" si="0"/>
        <v>5.3071289581967745E-2</v>
      </c>
      <c r="H11" s="65">
        <v>235</v>
      </c>
      <c r="I11" s="65" t="s">
        <v>309</v>
      </c>
      <c r="J11" s="124">
        <v>16810890</v>
      </c>
      <c r="K11" s="65">
        <v>1699368.74</v>
      </c>
      <c r="O11" s="78" t="s">
        <v>7</v>
      </c>
      <c r="P11" s="79" t="s">
        <v>104</v>
      </c>
      <c r="Q11" s="80">
        <f t="shared" si="1"/>
        <v>2</v>
      </c>
      <c r="R11" s="80" t="str">
        <f t="shared" si="2"/>
        <v>NO</v>
      </c>
      <c r="S11" s="97">
        <f t="shared" si="3"/>
        <v>2</v>
      </c>
      <c r="T11" s="80">
        <f t="shared" si="4"/>
        <v>125239.6667</v>
      </c>
      <c r="U11" s="98">
        <f t="shared" si="5"/>
        <v>2.5000000000000001E-2</v>
      </c>
      <c r="V11" s="81" t="s">
        <v>208</v>
      </c>
      <c r="Y11" s="65" t="s">
        <v>1309</v>
      </c>
      <c r="Z11" s="65" t="s">
        <v>613</v>
      </c>
      <c r="AA11" s="65" t="s">
        <v>614</v>
      </c>
      <c r="AB11" s="65">
        <f>VLOOKUP(Z11,SABANA!$B$1:$AY$479,27,0)</f>
        <v>4</v>
      </c>
      <c r="AC11" s="65" t="str">
        <f>VLOOKUP(Z11,SABANA!$B$1:$AY$479,48,0)</f>
        <v>NO</v>
      </c>
      <c r="AD11" s="65">
        <f>VLOOKUP(Z11,SABANA!$B$1:$AY$479,41,0)</f>
        <v>1</v>
      </c>
      <c r="AE11" s="65">
        <v>6</v>
      </c>
      <c r="AF11" s="65">
        <v>37488</v>
      </c>
      <c r="AG11" s="65">
        <v>1249.5999999999999</v>
      </c>
      <c r="AH11" s="65">
        <v>125527350</v>
      </c>
      <c r="AI11" s="65">
        <v>5408530</v>
      </c>
      <c r="AJ11" s="65">
        <v>180284.3333</v>
      </c>
      <c r="AK11" s="71">
        <v>4.2999999999999997E-2</v>
      </c>
      <c r="AL11" s="71"/>
    </row>
    <row r="12" spans="1:38" x14ac:dyDescent="0.2">
      <c r="A12" s="137">
        <v>235</v>
      </c>
      <c r="B12" s="137" t="s">
        <v>309</v>
      </c>
      <c r="C12" s="142">
        <v>16810890</v>
      </c>
      <c r="D12" s="143">
        <v>1699368.74</v>
      </c>
      <c r="E12" s="125">
        <f t="shared" si="0"/>
        <v>0.1010873749099542</v>
      </c>
      <c r="H12" s="65">
        <v>236</v>
      </c>
      <c r="I12" s="65" t="s">
        <v>1295</v>
      </c>
      <c r="J12" s="124">
        <v>0</v>
      </c>
      <c r="K12" s="65">
        <v>0</v>
      </c>
      <c r="O12" s="78" t="s">
        <v>69</v>
      </c>
      <c r="P12" s="79" t="s">
        <v>166</v>
      </c>
      <c r="Q12" s="80">
        <f t="shared" si="1"/>
        <v>4</v>
      </c>
      <c r="R12" s="80" t="str">
        <f t="shared" si="2"/>
        <v>SI</v>
      </c>
      <c r="S12" s="97">
        <f t="shared" si="3"/>
        <v>2</v>
      </c>
      <c r="T12" s="80">
        <f t="shared" si="4"/>
        <v>488082.3333</v>
      </c>
      <c r="U12" s="98">
        <f t="shared" si="5"/>
        <v>6.8000000000000005E-2</v>
      </c>
      <c r="V12" s="88" t="s">
        <v>210</v>
      </c>
      <c r="Y12" s="65" t="s">
        <v>1309</v>
      </c>
      <c r="Z12" s="65" t="s">
        <v>742</v>
      </c>
      <c r="AA12" s="65" t="s">
        <v>743</v>
      </c>
      <c r="AB12" s="65">
        <f>VLOOKUP(Z12,SABANA!$B$1:$AY$479,27,0)</f>
        <v>2</v>
      </c>
      <c r="AC12" s="65" t="str">
        <f>VLOOKUP(Z12,SABANA!$B$1:$AY$479,48,0)</f>
        <v>NO</v>
      </c>
      <c r="AD12" s="65">
        <f>VLOOKUP(Z12,SABANA!$B$1:$AY$479,41,0)</f>
        <v>1</v>
      </c>
      <c r="AE12" s="65">
        <v>6</v>
      </c>
      <c r="AF12" s="65">
        <v>58704</v>
      </c>
      <c r="AG12" s="65">
        <v>1956.8</v>
      </c>
      <c r="AH12" s="65">
        <v>164469566</v>
      </c>
      <c r="AJ12" s="65">
        <v>0</v>
      </c>
      <c r="AK12" s="71">
        <v>0</v>
      </c>
      <c r="AL12" s="71"/>
    </row>
    <row r="13" spans="1:38" x14ac:dyDescent="0.2">
      <c r="A13" s="137">
        <v>236</v>
      </c>
      <c r="B13" s="137" t="s">
        <v>1295</v>
      </c>
      <c r="C13" s="142">
        <v>0</v>
      </c>
      <c r="D13" s="143">
        <v>0</v>
      </c>
      <c r="E13" s="125" t="e">
        <f t="shared" si="0"/>
        <v>#DIV/0!</v>
      </c>
      <c r="H13" s="65">
        <v>238</v>
      </c>
      <c r="I13" s="65" t="s">
        <v>315</v>
      </c>
      <c r="J13" s="124">
        <v>21500</v>
      </c>
      <c r="K13" s="65">
        <v>-17672.57</v>
      </c>
      <c r="O13" s="78" t="s">
        <v>36</v>
      </c>
      <c r="P13" s="79" t="s">
        <v>133</v>
      </c>
      <c r="Q13" s="80">
        <f t="shared" si="1"/>
        <v>3</v>
      </c>
      <c r="R13" s="80" t="str">
        <f t="shared" si="2"/>
        <v>NO</v>
      </c>
      <c r="S13" s="97">
        <f t="shared" si="3"/>
        <v>2</v>
      </c>
      <c r="T13" s="80">
        <f t="shared" si="4"/>
        <v>203058.6667</v>
      </c>
      <c r="U13" s="98">
        <f t="shared" si="5"/>
        <v>3.5999999999999997E-2</v>
      </c>
      <c r="V13" s="87" t="s">
        <v>209</v>
      </c>
      <c r="Y13" s="65" t="s">
        <v>1309</v>
      </c>
      <c r="Z13" s="65" t="s">
        <v>750</v>
      </c>
      <c r="AA13" s="65" t="s">
        <v>751</v>
      </c>
      <c r="AB13" s="65">
        <f>VLOOKUP(Z13,SABANA!$B$1:$AY$479,27,0)</f>
        <v>4</v>
      </c>
      <c r="AC13" s="65" t="str">
        <f>VLOOKUP(Z13,SABANA!$B$1:$AY$479,48,0)</f>
        <v>NO</v>
      </c>
      <c r="AD13" s="65">
        <f>VLOOKUP(Z13,SABANA!$B$1:$AY$479,41,0)</f>
        <v>3</v>
      </c>
      <c r="AE13" s="65">
        <v>6</v>
      </c>
      <c r="AF13" s="65">
        <v>56167</v>
      </c>
      <c r="AG13" s="65">
        <v>1872.2333329999999</v>
      </c>
      <c r="AH13" s="65">
        <v>180910286</v>
      </c>
      <c r="AI13" s="65">
        <v>7874640</v>
      </c>
      <c r="AJ13" s="65">
        <v>262488</v>
      </c>
      <c r="AK13" s="71">
        <v>4.3999999999999997E-2</v>
      </c>
      <c r="AL13" s="71"/>
    </row>
    <row r="14" spans="1:38" x14ac:dyDescent="0.2">
      <c r="A14" s="137">
        <v>238</v>
      </c>
      <c r="B14" s="137" t="s">
        <v>315</v>
      </c>
      <c r="C14" s="142">
        <v>21500</v>
      </c>
      <c r="D14" s="143">
        <v>-17672.57</v>
      </c>
      <c r="E14" s="125">
        <f t="shared" si="0"/>
        <v>-0.82197999999999993</v>
      </c>
      <c r="H14" s="65">
        <v>754</v>
      </c>
      <c r="I14" s="65" t="s">
        <v>252</v>
      </c>
      <c r="J14" s="124">
        <v>4422700</v>
      </c>
      <c r="K14" s="65">
        <v>318945.84000000003</v>
      </c>
      <c r="O14" s="78" t="s">
        <v>37</v>
      </c>
      <c r="P14" s="79" t="s">
        <v>134</v>
      </c>
      <c r="Q14" s="80">
        <f t="shared" si="1"/>
        <v>3</v>
      </c>
      <c r="R14" s="80" t="str">
        <f t="shared" si="2"/>
        <v>NO</v>
      </c>
      <c r="S14" s="97">
        <f t="shared" si="3"/>
        <v>4</v>
      </c>
      <c r="T14" s="80">
        <f t="shared" si="4"/>
        <v>211281</v>
      </c>
      <c r="U14" s="98">
        <f t="shared" si="5"/>
        <v>3.5999999999999997E-2</v>
      </c>
      <c r="V14" s="87" t="s">
        <v>209</v>
      </c>
      <c r="Y14" s="65" t="s">
        <v>1309</v>
      </c>
      <c r="Z14" s="65" t="s">
        <v>752</v>
      </c>
      <c r="AA14" s="65" t="s">
        <v>753</v>
      </c>
      <c r="AB14" s="65">
        <f>VLOOKUP(Z14,SABANA!$B$1:$AY$479,27,0)</f>
        <v>4</v>
      </c>
      <c r="AC14" s="65" t="str">
        <f>VLOOKUP(Z14,SABANA!$B$1:$AY$479,48,0)</f>
        <v>NO</v>
      </c>
      <c r="AD14" s="65">
        <f>VLOOKUP(Z14,SABANA!$B$1:$AY$479,41,0)</f>
        <v>2</v>
      </c>
      <c r="AE14" s="65">
        <v>6</v>
      </c>
      <c r="AF14" s="65">
        <v>65618</v>
      </c>
      <c r="AG14" s="65">
        <v>2187.2666669999999</v>
      </c>
      <c r="AH14" s="65">
        <v>200843152</v>
      </c>
      <c r="AI14" s="65">
        <v>5464310</v>
      </c>
      <c r="AJ14" s="65">
        <v>182143.6667</v>
      </c>
      <c r="AK14" s="71">
        <v>2.7E-2</v>
      </c>
      <c r="AL14" s="71"/>
    </row>
    <row r="15" spans="1:38" x14ac:dyDescent="0.2">
      <c r="A15" s="137">
        <v>754</v>
      </c>
      <c r="B15" s="137" t="s">
        <v>252</v>
      </c>
      <c r="C15" s="142">
        <v>4422700</v>
      </c>
      <c r="D15" s="143">
        <v>318945.84000000003</v>
      </c>
      <c r="E15" s="125">
        <f t="shared" si="0"/>
        <v>7.21156397675628E-2</v>
      </c>
      <c r="H15" s="65">
        <v>883</v>
      </c>
      <c r="I15" s="65" t="s">
        <v>297</v>
      </c>
      <c r="J15" s="124">
        <v>5313830</v>
      </c>
      <c r="K15" s="65">
        <v>2112019.2399999998</v>
      </c>
      <c r="O15" s="78" t="s">
        <v>70</v>
      </c>
      <c r="P15" s="90" t="s">
        <v>167</v>
      </c>
      <c r="Q15" s="80">
        <f t="shared" si="1"/>
        <v>4</v>
      </c>
      <c r="R15" s="80" t="str">
        <f t="shared" si="2"/>
        <v>SI</v>
      </c>
      <c r="S15" s="97">
        <f t="shared" si="3"/>
        <v>2</v>
      </c>
      <c r="T15" s="80">
        <f t="shared" si="4"/>
        <v>666719.33330000006</v>
      </c>
      <c r="U15" s="98">
        <f t="shared" si="5"/>
        <v>0.10199999999999999</v>
      </c>
      <c r="V15" s="88" t="s">
        <v>210</v>
      </c>
      <c r="Y15" s="65" t="s">
        <v>1309</v>
      </c>
      <c r="Z15" s="65" t="s">
        <v>822</v>
      </c>
      <c r="AA15" s="65" t="s">
        <v>823</v>
      </c>
      <c r="AB15" s="65">
        <f>VLOOKUP(Z15,SABANA!$B$1:$AY$479,27,0)</f>
        <v>3</v>
      </c>
      <c r="AC15" s="65" t="str">
        <f>VLOOKUP(Z15,SABANA!$B$1:$AY$479,48,0)</f>
        <v>NO</v>
      </c>
      <c r="AD15" s="65">
        <f>VLOOKUP(Z15,SABANA!$B$1:$AY$479,41,0)</f>
        <v>2</v>
      </c>
      <c r="AE15" s="65">
        <v>6</v>
      </c>
      <c r="AF15" s="65">
        <v>58721</v>
      </c>
      <c r="AG15" s="65">
        <v>1957.366667</v>
      </c>
      <c r="AH15" s="65">
        <v>207471899</v>
      </c>
      <c r="AI15" s="65">
        <v>6337130</v>
      </c>
      <c r="AJ15" s="65">
        <v>211237.6667</v>
      </c>
      <c r="AK15" s="71">
        <v>3.1E-2</v>
      </c>
      <c r="AL15" s="71"/>
    </row>
    <row r="16" spans="1:38" x14ac:dyDescent="0.2">
      <c r="A16" s="137">
        <v>883</v>
      </c>
      <c r="B16" s="137" t="s">
        <v>297</v>
      </c>
      <c r="C16" s="142">
        <v>5313830</v>
      </c>
      <c r="D16" s="143">
        <v>2112019.2399999998</v>
      </c>
      <c r="E16" s="125">
        <f t="shared" si="0"/>
        <v>0.39745705827999761</v>
      </c>
      <c r="H16" s="65">
        <v>963</v>
      </c>
      <c r="I16" s="65" t="s">
        <v>1292</v>
      </c>
      <c r="J16" s="124">
        <v>0</v>
      </c>
      <c r="K16" s="65">
        <v>0</v>
      </c>
      <c r="O16" s="78" t="s">
        <v>71</v>
      </c>
      <c r="P16" s="79" t="s">
        <v>168</v>
      </c>
      <c r="Q16" s="80">
        <f t="shared" si="1"/>
        <v>3</v>
      </c>
      <c r="R16" s="80" t="str">
        <f t="shared" si="2"/>
        <v>SI</v>
      </c>
      <c r="S16" s="97">
        <f t="shared" si="3"/>
        <v>2</v>
      </c>
      <c r="T16" s="80">
        <f t="shared" si="4"/>
        <v>556227</v>
      </c>
      <c r="U16" s="98">
        <f t="shared" si="5"/>
        <v>7.5999999999999998E-2</v>
      </c>
      <c r="V16" s="88" t="s">
        <v>210</v>
      </c>
      <c r="Y16" s="65" t="s">
        <v>1309</v>
      </c>
      <c r="Z16" s="65" t="s">
        <v>867</v>
      </c>
      <c r="AA16" s="65" t="s">
        <v>868</v>
      </c>
      <c r="AB16" s="65">
        <f>VLOOKUP(Z16,SABANA!$B$1:$AY$479,27,0)</f>
        <v>4</v>
      </c>
      <c r="AC16" s="65" t="str">
        <f>VLOOKUP(Z16,SABANA!$B$1:$AY$479,48,0)</f>
        <v>NO</v>
      </c>
      <c r="AD16" s="65">
        <f>VLOOKUP(Z16,SABANA!$B$1:$AY$479,41,0)</f>
        <v>3</v>
      </c>
      <c r="AE16" s="65">
        <v>6</v>
      </c>
      <c r="AF16" s="65">
        <v>33667</v>
      </c>
      <c r="AG16" s="65">
        <v>1122.2333329999999</v>
      </c>
      <c r="AH16" s="65">
        <v>130570174</v>
      </c>
      <c r="AI16" s="65">
        <v>8002650</v>
      </c>
      <c r="AJ16" s="65">
        <v>266755</v>
      </c>
      <c r="AK16" s="71">
        <v>6.0999999999999999E-2</v>
      </c>
      <c r="AL16" s="71"/>
    </row>
    <row r="17" spans="1:38" x14ac:dyDescent="0.2">
      <c r="A17" s="137">
        <v>963</v>
      </c>
      <c r="B17" s="137" t="s">
        <v>1292</v>
      </c>
      <c r="C17" s="142">
        <v>0</v>
      </c>
      <c r="D17" s="143">
        <v>0</v>
      </c>
      <c r="E17" s="125" t="e">
        <f t="shared" si="0"/>
        <v>#DIV/0!</v>
      </c>
      <c r="H17" s="65">
        <v>964</v>
      </c>
      <c r="I17" s="65" t="s">
        <v>1294</v>
      </c>
      <c r="J17" s="124">
        <v>0</v>
      </c>
      <c r="K17" s="65">
        <v>0</v>
      </c>
      <c r="O17" s="78" t="s">
        <v>8</v>
      </c>
      <c r="P17" s="79" t="s">
        <v>105</v>
      </c>
      <c r="Q17" s="80">
        <f t="shared" si="1"/>
        <v>2</v>
      </c>
      <c r="R17" s="80" t="str">
        <f t="shared" si="2"/>
        <v>NO</v>
      </c>
      <c r="S17" s="97">
        <f t="shared" si="3"/>
        <v>2</v>
      </c>
      <c r="T17" s="80">
        <f t="shared" si="4"/>
        <v>96832</v>
      </c>
      <c r="U17" s="98">
        <f t="shared" si="5"/>
        <v>1.7000000000000001E-2</v>
      </c>
      <c r="V17" s="126" t="s">
        <v>208</v>
      </c>
      <c r="Y17" s="65" t="s">
        <v>1309</v>
      </c>
      <c r="Z17" s="65" t="s">
        <v>1083</v>
      </c>
      <c r="AA17" s="65" t="s">
        <v>1084</v>
      </c>
      <c r="AB17" s="65">
        <f>VLOOKUP(Z17,SABANA!$B$1:$AY$479,27,0)</f>
        <v>3</v>
      </c>
      <c r="AC17" s="65" t="str">
        <f>VLOOKUP(Z17,SABANA!$B$1:$AY$479,48,0)</f>
        <v>NO</v>
      </c>
      <c r="AD17" s="65">
        <f>VLOOKUP(Z17,SABANA!$B$1:$AY$479,41,0)</f>
        <v>2</v>
      </c>
      <c r="AE17" s="65">
        <v>6</v>
      </c>
      <c r="AF17" s="65">
        <v>79716</v>
      </c>
      <c r="AG17" s="65">
        <v>2657.2</v>
      </c>
      <c r="AH17" s="65">
        <v>278079100</v>
      </c>
      <c r="AI17" s="65">
        <v>6926540</v>
      </c>
      <c r="AJ17" s="65">
        <v>230884.6667</v>
      </c>
      <c r="AK17" s="71">
        <v>2.5000000000000001E-2</v>
      </c>
      <c r="AL17" s="71"/>
    </row>
    <row r="18" spans="1:38" x14ac:dyDescent="0.2">
      <c r="A18" s="137">
        <v>964</v>
      </c>
      <c r="B18" s="137" t="s">
        <v>1294</v>
      </c>
      <c r="C18" s="142">
        <v>0</v>
      </c>
      <c r="D18" s="143">
        <v>0</v>
      </c>
      <c r="E18" s="125" t="e">
        <f t="shared" si="0"/>
        <v>#DIV/0!</v>
      </c>
      <c r="H18" s="65">
        <v>965</v>
      </c>
      <c r="I18" s="65" t="s">
        <v>268</v>
      </c>
      <c r="J18" s="124">
        <v>0</v>
      </c>
      <c r="K18" s="65">
        <v>42486.51</v>
      </c>
      <c r="O18" s="78" t="s">
        <v>9</v>
      </c>
      <c r="P18" s="79" t="s">
        <v>106</v>
      </c>
      <c r="Q18" s="80">
        <f t="shared" si="1"/>
        <v>2</v>
      </c>
      <c r="R18" s="80" t="str">
        <f t="shared" si="2"/>
        <v>NO</v>
      </c>
      <c r="S18" s="97">
        <f t="shared" si="3"/>
        <v>2</v>
      </c>
      <c r="T18" s="80">
        <f t="shared" si="4"/>
        <v>89942</v>
      </c>
      <c r="U18" s="98">
        <f t="shared" si="5"/>
        <v>1.6E-2</v>
      </c>
      <c r="V18" s="81" t="s">
        <v>208</v>
      </c>
      <c r="Y18" s="65" t="s">
        <v>1309</v>
      </c>
      <c r="Z18" s="65" t="s">
        <v>1085</v>
      </c>
      <c r="AA18" s="65" t="s">
        <v>1086</v>
      </c>
      <c r="AB18" s="65">
        <f>VLOOKUP(Z18,SABANA!$B$1:$AY$479,27,0)</f>
        <v>2</v>
      </c>
      <c r="AC18" s="65" t="str">
        <f>VLOOKUP(Z18,SABANA!$B$1:$AY$479,48,0)</f>
        <v>NO</v>
      </c>
      <c r="AD18" s="65">
        <f>VLOOKUP(Z18,SABANA!$B$1:$AY$479,41,0)</f>
        <v>2</v>
      </c>
      <c r="AE18" s="65">
        <v>6</v>
      </c>
      <c r="AF18" s="65">
        <v>49820</v>
      </c>
      <c r="AG18" s="65">
        <v>1660.666667</v>
      </c>
      <c r="AH18" s="65">
        <v>154665951</v>
      </c>
      <c r="AI18" s="65">
        <v>4810810</v>
      </c>
      <c r="AJ18" s="65">
        <v>160360.3333</v>
      </c>
      <c r="AK18" s="71">
        <v>3.1E-2</v>
      </c>
      <c r="AL18" s="71"/>
    </row>
    <row r="19" spans="1:38" x14ac:dyDescent="0.2">
      <c r="A19" s="137">
        <v>965</v>
      </c>
      <c r="B19" s="137" t="s">
        <v>268</v>
      </c>
      <c r="C19" s="142">
        <v>0</v>
      </c>
      <c r="D19" s="143">
        <v>42486.51</v>
      </c>
      <c r="E19" s="125" t="e">
        <f t="shared" si="0"/>
        <v>#DIV/0!</v>
      </c>
      <c r="H19" s="65">
        <v>966</v>
      </c>
      <c r="I19" s="65" t="s">
        <v>1279</v>
      </c>
      <c r="J19" s="124">
        <v>4500</v>
      </c>
      <c r="K19" s="65">
        <v>-4384.38</v>
      </c>
      <c r="O19" s="78" t="s">
        <v>38</v>
      </c>
      <c r="P19" s="79" t="s">
        <v>135</v>
      </c>
      <c r="Q19" s="80">
        <f t="shared" si="1"/>
        <v>2</v>
      </c>
      <c r="R19" s="80" t="str">
        <f t="shared" si="2"/>
        <v>NO</v>
      </c>
      <c r="S19" s="97">
        <f t="shared" si="3"/>
        <v>2</v>
      </c>
      <c r="T19" s="80">
        <f t="shared" si="4"/>
        <v>162620</v>
      </c>
      <c r="U19" s="98">
        <f t="shared" si="5"/>
        <v>2.4E-2</v>
      </c>
      <c r="V19" s="87" t="s">
        <v>209</v>
      </c>
      <c r="Y19" s="65" t="s">
        <v>1309</v>
      </c>
      <c r="Z19" s="65" t="s">
        <v>1087</v>
      </c>
      <c r="AA19" s="65" t="s">
        <v>1088</v>
      </c>
      <c r="AB19" s="65">
        <f>VLOOKUP(Z19,SABANA!$B$1:$AY$479,27,0)</f>
        <v>3</v>
      </c>
      <c r="AC19" s="65" t="str">
        <f>VLOOKUP(Z19,SABANA!$B$1:$AY$479,48,0)</f>
        <v>NO</v>
      </c>
      <c r="AD19" s="65">
        <f>VLOOKUP(Z19,SABANA!$B$1:$AY$479,41,0)</f>
        <v>3</v>
      </c>
      <c r="AE19" s="65">
        <v>6</v>
      </c>
      <c r="AF19" s="65">
        <v>49015</v>
      </c>
      <c r="AG19" s="65">
        <v>1633.833333</v>
      </c>
      <c r="AH19" s="65">
        <v>162065784</v>
      </c>
      <c r="AI19" s="65">
        <v>8006600</v>
      </c>
      <c r="AJ19" s="65">
        <v>266886.6667</v>
      </c>
      <c r="AK19" s="71">
        <v>4.9000000000000002E-2</v>
      </c>
      <c r="AL19" s="71"/>
    </row>
    <row r="20" spans="1:38" x14ac:dyDescent="0.2">
      <c r="A20" s="137">
        <v>966</v>
      </c>
      <c r="B20" s="137" t="s">
        <v>1279</v>
      </c>
      <c r="C20" s="142">
        <v>4500</v>
      </c>
      <c r="D20" s="143">
        <v>-4384.38</v>
      </c>
      <c r="E20" s="125">
        <f t="shared" si="0"/>
        <v>-0.97430666666666665</v>
      </c>
      <c r="H20" s="65">
        <v>1068</v>
      </c>
      <c r="I20" s="65" t="s">
        <v>286</v>
      </c>
      <c r="J20" s="124">
        <v>0</v>
      </c>
      <c r="K20" s="65">
        <v>70550.55</v>
      </c>
      <c r="O20" s="78" t="s">
        <v>39</v>
      </c>
      <c r="P20" s="79" t="s">
        <v>136</v>
      </c>
      <c r="Q20" s="80">
        <f t="shared" si="1"/>
        <v>3</v>
      </c>
      <c r="R20" s="80" t="str">
        <f t="shared" si="2"/>
        <v>NO</v>
      </c>
      <c r="S20" s="97">
        <f t="shared" si="3"/>
        <v>2</v>
      </c>
      <c r="T20" s="80">
        <f t="shared" si="4"/>
        <v>223033</v>
      </c>
      <c r="U20" s="98">
        <f t="shared" si="5"/>
        <v>2.5000000000000001E-2</v>
      </c>
      <c r="V20" s="87" t="s">
        <v>209</v>
      </c>
      <c r="Y20" s="65" t="s">
        <v>1309</v>
      </c>
      <c r="Z20" s="65" t="s">
        <v>1099</v>
      </c>
      <c r="AA20" s="65" t="s">
        <v>1100</v>
      </c>
      <c r="AB20" s="65">
        <f>VLOOKUP(Z20,SABANA!$B$1:$AY$479,27,0)</f>
        <v>2</v>
      </c>
      <c r="AC20" s="65" t="str">
        <f>VLOOKUP(Z20,SABANA!$B$1:$AY$479,48,0)</f>
        <v>NO</v>
      </c>
      <c r="AD20" s="65">
        <f>VLOOKUP(Z20,SABANA!$B$1:$AY$479,41,0)</f>
        <v>2</v>
      </c>
      <c r="AE20" s="65">
        <v>6</v>
      </c>
      <c r="AF20" s="65">
        <v>64416</v>
      </c>
      <c r="AG20" s="65">
        <v>2147.1999999999998</v>
      </c>
      <c r="AH20" s="65">
        <v>195200076</v>
      </c>
      <c r="AI20" s="65">
        <v>6004170</v>
      </c>
      <c r="AJ20" s="65">
        <v>200139</v>
      </c>
      <c r="AK20" s="71">
        <v>3.1E-2</v>
      </c>
      <c r="AL20" s="71"/>
    </row>
    <row r="21" spans="1:38" x14ac:dyDescent="0.2">
      <c r="A21" s="137">
        <v>1068</v>
      </c>
      <c r="B21" s="137" t="s">
        <v>286</v>
      </c>
      <c r="C21" s="142">
        <v>0</v>
      </c>
      <c r="D21" s="143">
        <v>70550.55</v>
      </c>
      <c r="E21" s="125" t="e">
        <f t="shared" si="0"/>
        <v>#DIV/0!</v>
      </c>
      <c r="H21" s="65">
        <v>1069</v>
      </c>
      <c r="I21" s="65" t="s">
        <v>1286</v>
      </c>
      <c r="J21" s="124">
        <v>0</v>
      </c>
      <c r="K21" s="65">
        <v>0</v>
      </c>
      <c r="O21" s="78" t="s">
        <v>40</v>
      </c>
      <c r="P21" s="90" t="s">
        <v>137</v>
      </c>
      <c r="Q21" s="80">
        <f t="shared" si="1"/>
        <v>2</v>
      </c>
      <c r="R21" s="80" t="str">
        <f t="shared" si="2"/>
        <v>SI</v>
      </c>
      <c r="S21" s="97">
        <f t="shared" si="3"/>
        <v>4</v>
      </c>
      <c r="T21" s="80">
        <f t="shared" si="4"/>
        <v>323018</v>
      </c>
      <c r="U21" s="98">
        <f t="shared" si="5"/>
        <v>0.04</v>
      </c>
      <c r="V21" s="88" t="s">
        <v>210</v>
      </c>
      <c r="Y21" s="65" t="s">
        <v>1309</v>
      </c>
      <c r="Z21" s="65" t="s">
        <v>1101</v>
      </c>
      <c r="AA21" s="65" t="s">
        <v>1102</v>
      </c>
      <c r="AB21" s="65">
        <f>VLOOKUP(Z21,SABANA!$B$1:$AY$479,27,0)</f>
        <v>3</v>
      </c>
      <c r="AC21" s="65" t="str">
        <f>VLOOKUP(Z21,SABANA!$B$1:$AY$479,48,0)</f>
        <v>NO</v>
      </c>
      <c r="AD21" s="65">
        <f>VLOOKUP(Z21,SABANA!$B$1:$AY$479,41,0)</f>
        <v>2</v>
      </c>
      <c r="AE21" s="65">
        <v>6</v>
      </c>
      <c r="AF21" s="65">
        <v>47095</v>
      </c>
      <c r="AG21" s="65">
        <v>1569.833333</v>
      </c>
      <c r="AH21" s="65">
        <v>154692858</v>
      </c>
      <c r="AI21" s="65">
        <v>6667900</v>
      </c>
      <c r="AJ21" s="65">
        <v>222263.3333</v>
      </c>
      <c r="AK21" s="71">
        <v>4.2999999999999997E-2</v>
      </c>
      <c r="AL21" s="71"/>
    </row>
    <row r="22" spans="1:38" x14ac:dyDescent="0.2">
      <c r="A22" s="137">
        <v>1069</v>
      </c>
      <c r="B22" s="137" t="s">
        <v>1286</v>
      </c>
      <c r="C22" s="142">
        <v>0</v>
      </c>
      <c r="D22" s="143">
        <v>0</v>
      </c>
      <c r="E22" s="125" t="e">
        <f t="shared" si="0"/>
        <v>#DIV/0!</v>
      </c>
      <c r="H22" s="65">
        <v>1071</v>
      </c>
      <c r="I22" s="65" t="s">
        <v>257</v>
      </c>
      <c r="J22" s="124">
        <v>3993980</v>
      </c>
      <c r="K22" s="65">
        <v>2191979.79</v>
      </c>
      <c r="O22" s="78" t="s">
        <v>72</v>
      </c>
      <c r="P22" s="90" t="s">
        <v>169</v>
      </c>
      <c r="Q22" s="80">
        <f t="shared" si="1"/>
        <v>2</v>
      </c>
      <c r="R22" s="80" t="str">
        <f t="shared" si="2"/>
        <v>SI</v>
      </c>
      <c r="S22" s="97">
        <f t="shared" si="3"/>
        <v>2</v>
      </c>
      <c r="T22" s="80">
        <f t="shared" si="4"/>
        <v>322968.6667</v>
      </c>
      <c r="U22" s="98">
        <f t="shared" si="5"/>
        <v>3.5000000000000003E-2</v>
      </c>
      <c r="V22" s="88" t="s">
        <v>210</v>
      </c>
      <c r="Y22" s="65" t="s">
        <v>1309</v>
      </c>
      <c r="Z22" s="65" t="s">
        <v>1103</v>
      </c>
      <c r="AA22" s="65" t="s">
        <v>1104</v>
      </c>
      <c r="AB22" s="65">
        <f>VLOOKUP(Z22,SABANA!$B$1:$AY$479,27,0)</f>
        <v>2</v>
      </c>
      <c r="AC22" s="65" t="str">
        <f>VLOOKUP(Z22,SABANA!$B$1:$AY$479,48,0)</f>
        <v>NO</v>
      </c>
      <c r="AD22" s="65">
        <f>VLOOKUP(Z22,SABANA!$B$1:$AY$479,41,0)</f>
        <v>2</v>
      </c>
      <c r="AE22" s="65">
        <v>6</v>
      </c>
      <c r="AF22" s="65">
        <v>65792</v>
      </c>
      <c r="AG22" s="65">
        <v>2193.0666670000001</v>
      </c>
      <c r="AH22" s="65">
        <v>191800614</v>
      </c>
      <c r="AI22" s="65">
        <v>5657320</v>
      </c>
      <c r="AJ22" s="65">
        <v>188577.3333</v>
      </c>
      <c r="AK22" s="71">
        <v>2.9000000000000001E-2</v>
      </c>
      <c r="AL22" s="71"/>
    </row>
    <row r="23" spans="1:38" x14ac:dyDescent="0.2">
      <c r="A23" s="137">
        <v>1071</v>
      </c>
      <c r="B23" s="137" t="s">
        <v>257</v>
      </c>
      <c r="C23" s="142">
        <v>3993980</v>
      </c>
      <c r="D23" s="143">
        <v>2191979.79</v>
      </c>
      <c r="E23" s="125">
        <f t="shared" si="0"/>
        <v>0.54882092298909857</v>
      </c>
      <c r="H23" s="65">
        <v>1072</v>
      </c>
      <c r="I23" s="65" t="s">
        <v>258</v>
      </c>
      <c r="J23" s="124">
        <v>5929170</v>
      </c>
      <c r="K23" s="65">
        <v>676596.51</v>
      </c>
      <c r="O23" s="78" t="s">
        <v>10</v>
      </c>
      <c r="P23" s="79" t="s">
        <v>107</v>
      </c>
      <c r="Q23" s="80">
        <f t="shared" si="1"/>
        <v>2</v>
      </c>
      <c r="R23" s="80" t="str">
        <f t="shared" si="2"/>
        <v>NO</v>
      </c>
      <c r="S23" s="97">
        <f t="shared" si="3"/>
        <v>2</v>
      </c>
      <c r="T23" s="80">
        <f t="shared" si="4"/>
        <v>128469</v>
      </c>
      <c r="U23" s="98">
        <f t="shared" si="5"/>
        <v>1.7999999999999999E-2</v>
      </c>
      <c r="V23" s="81" t="s">
        <v>208</v>
      </c>
      <c r="Y23" s="65" t="s">
        <v>1309</v>
      </c>
      <c r="Z23" s="65" t="s">
        <v>1113</v>
      </c>
      <c r="AA23" s="65" t="s">
        <v>1114</v>
      </c>
      <c r="AB23" s="65">
        <f>VLOOKUP(Z23,SABANA!$B$1:$AY$479,27,0)</f>
        <v>4</v>
      </c>
      <c r="AC23" s="65" t="str">
        <f>VLOOKUP(Z23,SABANA!$B$1:$AY$479,48,0)</f>
        <v>NO</v>
      </c>
      <c r="AD23" s="65">
        <f>VLOOKUP(Z23,SABANA!$B$1:$AY$479,41,0)</f>
        <v>4</v>
      </c>
      <c r="AE23" s="65">
        <v>6</v>
      </c>
      <c r="AF23" s="65">
        <v>62819</v>
      </c>
      <c r="AG23" s="65">
        <v>2093.9666670000001</v>
      </c>
      <c r="AH23" s="65">
        <v>187918602</v>
      </c>
      <c r="AI23" s="65">
        <v>7859430</v>
      </c>
      <c r="AJ23" s="65">
        <v>261981</v>
      </c>
      <c r="AK23" s="71">
        <v>4.2000000000000003E-2</v>
      </c>
      <c r="AL23" s="71"/>
    </row>
    <row r="24" spans="1:38" x14ac:dyDescent="0.2">
      <c r="A24" s="137">
        <v>1072</v>
      </c>
      <c r="B24" s="137" t="s">
        <v>258</v>
      </c>
      <c r="C24" s="142">
        <v>5929170</v>
      </c>
      <c r="D24" s="143">
        <v>676596.51</v>
      </c>
      <c r="E24" s="125">
        <f t="shared" si="0"/>
        <v>0.1141131912223802</v>
      </c>
      <c r="H24" s="65">
        <v>1074</v>
      </c>
      <c r="I24" s="65" t="s">
        <v>230</v>
      </c>
      <c r="J24" s="124">
        <v>25731840</v>
      </c>
      <c r="K24" s="65">
        <v>3106825.6900000004</v>
      </c>
      <c r="O24" s="78" t="s">
        <v>11</v>
      </c>
      <c r="P24" s="79" t="s">
        <v>108</v>
      </c>
      <c r="Q24" s="80">
        <f t="shared" si="1"/>
        <v>3</v>
      </c>
      <c r="R24" s="80" t="str">
        <f t="shared" si="2"/>
        <v>NO</v>
      </c>
      <c r="S24" s="97">
        <f t="shared" si="3"/>
        <v>2</v>
      </c>
      <c r="T24" s="80">
        <f t="shared" si="4"/>
        <v>85075.333329999994</v>
      </c>
      <c r="U24" s="98">
        <f t="shared" si="5"/>
        <v>1.4E-2</v>
      </c>
      <c r="V24" s="81" t="s">
        <v>208</v>
      </c>
      <c r="Y24" s="65" t="s">
        <v>1309</v>
      </c>
      <c r="Z24" s="65" t="s">
        <v>1115</v>
      </c>
      <c r="AA24" s="65" t="s">
        <v>1116</v>
      </c>
      <c r="AB24" s="65">
        <f>VLOOKUP(Z24,SABANA!$B$1:$AY$479,27,0)</f>
        <v>2</v>
      </c>
      <c r="AC24" s="65" t="str">
        <f>VLOOKUP(Z24,SABANA!$B$1:$AY$479,48,0)</f>
        <v>NO</v>
      </c>
      <c r="AD24" s="65">
        <f>VLOOKUP(Z24,SABANA!$B$1:$AY$479,41,0)</f>
        <v>1</v>
      </c>
      <c r="AE24" s="65">
        <v>6</v>
      </c>
      <c r="AF24" s="65">
        <v>48278</v>
      </c>
      <c r="AG24" s="65">
        <v>1609.2666670000001</v>
      </c>
      <c r="AH24" s="65">
        <v>143888438</v>
      </c>
      <c r="AI24" s="65">
        <v>3820940</v>
      </c>
      <c r="AJ24" s="65">
        <v>127364.6667</v>
      </c>
      <c r="AK24" s="71">
        <v>2.7E-2</v>
      </c>
      <c r="AL24" s="71"/>
    </row>
    <row r="25" spans="1:38" x14ac:dyDescent="0.2">
      <c r="A25" s="137">
        <v>1074</v>
      </c>
      <c r="B25" s="137" t="s">
        <v>230</v>
      </c>
      <c r="C25" s="142">
        <v>25731840</v>
      </c>
      <c r="D25" s="143">
        <v>3106825.6900000004</v>
      </c>
      <c r="E25" s="125">
        <f t="shared" si="0"/>
        <v>0.12073857485512114</v>
      </c>
      <c r="H25" s="65">
        <v>1076</v>
      </c>
      <c r="I25" s="65" t="s">
        <v>291</v>
      </c>
      <c r="J25" s="124">
        <v>0</v>
      </c>
      <c r="K25" s="65">
        <v>149370.17000000001</v>
      </c>
      <c r="O25" s="78" t="s">
        <v>41</v>
      </c>
      <c r="P25" s="79" t="s">
        <v>138</v>
      </c>
      <c r="Q25" s="80">
        <f t="shared" si="1"/>
        <v>3</v>
      </c>
      <c r="R25" s="80" t="str">
        <f t="shared" si="2"/>
        <v>NO</v>
      </c>
      <c r="S25" s="97">
        <f t="shared" si="3"/>
        <v>4</v>
      </c>
      <c r="T25" s="80">
        <f t="shared" si="4"/>
        <v>106398.6667</v>
      </c>
      <c r="U25" s="98">
        <f t="shared" si="5"/>
        <v>2.1000000000000001E-2</v>
      </c>
      <c r="V25" s="81" t="s">
        <v>208</v>
      </c>
      <c r="Y25" s="65" t="s">
        <v>1309</v>
      </c>
      <c r="Z25" s="65" t="s">
        <v>1117</v>
      </c>
      <c r="AA25" s="65" t="s">
        <v>1118</v>
      </c>
      <c r="AB25" s="65">
        <f>VLOOKUP(Z25,SABANA!$B$1:$AY$479,27,0)</f>
        <v>2</v>
      </c>
      <c r="AC25" s="65" t="str">
        <f>VLOOKUP(Z25,SABANA!$B$1:$AY$479,48,0)</f>
        <v>NO</v>
      </c>
      <c r="AD25" s="65">
        <f>VLOOKUP(Z25,SABANA!$B$1:$AY$479,41,0)</f>
        <v>1</v>
      </c>
      <c r="AE25" s="65">
        <v>6</v>
      </c>
      <c r="AF25" s="65">
        <v>31432</v>
      </c>
      <c r="AG25" s="65">
        <v>1047.7333329999999</v>
      </c>
      <c r="AH25" s="65">
        <v>93149811</v>
      </c>
      <c r="AI25" s="65">
        <v>2291620</v>
      </c>
      <c r="AJ25" s="65">
        <v>76387.333329999994</v>
      </c>
      <c r="AK25" s="71">
        <v>2.5000000000000001E-2</v>
      </c>
      <c r="AL25" s="71"/>
    </row>
    <row r="26" spans="1:38" x14ac:dyDescent="0.2">
      <c r="A26" s="137">
        <v>1076</v>
      </c>
      <c r="B26" s="137" t="s">
        <v>291</v>
      </c>
      <c r="C26" s="142">
        <v>0</v>
      </c>
      <c r="D26" s="143">
        <v>149370.17000000001</v>
      </c>
      <c r="E26" s="125" t="e">
        <f t="shared" si="0"/>
        <v>#DIV/0!</v>
      </c>
      <c r="H26" s="65">
        <v>1077</v>
      </c>
      <c r="I26" s="65" t="s">
        <v>1291</v>
      </c>
      <c r="J26" s="124">
        <v>0</v>
      </c>
      <c r="K26" s="65">
        <v>0</v>
      </c>
      <c r="O26" s="78" t="s">
        <v>73</v>
      </c>
      <c r="P26" s="79" t="s">
        <v>170</v>
      </c>
      <c r="Q26" s="80">
        <f t="shared" si="1"/>
        <v>4</v>
      </c>
      <c r="R26" s="80" t="str">
        <f t="shared" si="2"/>
        <v>SI</v>
      </c>
      <c r="S26" s="97">
        <f t="shared" si="3"/>
        <v>2</v>
      </c>
      <c r="T26" s="80">
        <f t="shared" si="4"/>
        <v>951798.66669999994</v>
      </c>
      <c r="U26" s="98">
        <f t="shared" si="5"/>
        <v>0.10100000000000001</v>
      </c>
      <c r="V26" s="88" t="s">
        <v>210</v>
      </c>
      <c r="Y26" s="65" t="s">
        <v>1309</v>
      </c>
      <c r="Z26" s="65" t="s">
        <v>1131</v>
      </c>
      <c r="AA26" s="65" t="s">
        <v>1132</v>
      </c>
      <c r="AB26" s="65">
        <f>VLOOKUP(Z26,SABANA!$B$1:$AY$479,27,0)</f>
        <v>4</v>
      </c>
      <c r="AC26" s="65" t="str">
        <f>VLOOKUP(Z26,SABANA!$B$1:$AY$479,48,0)</f>
        <v>NO</v>
      </c>
      <c r="AD26" s="65">
        <f>VLOOKUP(Z26,SABANA!$B$1:$AY$479,41,0)</f>
        <v>2</v>
      </c>
      <c r="AE26" s="65">
        <v>6</v>
      </c>
      <c r="AF26" s="65">
        <v>46652</v>
      </c>
      <c r="AG26" s="65">
        <v>1555.0666670000001</v>
      </c>
      <c r="AH26" s="65">
        <v>151029682</v>
      </c>
      <c r="AI26" s="65">
        <v>5783920</v>
      </c>
      <c r="AJ26" s="65">
        <v>192797.3333</v>
      </c>
      <c r="AK26" s="71">
        <v>3.7999999999999999E-2</v>
      </c>
      <c r="AL26" s="71"/>
    </row>
    <row r="27" spans="1:38" x14ac:dyDescent="0.2">
      <c r="A27" s="137">
        <v>1077</v>
      </c>
      <c r="B27" s="137" t="s">
        <v>1291</v>
      </c>
      <c r="C27" s="142">
        <v>0</v>
      </c>
      <c r="D27" s="143">
        <v>0</v>
      </c>
      <c r="E27" s="125" t="e">
        <f t="shared" si="0"/>
        <v>#DIV/0!</v>
      </c>
      <c r="H27" s="65">
        <v>1079</v>
      </c>
      <c r="I27" s="65" t="s">
        <v>267</v>
      </c>
      <c r="J27" s="124">
        <v>6572710</v>
      </c>
      <c r="K27" s="65">
        <v>3083314.2800000003</v>
      </c>
      <c r="O27" s="78" t="s">
        <v>74</v>
      </c>
      <c r="P27" s="79" t="s">
        <v>171</v>
      </c>
      <c r="Q27" s="80">
        <f t="shared" si="1"/>
        <v>3</v>
      </c>
      <c r="R27" s="80" t="str">
        <f t="shared" si="2"/>
        <v>SI</v>
      </c>
      <c r="S27" s="97">
        <f t="shared" si="3"/>
        <v>2</v>
      </c>
      <c r="T27" s="80">
        <f t="shared" si="4"/>
        <v>314859.3333</v>
      </c>
      <c r="U27" s="98">
        <f t="shared" si="5"/>
        <v>4.4999999999999998E-2</v>
      </c>
      <c r="V27" s="88" t="s">
        <v>210</v>
      </c>
      <c r="Y27" s="65" t="s">
        <v>1309</v>
      </c>
      <c r="Z27" s="65" t="s">
        <v>1133</v>
      </c>
      <c r="AA27" s="65" t="s">
        <v>1134</v>
      </c>
      <c r="AB27" s="65">
        <f>VLOOKUP(Z27,SABANA!$B$1:$AY$479,27,0)</f>
        <v>3</v>
      </c>
      <c r="AC27" s="65" t="str">
        <f>VLOOKUP(Z27,SABANA!$B$1:$AY$479,48,0)</f>
        <v>NO</v>
      </c>
      <c r="AD27" s="65">
        <f>VLOOKUP(Z27,SABANA!$B$1:$AY$479,41,0)</f>
        <v>4</v>
      </c>
      <c r="AE27" s="65">
        <v>6</v>
      </c>
      <c r="AF27" s="65">
        <v>75251</v>
      </c>
      <c r="AG27" s="65">
        <v>2508.3666669999998</v>
      </c>
      <c r="AH27" s="65">
        <v>230926521</v>
      </c>
      <c r="AI27" s="65">
        <v>7305630</v>
      </c>
      <c r="AJ27" s="65">
        <v>243521</v>
      </c>
      <c r="AK27" s="71">
        <v>3.2000000000000001E-2</v>
      </c>
      <c r="AL27" s="71"/>
    </row>
    <row r="28" spans="1:38" x14ac:dyDescent="0.2">
      <c r="A28" s="137">
        <v>1079</v>
      </c>
      <c r="B28" s="137" t="s">
        <v>267</v>
      </c>
      <c r="C28" s="142">
        <v>6572710</v>
      </c>
      <c r="D28" s="143">
        <v>3083314.2800000003</v>
      </c>
      <c r="E28" s="125">
        <f t="shared" si="0"/>
        <v>0.46910852296845595</v>
      </c>
      <c r="H28" s="65">
        <v>1080</v>
      </c>
      <c r="I28" s="65" t="s">
        <v>1288</v>
      </c>
      <c r="J28" s="124">
        <v>0</v>
      </c>
      <c r="K28" s="65">
        <v>0</v>
      </c>
      <c r="O28" s="78" t="s">
        <v>75</v>
      </c>
      <c r="P28" s="79" t="s">
        <v>172</v>
      </c>
      <c r="Q28" s="80">
        <f t="shared" si="1"/>
        <v>3</v>
      </c>
      <c r="R28" s="80" t="str">
        <f t="shared" si="2"/>
        <v>SI</v>
      </c>
      <c r="S28" s="97">
        <f t="shared" si="3"/>
        <v>4</v>
      </c>
      <c r="T28" s="80">
        <f t="shared" si="4"/>
        <v>311930</v>
      </c>
      <c r="U28" s="98">
        <f t="shared" si="5"/>
        <v>0.04</v>
      </c>
      <c r="V28" s="88" t="s">
        <v>210</v>
      </c>
      <c r="Y28" s="65" t="s">
        <v>1309</v>
      </c>
      <c r="Z28" s="65" t="s">
        <v>1143</v>
      </c>
      <c r="AA28" s="65" t="s">
        <v>1144</v>
      </c>
      <c r="AB28" s="65">
        <f>VLOOKUP(Z28,SABANA!$B$1:$AY$479,27,0)</f>
        <v>2</v>
      </c>
      <c r="AC28" s="65" t="str">
        <f>VLOOKUP(Z28,SABANA!$B$1:$AY$479,48,0)</f>
        <v>NO</v>
      </c>
      <c r="AD28" s="65">
        <f>VLOOKUP(Z28,SABANA!$B$1:$AY$479,41,0)</f>
        <v>2</v>
      </c>
      <c r="AE28" s="65">
        <v>6</v>
      </c>
      <c r="AF28" s="65">
        <v>73873</v>
      </c>
      <c r="AG28" s="65">
        <v>2462.4333329999999</v>
      </c>
      <c r="AH28" s="65">
        <v>219874539</v>
      </c>
      <c r="AI28" s="65">
        <v>6175110</v>
      </c>
      <c r="AJ28" s="65">
        <v>205837</v>
      </c>
      <c r="AK28" s="71">
        <v>2.8000000000000001E-2</v>
      </c>
      <c r="AL28" s="71"/>
    </row>
    <row r="29" spans="1:38" x14ac:dyDescent="0.2">
      <c r="A29" s="137">
        <v>1080</v>
      </c>
      <c r="B29" s="137" t="s">
        <v>1288</v>
      </c>
      <c r="C29" s="142">
        <v>0</v>
      </c>
      <c r="D29" s="143">
        <v>0</v>
      </c>
      <c r="E29" s="125" t="e">
        <f t="shared" si="0"/>
        <v>#DIV/0!</v>
      </c>
      <c r="H29" s="65">
        <v>1081</v>
      </c>
      <c r="I29" s="65" t="s">
        <v>302</v>
      </c>
      <c r="J29" s="124">
        <v>1429260</v>
      </c>
      <c r="K29" s="65">
        <v>537841.24</v>
      </c>
      <c r="O29" s="78" t="s">
        <v>12</v>
      </c>
      <c r="P29" s="79" t="s">
        <v>109</v>
      </c>
      <c r="Q29" s="80">
        <f t="shared" si="1"/>
        <v>2</v>
      </c>
      <c r="R29" s="80" t="str">
        <f t="shared" si="2"/>
        <v>NO</v>
      </c>
      <c r="S29" s="97">
        <f t="shared" si="3"/>
        <v>2</v>
      </c>
      <c r="T29" s="80">
        <f t="shared" si="4"/>
        <v>135327</v>
      </c>
      <c r="U29" s="98">
        <f t="shared" si="5"/>
        <v>2.1999999999999999E-2</v>
      </c>
      <c r="V29" s="81" t="s">
        <v>208</v>
      </c>
      <c r="Y29" s="65" t="s">
        <v>1310</v>
      </c>
      <c r="Z29" s="65" t="s">
        <v>1311</v>
      </c>
      <c r="AA29" s="65" t="s">
        <v>1312</v>
      </c>
      <c r="AB29" s="65" t="e">
        <f>VLOOKUP(Z29,SABANA!$B$1:$AY$479,27,0)</f>
        <v>#N/A</v>
      </c>
      <c r="AC29" s="65" t="e">
        <f>VLOOKUP(Z29,SABANA!$B$1:$AY$479,48,0)</f>
        <v>#N/A</v>
      </c>
      <c r="AD29" s="65" t="e">
        <f>VLOOKUP(Z29,SABANA!$B$1:$AY$479,41,0)</f>
        <v>#N/A</v>
      </c>
      <c r="AE29" s="65">
        <v>6</v>
      </c>
      <c r="AF29" s="65">
        <v>1693</v>
      </c>
      <c r="AG29" s="65">
        <v>56.433333330000004</v>
      </c>
      <c r="AH29" s="65">
        <v>5414821</v>
      </c>
      <c r="AJ29" s="65">
        <v>0</v>
      </c>
      <c r="AK29" s="71">
        <v>0</v>
      </c>
      <c r="AL29" s="71"/>
    </row>
    <row r="30" spans="1:38" x14ac:dyDescent="0.2">
      <c r="A30" s="137">
        <v>1081</v>
      </c>
      <c r="B30" s="137" t="s">
        <v>302</v>
      </c>
      <c r="C30" s="142">
        <v>1429260</v>
      </c>
      <c r="D30" s="143">
        <v>537841.24</v>
      </c>
      <c r="E30" s="125">
        <f t="shared" si="0"/>
        <v>0.3763074877908848</v>
      </c>
      <c r="H30" s="65">
        <v>1082</v>
      </c>
      <c r="I30" s="65" t="s">
        <v>1239</v>
      </c>
      <c r="J30" s="124">
        <v>4772040</v>
      </c>
      <c r="K30" s="65">
        <v>304236.32999999996</v>
      </c>
      <c r="O30" s="78" t="s">
        <v>42</v>
      </c>
      <c r="P30" s="79" t="s">
        <v>139</v>
      </c>
      <c r="Q30" s="80">
        <f t="shared" si="1"/>
        <v>3</v>
      </c>
      <c r="R30" s="80" t="str">
        <f t="shared" si="2"/>
        <v>NO</v>
      </c>
      <c r="S30" s="97">
        <f t="shared" si="3"/>
        <v>2</v>
      </c>
      <c r="T30" s="80">
        <f t="shared" si="4"/>
        <v>142343</v>
      </c>
      <c r="U30" s="98">
        <f t="shared" si="5"/>
        <v>3.2000000000000001E-2</v>
      </c>
      <c r="V30" s="87" t="s">
        <v>209</v>
      </c>
      <c r="Y30" s="65" t="s">
        <v>1313</v>
      </c>
      <c r="Z30" s="65" t="s">
        <v>458</v>
      </c>
      <c r="AA30" s="65" t="s">
        <v>459</v>
      </c>
      <c r="AB30" s="65">
        <f>VLOOKUP(Z30,SABANA!$B$1:$AY$479,27,0)</f>
        <v>4</v>
      </c>
      <c r="AC30" s="65" t="str">
        <f>VLOOKUP(Z30,SABANA!$B$1:$AY$479,48,0)</f>
        <v>NO</v>
      </c>
      <c r="AD30" s="65">
        <f>VLOOKUP(Z30,SABANA!$B$1:$AY$479,41,0)</f>
        <v>4</v>
      </c>
      <c r="AE30" s="65">
        <v>6</v>
      </c>
      <c r="AF30" s="65">
        <v>53470</v>
      </c>
      <c r="AG30" s="65">
        <v>1782.333333</v>
      </c>
      <c r="AH30" s="65">
        <v>179277112</v>
      </c>
      <c r="AI30" s="65">
        <v>5813910</v>
      </c>
      <c r="AJ30" s="65">
        <v>193797</v>
      </c>
      <c r="AK30" s="71">
        <v>3.2000000000000001E-2</v>
      </c>
      <c r="AL30" s="71"/>
    </row>
    <row r="31" spans="1:38" x14ac:dyDescent="0.2">
      <c r="A31" s="137">
        <v>1082</v>
      </c>
      <c r="B31" s="137" t="s">
        <v>1239</v>
      </c>
      <c r="C31" s="142">
        <v>4772040</v>
      </c>
      <c r="D31" s="143">
        <v>304236.32999999996</v>
      </c>
      <c r="E31" s="125">
        <f t="shared" si="0"/>
        <v>6.3753935423843888E-2</v>
      </c>
      <c r="H31" s="65">
        <v>1084</v>
      </c>
      <c r="I31" s="65" t="s">
        <v>1237</v>
      </c>
      <c r="J31" s="124">
        <v>3473040</v>
      </c>
      <c r="K31" s="65">
        <v>3092791.18</v>
      </c>
      <c r="O31" s="78" t="s">
        <v>13</v>
      </c>
      <c r="P31" s="79" t="s">
        <v>110</v>
      </c>
      <c r="Q31" s="80">
        <f t="shared" si="1"/>
        <v>2</v>
      </c>
      <c r="R31" s="80" t="str">
        <f t="shared" si="2"/>
        <v>NO</v>
      </c>
      <c r="S31" s="97">
        <f t="shared" si="3"/>
        <v>2</v>
      </c>
      <c r="T31" s="80">
        <f t="shared" si="4"/>
        <v>162098.3333</v>
      </c>
      <c r="U31" s="98">
        <f t="shared" si="5"/>
        <v>2.3E-2</v>
      </c>
      <c r="V31" s="126" t="s">
        <v>208</v>
      </c>
      <c r="Y31" s="65" t="s">
        <v>1313</v>
      </c>
      <c r="Z31" s="65" t="s">
        <v>778</v>
      </c>
      <c r="AA31" s="65" t="s">
        <v>779</v>
      </c>
      <c r="AB31" s="65">
        <f>VLOOKUP(Z31,SABANA!$B$1:$AY$479,27,0)</f>
        <v>3</v>
      </c>
      <c r="AC31" s="65" t="str">
        <f>VLOOKUP(Z31,SABANA!$B$1:$AY$479,48,0)</f>
        <v>NO</v>
      </c>
      <c r="AD31" s="65">
        <f>VLOOKUP(Z31,SABANA!$B$1:$AY$479,41,0)</f>
        <v>4</v>
      </c>
      <c r="AE31" s="65">
        <v>6</v>
      </c>
      <c r="AF31" s="65">
        <v>55202</v>
      </c>
      <c r="AG31" s="65">
        <v>1840.0666670000001</v>
      </c>
      <c r="AH31" s="65">
        <v>175016086</v>
      </c>
      <c r="AI31" s="65">
        <v>3415830</v>
      </c>
      <c r="AJ31" s="65">
        <v>113861</v>
      </c>
      <c r="AK31" s="71">
        <v>0.02</v>
      </c>
      <c r="AL31" s="71"/>
    </row>
    <row r="32" spans="1:38" x14ac:dyDescent="0.2">
      <c r="A32" s="137">
        <v>1084</v>
      </c>
      <c r="B32" s="137" t="s">
        <v>1237</v>
      </c>
      <c r="C32" s="142">
        <v>3473040</v>
      </c>
      <c r="D32" s="143">
        <v>3092791.18</v>
      </c>
      <c r="E32" s="125">
        <f t="shared" si="0"/>
        <v>0.89051412595305557</v>
      </c>
      <c r="H32" s="65">
        <v>1085</v>
      </c>
      <c r="I32" s="65" t="s">
        <v>310</v>
      </c>
      <c r="J32" s="124">
        <v>14212380</v>
      </c>
      <c r="K32" s="65">
        <v>1849680.3599999999</v>
      </c>
      <c r="O32" s="78" t="s">
        <v>76</v>
      </c>
      <c r="P32" s="79" t="s">
        <v>173</v>
      </c>
      <c r="Q32" s="80">
        <f t="shared" si="1"/>
        <v>3</v>
      </c>
      <c r="R32" s="80" t="str">
        <f t="shared" si="2"/>
        <v>SI</v>
      </c>
      <c r="S32" s="97">
        <f t="shared" si="3"/>
        <v>4</v>
      </c>
      <c r="T32" s="80">
        <f t="shared" si="4"/>
        <v>306111.3333</v>
      </c>
      <c r="U32" s="98">
        <f t="shared" si="5"/>
        <v>4.7E-2</v>
      </c>
      <c r="V32" s="87" t="s">
        <v>209</v>
      </c>
      <c r="Y32" s="65" t="s">
        <v>1313</v>
      </c>
      <c r="Z32" s="65" t="s">
        <v>455</v>
      </c>
      <c r="AA32" s="65" t="s">
        <v>1314</v>
      </c>
      <c r="AB32" s="65">
        <f>VLOOKUP(Z32,SABANA!$B$1:$AY$479,27,0)</f>
        <v>3</v>
      </c>
      <c r="AC32" s="65" t="str">
        <f>VLOOKUP(Z32,SABANA!$B$1:$AY$479,48,0)</f>
        <v>NO</v>
      </c>
      <c r="AD32" s="65">
        <f>VLOOKUP(Z32,SABANA!$B$1:$AY$479,41,0)</f>
        <v>2</v>
      </c>
      <c r="AE32" s="65">
        <v>6</v>
      </c>
      <c r="AF32" s="65">
        <v>31936</v>
      </c>
      <c r="AG32" s="65">
        <v>1064.5333330000001</v>
      </c>
      <c r="AH32" s="65">
        <v>112755799</v>
      </c>
      <c r="AI32" s="65">
        <v>2470000</v>
      </c>
      <c r="AJ32" s="65">
        <v>82333.333329999994</v>
      </c>
      <c r="AK32" s="71">
        <v>2.1999999999999999E-2</v>
      </c>
      <c r="AL32" s="71"/>
    </row>
    <row r="33" spans="1:38" x14ac:dyDescent="0.2">
      <c r="A33" s="137">
        <v>1085</v>
      </c>
      <c r="B33" s="137" t="s">
        <v>310</v>
      </c>
      <c r="C33" s="142">
        <v>14212380</v>
      </c>
      <c r="D33" s="143">
        <v>1849680.3599999999</v>
      </c>
      <c r="E33" s="125">
        <f t="shared" si="0"/>
        <v>0.13014571521448201</v>
      </c>
      <c r="H33" s="65">
        <v>1156</v>
      </c>
      <c r="I33" s="65" t="s">
        <v>305</v>
      </c>
      <c r="J33" s="124">
        <v>2912990</v>
      </c>
      <c r="K33" s="65">
        <v>859418.7</v>
      </c>
      <c r="O33" s="78" t="s">
        <v>43</v>
      </c>
      <c r="P33" s="79" t="s">
        <v>140</v>
      </c>
      <c r="Q33" s="80">
        <f t="shared" si="1"/>
        <v>3</v>
      </c>
      <c r="R33" s="80" t="str">
        <f t="shared" si="2"/>
        <v>NO</v>
      </c>
      <c r="S33" s="97">
        <f t="shared" si="3"/>
        <v>2</v>
      </c>
      <c r="T33" s="80">
        <f t="shared" si="4"/>
        <v>158177</v>
      </c>
      <c r="U33" s="98">
        <f t="shared" si="5"/>
        <v>0.03</v>
      </c>
      <c r="V33" s="87" t="s">
        <v>209</v>
      </c>
      <c r="Y33" s="65" t="s">
        <v>1313</v>
      </c>
      <c r="Z33" s="65" t="s">
        <v>895</v>
      </c>
      <c r="AA33" s="65" t="s">
        <v>896</v>
      </c>
      <c r="AB33" s="65">
        <f>VLOOKUP(Z33,SABANA!$B$1:$AY$479,27,0)</f>
        <v>3</v>
      </c>
      <c r="AC33" s="65" t="str">
        <f>VLOOKUP(Z33,SABANA!$B$1:$AY$479,48,0)</f>
        <v>NO</v>
      </c>
      <c r="AD33" s="65">
        <f>VLOOKUP(Z33,SABANA!$B$1:$AY$479,41,0)</f>
        <v>4</v>
      </c>
      <c r="AE33" s="65">
        <v>6</v>
      </c>
      <c r="AF33" s="65">
        <v>24722</v>
      </c>
      <c r="AG33" s="65">
        <v>824.06666670000004</v>
      </c>
      <c r="AH33" s="65">
        <v>77569540</v>
      </c>
      <c r="AI33" s="65">
        <v>1450200</v>
      </c>
      <c r="AJ33" s="65">
        <v>48340</v>
      </c>
      <c r="AK33" s="71">
        <v>1.9E-2</v>
      </c>
      <c r="AL33" s="71"/>
    </row>
    <row r="34" spans="1:38" x14ac:dyDescent="0.2">
      <c r="A34" s="137">
        <v>1156</v>
      </c>
      <c r="B34" s="137" t="s">
        <v>305</v>
      </c>
      <c r="C34" s="142">
        <v>2912990</v>
      </c>
      <c r="D34" s="143">
        <v>859418.7</v>
      </c>
      <c r="E34" s="125">
        <f t="shared" si="0"/>
        <v>0.2950297460684726</v>
      </c>
      <c r="H34" s="65">
        <v>1210</v>
      </c>
      <c r="I34" s="65" t="s">
        <v>245</v>
      </c>
      <c r="J34" s="124">
        <v>51139800</v>
      </c>
      <c r="K34" s="65">
        <v>3663436.8600000003</v>
      </c>
      <c r="O34" s="78" t="s">
        <v>77</v>
      </c>
      <c r="P34" s="79" t="s">
        <v>174</v>
      </c>
      <c r="Q34" s="80">
        <f t="shared" si="1"/>
        <v>5</v>
      </c>
      <c r="R34" s="80" t="str">
        <f t="shared" si="2"/>
        <v>SI</v>
      </c>
      <c r="S34" s="97">
        <f t="shared" si="3"/>
        <v>2</v>
      </c>
      <c r="T34" s="80">
        <f t="shared" si="4"/>
        <v>363993.3333</v>
      </c>
      <c r="U34" s="98">
        <f t="shared" si="5"/>
        <v>6.5000000000000002E-2</v>
      </c>
      <c r="V34" s="88" t="s">
        <v>210</v>
      </c>
      <c r="Y34" s="65" t="s">
        <v>1313</v>
      </c>
      <c r="Z34" s="65" t="s">
        <v>460</v>
      </c>
      <c r="AA34" s="65" t="s">
        <v>461</v>
      </c>
      <c r="AB34" s="65">
        <f>VLOOKUP(Z34,SABANA!$B$1:$AY$479,27,0)</f>
        <v>3</v>
      </c>
      <c r="AC34" s="65" t="str">
        <f>VLOOKUP(Z34,SABANA!$B$1:$AY$479,48,0)</f>
        <v>NO</v>
      </c>
      <c r="AD34" s="65">
        <f>VLOOKUP(Z34,SABANA!$B$1:$AY$479,41,0)</f>
        <v>1</v>
      </c>
      <c r="AE34" s="65">
        <v>6</v>
      </c>
      <c r="AF34" s="65">
        <v>40710</v>
      </c>
      <c r="AG34" s="65">
        <v>1357</v>
      </c>
      <c r="AH34" s="65">
        <v>140105360</v>
      </c>
      <c r="AI34" s="65">
        <v>6692740</v>
      </c>
      <c r="AJ34" s="65">
        <v>223091.3333</v>
      </c>
      <c r="AK34" s="71">
        <v>4.8000000000000001E-2</v>
      </c>
      <c r="AL34" s="71"/>
    </row>
    <row r="35" spans="1:38" x14ac:dyDescent="0.2">
      <c r="A35" s="137">
        <v>1210</v>
      </c>
      <c r="B35" s="137" t="s">
        <v>245</v>
      </c>
      <c r="C35" s="142">
        <v>51139800</v>
      </c>
      <c r="D35" s="143">
        <v>3663436.8600000003</v>
      </c>
      <c r="E35" s="125">
        <f t="shared" si="0"/>
        <v>7.1635729119003205E-2</v>
      </c>
      <c r="H35" s="65">
        <v>1510</v>
      </c>
      <c r="I35" s="65" t="s">
        <v>313</v>
      </c>
      <c r="J35" s="124">
        <v>26997480</v>
      </c>
      <c r="K35" s="65">
        <v>1838135.2</v>
      </c>
      <c r="O35" s="78" t="s">
        <v>14</v>
      </c>
      <c r="P35" s="79" t="s">
        <v>111</v>
      </c>
      <c r="Q35" s="80">
        <f t="shared" si="1"/>
        <v>2</v>
      </c>
      <c r="R35" s="80" t="str">
        <f t="shared" si="2"/>
        <v>NO</v>
      </c>
      <c r="S35" s="97">
        <f t="shared" si="3"/>
        <v>2</v>
      </c>
      <c r="T35" s="80">
        <f t="shared" si="4"/>
        <v>93442</v>
      </c>
      <c r="U35" s="98">
        <f t="shared" si="5"/>
        <v>2.1999999999999999E-2</v>
      </c>
      <c r="V35" s="81" t="s">
        <v>208</v>
      </c>
      <c r="Y35" s="65" t="s">
        <v>1313</v>
      </c>
      <c r="Z35" s="65" t="s">
        <v>463</v>
      </c>
      <c r="AA35" s="65" t="s">
        <v>1315</v>
      </c>
      <c r="AB35" s="65">
        <f>VLOOKUP(Z35,SABANA!$B$1:$AY$479,27,0)</f>
        <v>4</v>
      </c>
      <c r="AC35" s="65" t="str">
        <f>VLOOKUP(Z35,SABANA!$B$1:$AY$479,48,0)</f>
        <v>SI</v>
      </c>
      <c r="AD35" s="65">
        <f>VLOOKUP(Z35,SABANA!$B$1:$AY$479,41,0)</f>
        <v>4</v>
      </c>
      <c r="AE35" s="65">
        <v>6</v>
      </c>
      <c r="AF35" s="65">
        <v>80525</v>
      </c>
      <c r="AG35" s="65">
        <v>2684.166667</v>
      </c>
      <c r="AH35" s="65">
        <v>278990238</v>
      </c>
      <c r="AI35" s="65">
        <v>23167610</v>
      </c>
      <c r="AJ35" s="65">
        <v>772253.66669999994</v>
      </c>
      <c r="AK35" s="71">
        <v>8.3000000000000004E-2</v>
      </c>
      <c r="AL35" s="71"/>
    </row>
    <row r="36" spans="1:38" x14ac:dyDescent="0.2">
      <c r="A36" s="137">
        <v>1510</v>
      </c>
      <c r="B36" s="137" t="s">
        <v>313</v>
      </c>
      <c r="C36" s="142">
        <v>26997480</v>
      </c>
      <c r="D36" s="143">
        <v>1838135.2</v>
      </c>
      <c r="E36" s="125">
        <f t="shared" si="0"/>
        <v>6.8085436122186219E-2</v>
      </c>
      <c r="H36" s="65">
        <v>1559</v>
      </c>
      <c r="I36" s="65" t="s">
        <v>1268</v>
      </c>
      <c r="J36" s="124">
        <v>155560</v>
      </c>
      <c r="K36" s="65">
        <v>-173661.11</v>
      </c>
      <c r="O36" s="78" t="s">
        <v>78</v>
      </c>
      <c r="P36" s="79" t="s">
        <v>175</v>
      </c>
      <c r="Q36" s="80">
        <f t="shared" si="1"/>
        <v>3</v>
      </c>
      <c r="R36" s="80" t="str">
        <f t="shared" si="2"/>
        <v>SI</v>
      </c>
      <c r="S36" s="97">
        <f t="shared" si="3"/>
        <v>2</v>
      </c>
      <c r="T36" s="80">
        <f t="shared" si="4"/>
        <v>468081</v>
      </c>
      <c r="U36" s="98">
        <f t="shared" si="5"/>
        <v>3.3000000000000002E-2</v>
      </c>
      <c r="V36" s="88" t="s">
        <v>210</v>
      </c>
      <c r="Y36" s="65" t="s">
        <v>1313</v>
      </c>
      <c r="Z36" s="65" t="s">
        <v>465</v>
      </c>
      <c r="AA36" s="65" t="s">
        <v>466</v>
      </c>
      <c r="AB36" s="65">
        <f>VLOOKUP(Z36,SABANA!$B$1:$AY$479,27,0)</f>
        <v>3</v>
      </c>
      <c r="AC36" s="65" t="str">
        <f>VLOOKUP(Z36,SABANA!$B$1:$AY$479,48,0)</f>
        <v>NO</v>
      </c>
      <c r="AD36" s="65">
        <f>VLOOKUP(Z36,SABANA!$B$1:$AY$479,41,0)</f>
        <v>2</v>
      </c>
      <c r="AE36" s="65">
        <v>6</v>
      </c>
      <c r="AF36" s="65">
        <v>57923</v>
      </c>
      <c r="AG36" s="65">
        <v>1930.7666670000001</v>
      </c>
      <c r="AH36" s="65">
        <v>182825521</v>
      </c>
      <c r="AI36" s="65">
        <v>5051920</v>
      </c>
      <c r="AJ36" s="65">
        <v>168397.3333</v>
      </c>
      <c r="AK36" s="71">
        <v>2.8000000000000001E-2</v>
      </c>
      <c r="AL36" s="71"/>
    </row>
    <row r="37" spans="1:38" x14ac:dyDescent="0.2">
      <c r="A37" s="137">
        <v>1559</v>
      </c>
      <c r="B37" s="137" t="s">
        <v>1268</v>
      </c>
      <c r="C37" s="142">
        <v>155560</v>
      </c>
      <c r="D37" s="143">
        <v>-173661.11</v>
      </c>
      <c r="E37" s="125">
        <f t="shared" si="0"/>
        <v>-1.1163609539727435</v>
      </c>
      <c r="H37" s="65">
        <v>1560</v>
      </c>
      <c r="I37" s="65" t="s">
        <v>1269</v>
      </c>
      <c r="J37" s="124">
        <v>132170</v>
      </c>
      <c r="K37" s="65">
        <v>-243575.69</v>
      </c>
      <c r="O37" s="78" t="s">
        <v>15</v>
      </c>
      <c r="P37" s="79" t="s">
        <v>112</v>
      </c>
      <c r="Q37" s="80">
        <f t="shared" si="1"/>
        <v>2</v>
      </c>
      <c r="R37" s="80" t="str">
        <f t="shared" si="2"/>
        <v>NO</v>
      </c>
      <c r="S37" s="97">
        <f t="shared" si="3"/>
        <v>2</v>
      </c>
      <c r="T37" s="80">
        <f t="shared" si="4"/>
        <v>193283.6667</v>
      </c>
      <c r="U37" s="98">
        <f t="shared" si="5"/>
        <v>2.4E-2</v>
      </c>
      <c r="V37" s="81" t="s">
        <v>208</v>
      </c>
      <c r="Y37" s="65" t="s">
        <v>1313</v>
      </c>
      <c r="Z37" s="65" t="s">
        <v>467</v>
      </c>
      <c r="AA37" s="65" t="s">
        <v>1316</v>
      </c>
      <c r="AB37" s="65">
        <f>VLOOKUP(Z37,SABANA!$B$1:$AY$479,27,0)</f>
        <v>4</v>
      </c>
      <c r="AC37" s="65" t="str">
        <f>VLOOKUP(Z37,SABANA!$B$1:$AY$479,48,0)</f>
        <v>SI</v>
      </c>
      <c r="AD37" s="65">
        <f>VLOOKUP(Z37,SABANA!$B$1:$AY$479,41,0)</f>
        <v>1</v>
      </c>
      <c r="AE37" s="65">
        <v>6</v>
      </c>
      <c r="AF37" s="65">
        <v>39388</v>
      </c>
      <c r="AG37" s="65">
        <v>1312.9333329999999</v>
      </c>
      <c r="AH37" s="65">
        <v>134557848</v>
      </c>
      <c r="AI37" s="65">
        <v>7510250</v>
      </c>
      <c r="AJ37" s="65">
        <v>250341.6667</v>
      </c>
      <c r="AK37" s="71">
        <v>5.6000000000000001E-2</v>
      </c>
      <c r="AL37" s="71"/>
    </row>
    <row r="38" spans="1:38" x14ac:dyDescent="0.2">
      <c r="A38" s="137">
        <v>1560</v>
      </c>
      <c r="B38" s="137" t="s">
        <v>1269</v>
      </c>
      <c r="C38" s="142">
        <v>132170</v>
      </c>
      <c r="D38" s="143">
        <v>-243575.69</v>
      </c>
      <c r="E38" s="125">
        <f t="shared" si="0"/>
        <v>-1.8428969508965727</v>
      </c>
      <c r="H38" s="65">
        <v>1561</v>
      </c>
      <c r="I38" s="65" t="s">
        <v>224</v>
      </c>
      <c r="J38" s="124">
        <v>35559250</v>
      </c>
      <c r="K38" s="65">
        <v>1463853.02</v>
      </c>
      <c r="O38" s="78" t="s">
        <v>80</v>
      </c>
      <c r="P38" s="90" t="s">
        <v>177</v>
      </c>
      <c r="Q38" s="80">
        <f t="shared" si="1"/>
        <v>2</v>
      </c>
      <c r="R38" s="80" t="str">
        <f t="shared" si="2"/>
        <v>SI</v>
      </c>
      <c r="S38" s="97">
        <f t="shared" si="3"/>
        <v>2</v>
      </c>
      <c r="T38" s="80">
        <f t="shared" si="4"/>
        <v>297106</v>
      </c>
      <c r="U38" s="98">
        <f t="shared" si="5"/>
        <v>3.9E-2</v>
      </c>
      <c r="V38" s="88" t="s">
        <v>210</v>
      </c>
      <c r="Y38" s="65" t="s">
        <v>1313</v>
      </c>
      <c r="Z38" s="65" t="s">
        <v>469</v>
      </c>
      <c r="AA38" s="65" t="s">
        <v>1317</v>
      </c>
      <c r="AB38" s="65">
        <f>VLOOKUP(Z38,SABANA!$B$1:$AY$479,27,0)</f>
        <v>3</v>
      </c>
      <c r="AC38" s="65" t="str">
        <f>VLOOKUP(Z38,SABANA!$B$1:$AY$479,48,0)</f>
        <v>NO</v>
      </c>
      <c r="AD38" s="65">
        <f>VLOOKUP(Z38,SABANA!$B$1:$AY$479,41,0)</f>
        <v>2</v>
      </c>
      <c r="AE38" s="65">
        <v>6</v>
      </c>
      <c r="AF38" s="65">
        <v>43854</v>
      </c>
      <c r="AG38" s="65">
        <v>1461.8</v>
      </c>
      <c r="AH38" s="65">
        <v>149993864</v>
      </c>
      <c r="AI38" s="65">
        <v>3095020</v>
      </c>
      <c r="AJ38" s="65">
        <v>103167.3333</v>
      </c>
      <c r="AK38" s="71">
        <v>2.1000000000000001E-2</v>
      </c>
      <c r="AL38" s="71"/>
    </row>
    <row r="39" spans="1:38" x14ac:dyDescent="0.2">
      <c r="A39" s="137">
        <v>1561</v>
      </c>
      <c r="B39" s="137" t="s">
        <v>224</v>
      </c>
      <c r="C39" s="142">
        <v>35559250</v>
      </c>
      <c r="D39" s="143">
        <v>1463853.02</v>
      </c>
      <c r="E39" s="125">
        <f t="shared" si="0"/>
        <v>4.116658872164064E-2</v>
      </c>
      <c r="H39" s="65">
        <v>1562</v>
      </c>
      <c r="I39" s="65" t="s">
        <v>314</v>
      </c>
      <c r="J39" s="124">
        <v>23298670</v>
      </c>
      <c r="K39" s="65">
        <v>2698114.1500000004</v>
      </c>
      <c r="O39" s="78" t="s">
        <v>44</v>
      </c>
      <c r="P39" s="79" t="s">
        <v>141</v>
      </c>
      <c r="Q39" s="80">
        <f t="shared" si="1"/>
        <v>2</v>
      </c>
      <c r="R39" s="80" t="str">
        <f t="shared" si="2"/>
        <v>SI</v>
      </c>
      <c r="S39" s="97">
        <f t="shared" si="3"/>
        <v>4</v>
      </c>
      <c r="T39" s="80">
        <f t="shared" si="4"/>
        <v>246185.3333</v>
      </c>
      <c r="U39" s="98">
        <f t="shared" si="5"/>
        <v>3.5999999999999997E-2</v>
      </c>
      <c r="V39" s="88" t="s">
        <v>210</v>
      </c>
      <c r="Y39" s="65" t="s">
        <v>1313</v>
      </c>
      <c r="Z39" s="65" t="s">
        <v>471</v>
      </c>
      <c r="AA39" s="65" t="s">
        <v>472</v>
      </c>
      <c r="AB39" s="65">
        <f>VLOOKUP(Z39,SABANA!$B$1:$AY$479,27,0)</f>
        <v>3</v>
      </c>
      <c r="AC39" s="65" t="str">
        <f>VLOOKUP(Z39,SABANA!$B$1:$AY$479,48,0)</f>
        <v>SI</v>
      </c>
      <c r="AD39" s="65">
        <f>VLOOKUP(Z39,SABANA!$B$1:$AY$479,41,0)</f>
        <v>3</v>
      </c>
      <c r="AE39" s="65">
        <v>6</v>
      </c>
      <c r="AF39" s="65">
        <v>47657</v>
      </c>
      <c r="AG39" s="65">
        <v>1588.5666670000001</v>
      </c>
      <c r="AH39" s="65">
        <v>164649319</v>
      </c>
      <c r="AI39" s="65">
        <v>10789040</v>
      </c>
      <c r="AJ39" s="65">
        <v>359634.6667</v>
      </c>
      <c r="AK39" s="71">
        <v>6.6000000000000003E-2</v>
      </c>
      <c r="AL39" s="71"/>
    </row>
    <row r="40" spans="1:38" x14ac:dyDescent="0.2">
      <c r="A40" s="137">
        <v>1562</v>
      </c>
      <c r="B40" s="137" t="s">
        <v>314</v>
      </c>
      <c r="C40" s="142">
        <v>23298670</v>
      </c>
      <c r="D40" s="143">
        <v>2698114.1500000004</v>
      </c>
      <c r="E40" s="125">
        <f t="shared" si="0"/>
        <v>0.11580550091485911</v>
      </c>
      <c r="H40" s="65">
        <v>1601</v>
      </c>
      <c r="I40" s="65" t="s">
        <v>299</v>
      </c>
      <c r="J40" s="124">
        <v>16891000</v>
      </c>
      <c r="K40" s="65">
        <v>2264582.27</v>
      </c>
      <c r="O40" s="78" t="s">
        <v>45</v>
      </c>
      <c r="P40" s="79" t="s">
        <v>142</v>
      </c>
      <c r="Q40" s="80">
        <f t="shared" si="1"/>
        <v>3</v>
      </c>
      <c r="R40" s="80" t="str">
        <f t="shared" si="2"/>
        <v>SI</v>
      </c>
      <c r="S40" s="97">
        <f t="shared" si="3"/>
        <v>2</v>
      </c>
      <c r="T40" s="80">
        <f t="shared" si="4"/>
        <v>238192.3333</v>
      </c>
      <c r="U40" s="98">
        <f t="shared" si="5"/>
        <v>5.1999999999999998E-2</v>
      </c>
      <c r="V40" s="87" t="s">
        <v>209</v>
      </c>
      <c r="Y40" s="65" t="s">
        <v>1313</v>
      </c>
      <c r="Z40" s="65" t="s">
        <v>661</v>
      </c>
      <c r="AA40" s="65" t="s">
        <v>662</v>
      </c>
      <c r="AB40" s="65">
        <f>VLOOKUP(Z40,SABANA!$B$1:$AY$479,27,0)</f>
        <v>2</v>
      </c>
      <c r="AC40" s="65" t="str">
        <f>VLOOKUP(Z40,SABANA!$B$1:$AY$479,48,0)</f>
        <v>NO</v>
      </c>
      <c r="AD40" s="65">
        <f>VLOOKUP(Z40,SABANA!$B$1:$AY$479,41,0)</f>
        <v>2</v>
      </c>
      <c r="AE40" s="65">
        <v>6</v>
      </c>
      <c r="AF40" s="65">
        <v>41501</v>
      </c>
      <c r="AG40" s="65">
        <v>1383.366667</v>
      </c>
      <c r="AH40" s="65">
        <v>143367133</v>
      </c>
      <c r="AI40" s="65">
        <v>4090670</v>
      </c>
      <c r="AJ40" s="65">
        <v>136355.6667</v>
      </c>
      <c r="AK40" s="71">
        <v>2.9000000000000001E-2</v>
      </c>
      <c r="AL40" s="71"/>
    </row>
    <row r="41" spans="1:38" x14ac:dyDescent="0.2">
      <c r="A41" s="137">
        <v>1601</v>
      </c>
      <c r="B41" s="137" t="s">
        <v>299</v>
      </c>
      <c r="C41" s="142">
        <v>16891000</v>
      </c>
      <c r="D41" s="143">
        <v>2264582.27</v>
      </c>
      <c r="E41" s="125">
        <f t="shared" si="0"/>
        <v>0.13407034929844297</v>
      </c>
      <c r="H41" s="65">
        <v>1623</v>
      </c>
      <c r="I41" s="65" t="s">
        <v>293</v>
      </c>
      <c r="J41" s="124">
        <v>4437080</v>
      </c>
      <c r="K41" s="65">
        <v>659475.74</v>
      </c>
      <c r="O41" s="78" t="s">
        <v>46</v>
      </c>
      <c r="P41" s="79" t="s">
        <v>143</v>
      </c>
      <c r="Q41" s="80">
        <f t="shared" si="1"/>
        <v>2</v>
      </c>
      <c r="R41" s="80" t="str">
        <f t="shared" si="2"/>
        <v>NO</v>
      </c>
      <c r="S41" s="97">
        <f t="shared" si="3"/>
        <v>2</v>
      </c>
      <c r="T41" s="80">
        <f t="shared" si="4"/>
        <v>149897.6667</v>
      </c>
      <c r="U41" s="98">
        <f t="shared" si="5"/>
        <v>2.4E-2</v>
      </c>
      <c r="V41" s="87" t="s">
        <v>209</v>
      </c>
      <c r="Y41" s="65" t="s">
        <v>1313</v>
      </c>
      <c r="Z41" s="65" t="s">
        <v>663</v>
      </c>
      <c r="AA41" s="65" t="s">
        <v>1318</v>
      </c>
      <c r="AB41" s="65">
        <f>VLOOKUP(Z41,SABANA!$B$1:$AY$479,27,0)</f>
        <v>3</v>
      </c>
      <c r="AC41" s="65" t="str">
        <f>VLOOKUP(Z41,SABANA!$B$1:$AY$479,48,0)</f>
        <v>NO</v>
      </c>
      <c r="AD41" s="65">
        <f>VLOOKUP(Z41,SABANA!$B$1:$AY$479,41,0)</f>
        <v>2</v>
      </c>
      <c r="AE41" s="65">
        <v>6</v>
      </c>
      <c r="AF41" s="65">
        <v>57723</v>
      </c>
      <c r="AG41" s="65">
        <v>1924.1</v>
      </c>
      <c r="AH41" s="65">
        <v>189056941</v>
      </c>
      <c r="AI41" s="65">
        <v>4007920</v>
      </c>
      <c r="AJ41" s="65">
        <v>133597.3333</v>
      </c>
      <c r="AK41" s="71">
        <v>2.1000000000000001E-2</v>
      </c>
      <c r="AL41" s="71"/>
    </row>
    <row r="42" spans="1:38" x14ac:dyDescent="0.2">
      <c r="A42" s="137">
        <v>1623</v>
      </c>
      <c r="B42" s="137" t="s">
        <v>293</v>
      </c>
      <c r="C42" s="142">
        <v>4437080</v>
      </c>
      <c r="D42" s="143">
        <v>659475.74</v>
      </c>
      <c r="E42" s="125">
        <f t="shared" si="0"/>
        <v>0.14862831862395989</v>
      </c>
      <c r="H42" s="65">
        <v>1632</v>
      </c>
      <c r="I42" s="65" t="s">
        <v>1276</v>
      </c>
      <c r="J42" s="124">
        <v>17800</v>
      </c>
      <c r="K42" s="65">
        <v>-20000</v>
      </c>
      <c r="O42" s="78" t="s">
        <v>47</v>
      </c>
      <c r="P42" s="79" t="s">
        <v>144</v>
      </c>
      <c r="Q42" s="80">
        <f t="shared" si="1"/>
        <v>3</v>
      </c>
      <c r="R42" s="80" t="str">
        <f t="shared" si="2"/>
        <v>NO</v>
      </c>
      <c r="S42" s="97">
        <f t="shared" si="3"/>
        <v>2</v>
      </c>
      <c r="T42" s="80">
        <f t="shared" si="4"/>
        <v>228635</v>
      </c>
      <c r="U42" s="98">
        <f t="shared" si="5"/>
        <v>2.8000000000000001E-2</v>
      </c>
      <c r="V42" s="87" t="s">
        <v>209</v>
      </c>
      <c r="Y42" s="65" t="s">
        <v>1313</v>
      </c>
      <c r="Z42" s="65" t="s">
        <v>665</v>
      </c>
      <c r="AA42" s="65" t="s">
        <v>666</v>
      </c>
      <c r="AB42" s="65">
        <f>VLOOKUP(Z42,SABANA!$B$1:$AY$479,27,0)</f>
        <v>2</v>
      </c>
      <c r="AC42" s="65" t="str">
        <f>VLOOKUP(Z42,SABANA!$B$1:$AY$479,48,0)</f>
        <v>NO</v>
      </c>
      <c r="AD42" s="65">
        <f>VLOOKUP(Z42,SABANA!$B$1:$AY$479,41,0)</f>
        <v>2</v>
      </c>
      <c r="AE42" s="65">
        <v>6</v>
      </c>
      <c r="AF42" s="65">
        <v>52762</v>
      </c>
      <c r="AG42" s="65">
        <v>1758.7333329999999</v>
      </c>
      <c r="AH42" s="65">
        <v>177530859</v>
      </c>
      <c r="AI42" s="65">
        <v>4894780</v>
      </c>
      <c r="AJ42" s="65">
        <v>163159.3333</v>
      </c>
      <c r="AK42" s="71">
        <v>2.8000000000000001E-2</v>
      </c>
      <c r="AL42" s="71"/>
    </row>
    <row r="43" spans="1:38" x14ac:dyDescent="0.2">
      <c r="A43" s="137">
        <v>1632</v>
      </c>
      <c r="B43" s="137" t="s">
        <v>1276</v>
      </c>
      <c r="C43" s="142">
        <v>17800</v>
      </c>
      <c r="D43" s="143">
        <v>-20000</v>
      </c>
      <c r="E43" s="125">
        <f t="shared" si="0"/>
        <v>-1.1235955056179776</v>
      </c>
      <c r="H43" s="65">
        <v>1633</v>
      </c>
      <c r="I43" s="65" t="s">
        <v>1272</v>
      </c>
      <c r="J43" s="124">
        <v>43180</v>
      </c>
      <c r="K43" s="65">
        <v>-57924.14</v>
      </c>
      <c r="O43" s="85" t="s">
        <v>48</v>
      </c>
      <c r="P43" s="79" t="s">
        <v>145</v>
      </c>
      <c r="Q43" s="80">
        <f t="shared" si="1"/>
        <v>3</v>
      </c>
      <c r="R43" s="80" t="str">
        <f t="shared" si="2"/>
        <v>NO</v>
      </c>
      <c r="S43" s="97">
        <f t="shared" si="3"/>
        <v>4</v>
      </c>
      <c r="T43" s="80">
        <f t="shared" si="4"/>
        <v>116197</v>
      </c>
      <c r="U43" s="98">
        <f t="shared" si="5"/>
        <v>1.7999999999999999E-2</v>
      </c>
      <c r="V43" s="81" t="s">
        <v>208</v>
      </c>
      <c r="Y43" s="65" t="s">
        <v>1313</v>
      </c>
      <c r="Z43" s="65" t="s">
        <v>473</v>
      </c>
      <c r="AA43" s="65" t="s">
        <v>1319</v>
      </c>
      <c r="AB43" s="65">
        <f>VLOOKUP(Z43,SABANA!$B$1:$AY$479,27,0)</f>
        <v>3</v>
      </c>
      <c r="AC43" s="65" t="str">
        <f>VLOOKUP(Z43,SABANA!$B$1:$AY$479,48,0)</f>
        <v>NO</v>
      </c>
      <c r="AD43" s="65">
        <f>VLOOKUP(Z43,SABANA!$B$1:$AY$479,41,0)</f>
        <v>1</v>
      </c>
      <c r="AE43" s="65">
        <v>6</v>
      </c>
      <c r="AF43" s="65">
        <v>43700</v>
      </c>
      <c r="AG43" s="65">
        <v>1456.666667</v>
      </c>
      <c r="AH43" s="65">
        <v>139164989</v>
      </c>
      <c r="AI43" s="65">
        <v>3065330</v>
      </c>
      <c r="AJ43" s="65">
        <v>102177.6667</v>
      </c>
      <c r="AK43" s="71">
        <v>2.1999999999999999E-2</v>
      </c>
      <c r="AL43" s="71"/>
    </row>
    <row r="44" spans="1:38" x14ac:dyDescent="0.2">
      <c r="A44" s="137">
        <v>1633</v>
      </c>
      <c r="B44" s="137" t="s">
        <v>1272</v>
      </c>
      <c r="C44" s="142">
        <v>43180</v>
      </c>
      <c r="D44" s="143">
        <v>-57924.14</v>
      </c>
      <c r="E44" s="125">
        <f t="shared" si="0"/>
        <v>-1.3414576192681797</v>
      </c>
      <c r="H44" s="65">
        <v>1671</v>
      </c>
      <c r="I44" s="65" t="s">
        <v>277</v>
      </c>
      <c r="J44" s="124">
        <v>14502120</v>
      </c>
      <c r="K44" s="65">
        <v>1408654.75</v>
      </c>
      <c r="O44" s="85" t="s">
        <v>49</v>
      </c>
      <c r="P44" s="79" t="s">
        <v>146</v>
      </c>
      <c r="Q44" s="80">
        <f t="shared" si="1"/>
        <v>2</v>
      </c>
      <c r="R44" s="80" t="str">
        <f t="shared" si="2"/>
        <v>NO</v>
      </c>
      <c r="S44" s="97">
        <f t="shared" si="3"/>
        <v>2</v>
      </c>
      <c r="T44" s="80">
        <f t="shared" si="4"/>
        <v>114078.6667</v>
      </c>
      <c r="U44" s="98">
        <f t="shared" si="5"/>
        <v>1.6E-2</v>
      </c>
      <c r="V44" s="81" t="s">
        <v>208</v>
      </c>
      <c r="Y44" s="65" t="s">
        <v>1313</v>
      </c>
      <c r="Z44" s="65" t="s">
        <v>667</v>
      </c>
      <c r="AA44" s="65" t="s">
        <v>668</v>
      </c>
      <c r="AB44" s="65">
        <f>VLOOKUP(Z44,SABANA!$B$1:$AY$479,27,0)</f>
        <v>4</v>
      </c>
      <c r="AC44" s="65" t="str">
        <f>VLOOKUP(Z44,SABANA!$B$1:$AY$479,48,0)</f>
        <v>NO</v>
      </c>
      <c r="AD44" s="65">
        <f>VLOOKUP(Z44,SABANA!$B$1:$AY$479,41,0)</f>
        <v>4</v>
      </c>
      <c r="AE44" s="65">
        <v>6</v>
      </c>
      <c r="AF44" s="65">
        <v>36772</v>
      </c>
      <c r="AG44" s="65">
        <v>1225.7333329999999</v>
      </c>
      <c r="AH44" s="65">
        <v>130001083</v>
      </c>
      <c r="AI44" s="65">
        <v>5942580</v>
      </c>
      <c r="AJ44" s="65">
        <v>198086</v>
      </c>
      <c r="AK44" s="71">
        <v>4.5999999999999999E-2</v>
      </c>
      <c r="AL44" s="71"/>
    </row>
    <row r="45" spans="1:38" x14ac:dyDescent="0.2">
      <c r="A45" s="137">
        <v>1671</v>
      </c>
      <c r="B45" s="137" t="s">
        <v>277</v>
      </c>
      <c r="C45" s="142">
        <v>14502120</v>
      </c>
      <c r="D45" s="143">
        <v>1408654.75</v>
      </c>
      <c r="E45" s="125">
        <f t="shared" si="0"/>
        <v>9.7134401728850683E-2</v>
      </c>
      <c r="H45" s="65">
        <v>1673</v>
      </c>
      <c r="I45" s="65" t="s">
        <v>281</v>
      </c>
      <c r="J45" s="124">
        <v>12081290</v>
      </c>
      <c r="K45" s="65">
        <v>720265.06</v>
      </c>
      <c r="O45" s="85" t="s">
        <v>79</v>
      </c>
      <c r="P45" s="79" t="s">
        <v>176</v>
      </c>
      <c r="Q45" s="80">
        <f t="shared" si="1"/>
        <v>3</v>
      </c>
      <c r="R45" s="80" t="str">
        <f t="shared" si="2"/>
        <v>NO</v>
      </c>
      <c r="S45" s="97">
        <f t="shared" si="3"/>
        <v>2</v>
      </c>
      <c r="T45" s="80">
        <f t="shared" si="4"/>
        <v>264102.3333</v>
      </c>
      <c r="U45" s="98">
        <f t="shared" si="5"/>
        <v>3.7999999999999999E-2</v>
      </c>
      <c r="V45" s="87" t="s">
        <v>209</v>
      </c>
      <c r="Y45" s="65" t="s">
        <v>1313</v>
      </c>
      <c r="Z45" s="65" t="s">
        <v>475</v>
      </c>
      <c r="AA45" s="65" t="s">
        <v>1320</v>
      </c>
      <c r="AB45" s="65">
        <f>VLOOKUP(Z45,SABANA!$B$1:$AY$479,27,0)</f>
        <v>2</v>
      </c>
      <c r="AC45" s="65" t="str">
        <f>VLOOKUP(Z45,SABANA!$B$1:$AY$479,48,0)</f>
        <v>NO</v>
      </c>
      <c r="AD45" s="65">
        <f>VLOOKUP(Z45,SABANA!$B$1:$AY$479,41,0)</f>
        <v>1</v>
      </c>
      <c r="AE45" s="65">
        <v>6</v>
      </c>
      <c r="AF45" s="65">
        <v>48630</v>
      </c>
      <c r="AG45" s="65">
        <v>1621</v>
      </c>
      <c r="AH45" s="65">
        <v>165129780</v>
      </c>
      <c r="AI45" s="65">
        <v>2672250</v>
      </c>
      <c r="AJ45" s="65">
        <v>89075</v>
      </c>
      <c r="AK45" s="71">
        <v>1.6E-2</v>
      </c>
      <c r="AL45" s="71"/>
    </row>
    <row r="46" spans="1:38" x14ac:dyDescent="0.2">
      <c r="A46" s="137">
        <v>1673</v>
      </c>
      <c r="B46" s="137" t="s">
        <v>281</v>
      </c>
      <c r="C46" s="142">
        <v>12081290</v>
      </c>
      <c r="D46" s="143">
        <v>720265.06</v>
      </c>
      <c r="E46" s="125">
        <f t="shared" si="0"/>
        <v>5.9618224543902185E-2</v>
      </c>
      <c r="H46" s="65">
        <v>1675</v>
      </c>
      <c r="I46" s="65" t="s">
        <v>288</v>
      </c>
      <c r="J46" s="124">
        <v>0</v>
      </c>
      <c r="K46" s="65">
        <v>0</v>
      </c>
      <c r="O46" s="78" t="s">
        <v>81</v>
      </c>
      <c r="P46" s="79" t="s">
        <v>178</v>
      </c>
      <c r="Q46" s="80">
        <f t="shared" si="1"/>
        <v>2</v>
      </c>
      <c r="R46" s="80" t="str">
        <f t="shared" si="2"/>
        <v>SI</v>
      </c>
      <c r="S46" s="97">
        <f t="shared" si="3"/>
        <v>2</v>
      </c>
      <c r="T46" s="80">
        <f t="shared" si="4"/>
        <v>331503</v>
      </c>
      <c r="U46" s="98">
        <f t="shared" si="5"/>
        <v>0.04</v>
      </c>
      <c r="V46" s="88" t="s">
        <v>210</v>
      </c>
      <c r="Y46" s="65" t="s">
        <v>1313</v>
      </c>
      <c r="Z46" s="65" t="s">
        <v>903</v>
      </c>
      <c r="AA46" s="65" t="s">
        <v>1321</v>
      </c>
      <c r="AB46" s="65">
        <f>VLOOKUP(Z46,SABANA!$B$1:$AY$479,27,0)</f>
        <v>3</v>
      </c>
      <c r="AC46" s="65" t="str">
        <f>VLOOKUP(Z46,SABANA!$B$1:$AY$479,48,0)</f>
        <v>NO</v>
      </c>
      <c r="AD46" s="65">
        <f>VLOOKUP(Z46,SABANA!$B$1:$AY$479,41,0)</f>
        <v>2</v>
      </c>
      <c r="AE46" s="65">
        <v>6</v>
      </c>
      <c r="AF46" s="65">
        <v>27670</v>
      </c>
      <c r="AG46" s="65">
        <v>922.33333330000005</v>
      </c>
      <c r="AH46" s="65">
        <v>91421826</v>
      </c>
      <c r="AI46" s="65">
        <v>2369870</v>
      </c>
      <c r="AJ46" s="65">
        <v>78995.666670000006</v>
      </c>
      <c r="AK46" s="71">
        <v>2.5999999999999999E-2</v>
      </c>
      <c r="AL46" s="71"/>
    </row>
    <row r="47" spans="1:38" x14ac:dyDescent="0.2">
      <c r="A47" s="137">
        <v>1675</v>
      </c>
      <c r="B47" s="137" t="s">
        <v>288</v>
      </c>
      <c r="C47" s="142">
        <v>0</v>
      </c>
      <c r="D47" s="143">
        <v>0</v>
      </c>
      <c r="E47" s="125" t="e">
        <f t="shared" si="0"/>
        <v>#DIV/0!</v>
      </c>
      <c r="H47" s="65">
        <v>1793</v>
      </c>
      <c r="I47" s="65" t="s">
        <v>236</v>
      </c>
      <c r="J47" s="124">
        <v>1276870</v>
      </c>
      <c r="K47" s="65">
        <v>529418.04</v>
      </c>
      <c r="O47" s="78" t="s">
        <v>16</v>
      </c>
      <c r="P47" s="79" t="s">
        <v>113</v>
      </c>
      <c r="Q47" s="80">
        <f t="shared" si="1"/>
        <v>2</v>
      </c>
      <c r="R47" s="80" t="str">
        <f t="shared" si="2"/>
        <v>NO</v>
      </c>
      <c r="S47" s="97">
        <f t="shared" si="3"/>
        <v>2</v>
      </c>
      <c r="T47" s="80">
        <f t="shared" si="4"/>
        <v>112606.6667</v>
      </c>
      <c r="U47" s="98">
        <f t="shared" si="5"/>
        <v>2.1999999999999999E-2</v>
      </c>
      <c r="V47" s="81" t="s">
        <v>208</v>
      </c>
      <c r="Y47" s="65" t="s">
        <v>1313</v>
      </c>
      <c r="Z47" s="65" t="s">
        <v>477</v>
      </c>
      <c r="AA47" s="65" t="s">
        <v>1322</v>
      </c>
      <c r="AB47" s="65">
        <f>VLOOKUP(Z47,SABANA!$B$1:$AY$479,27,0)</f>
        <v>3</v>
      </c>
      <c r="AC47" s="65" t="str">
        <f>VLOOKUP(Z47,SABANA!$B$1:$AY$479,48,0)</f>
        <v>NO</v>
      </c>
      <c r="AD47" s="65">
        <f>VLOOKUP(Z47,SABANA!$B$1:$AY$479,41,0)</f>
        <v>2</v>
      </c>
      <c r="AE47" s="65">
        <v>6</v>
      </c>
      <c r="AF47" s="65">
        <v>40862</v>
      </c>
      <c r="AG47" s="65">
        <v>1362.0666670000001</v>
      </c>
      <c r="AH47" s="65">
        <v>124957362</v>
      </c>
      <c r="AI47" s="65">
        <v>3447690</v>
      </c>
      <c r="AJ47" s="65">
        <v>114923</v>
      </c>
      <c r="AK47" s="71">
        <v>2.8000000000000001E-2</v>
      </c>
      <c r="AL47" s="71"/>
    </row>
    <row r="48" spans="1:38" x14ac:dyDescent="0.2">
      <c r="A48" s="137">
        <v>1793</v>
      </c>
      <c r="B48" s="137" t="s">
        <v>236</v>
      </c>
      <c r="C48" s="142">
        <v>1276870</v>
      </c>
      <c r="D48" s="143">
        <v>529418.04</v>
      </c>
      <c r="E48" s="125">
        <f t="shared" si="0"/>
        <v>0.41462172343308251</v>
      </c>
      <c r="H48" s="65">
        <v>1795</v>
      </c>
      <c r="I48" s="65" t="s">
        <v>247</v>
      </c>
      <c r="J48" s="124">
        <v>1066000</v>
      </c>
      <c r="K48" s="65">
        <v>706822.74</v>
      </c>
      <c r="O48" s="78" t="s">
        <v>50</v>
      </c>
      <c r="P48" s="79" t="s">
        <v>147</v>
      </c>
      <c r="Q48" s="80">
        <f t="shared" si="1"/>
        <v>3</v>
      </c>
      <c r="R48" s="80" t="str">
        <f t="shared" si="2"/>
        <v>NO</v>
      </c>
      <c r="S48" s="97">
        <f t="shared" si="3"/>
        <v>2</v>
      </c>
      <c r="T48" s="80">
        <f t="shared" si="4"/>
        <v>151561.3333</v>
      </c>
      <c r="U48" s="98">
        <f t="shared" si="5"/>
        <v>2.7E-2</v>
      </c>
      <c r="V48" s="87" t="s">
        <v>209</v>
      </c>
      <c r="Y48" s="65" t="s">
        <v>1313</v>
      </c>
      <c r="Z48" s="65" t="s">
        <v>479</v>
      </c>
      <c r="AA48" s="65" t="s">
        <v>1323</v>
      </c>
      <c r="AB48" s="65">
        <f>VLOOKUP(Z48,SABANA!$B$1:$AY$479,27,0)</f>
        <v>4</v>
      </c>
      <c r="AC48" s="65" t="str">
        <f>VLOOKUP(Z48,SABANA!$B$1:$AY$479,48,0)</f>
        <v>SI</v>
      </c>
      <c r="AD48" s="65">
        <f>VLOOKUP(Z48,SABANA!$B$1:$AY$479,41,0)</f>
        <v>4</v>
      </c>
      <c r="AE48" s="65">
        <v>6</v>
      </c>
      <c r="AF48" s="65">
        <v>38465</v>
      </c>
      <c r="AG48" s="65">
        <v>1282.166667</v>
      </c>
      <c r="AH48" s="65">
        <v>139711898</v>
      </c>
      <c r="AI48" s="65">
        <v>11727050</v>
      </c>
      <c r="AJ48" s="65">
        <v>390901.6667</v>
      </c>
      <c r="AK48" s="71">
        <v>8.4000000000000005E-2</v>
      </c>
      <c r="AL48" s="71"/>
    </row>
    <row r="49" spans="1:38" x14ac:dyDescent="0.2">
      <c r="A49" s="137">
        <v>1795</v>
      </c>
      <c r="B49" s="137" t="s">
        <v>247</v>
      </c>
      <c r="C49" s="142">
        <v>1066000</v>
      </c>
      <c r="D49" s="143">
        <v>706822.74</v>
      </c>
      <c r="E49" s="125">
        <f t="shared" si="0"/>
        <v>0.66306073170731705</v>
      </c>
      <c r="H49" s="65">
        <v>1796</v>
      </c>
      <c r="I49" s="65" t="s">
        <v>254</v>
      </c>
      <c r="J49" s="124">
        <v>886950</v>
      </c>
      <c r="K49" s="65">
        <v>467556.3</v>
      </c>
      <c r="O49" s="78" t="s">
        <v>51</v>
      </c>
      <c r="P49" s="79" t="s">
        <v>148</v>
      </c>
      <c r="Q49" s="80">
        <f t="shared" si="1"/>
        <v>3</v>
      </c>
      <c r="R49" s="80" t="str">
        <f t="shared" si="2"/>
        <v>NO</v>
      </c>
      <c r="S49" s="97">
        <f t="shared" si="3"/>
        <v>2</v>
      </c>
      <c r="T49" s="80">
        <f t="shared" si="4"/>
        <v>256772.6667</v>
      </c>
      <c r="U49" s="98">
        <f t="shared" si="5"/>
        <v>5.0999999999999997E-2</v>
      </c>
      <c r="V49" s="87" t="s">
        <v>209</v>
      </c>
      <c r="Y49" s="65" t="s">
        <v>1313</v>
      </c>
      <c r="Z49" s="65" t="s">
        <v>481</v>
      </c>
      <c r="AA49" s="65" t="s">
        <v>482</v>
      </c>
      <c r="AB49" s="65">
        <f>VLOOKUP(Z49,SABANA!$B$1:$AY$479,27,0)</f>
        <v>3</v>
      </c>
      <c r="AC49" s="65" t="str">
        <f>VLOOKUP(Z49,SABANA!$B$1:$AY$479,48,0)</f>
        <v>NO</v>
      </c>
      <c r="AD49" s="65">
        <f>VLOOKUP(Z49,SABANA!$B$1:$AY$479,41,0)</f>
        <v>2</v>
      </c>
      <c r="AE49" s="65">
        <v>6</v>
      </c>
      <c r="AF49" s="65">
        <v>65281</v>
      </c>
      <c r="AG49" s="65">
        <v>2176.0333329999999</v>
      </c>
      <c r="AH49" s="65">
        <v>224435821</v>
      </c>
      <c r="AI49" s="65">
        <v>9231410</v>
      </c>
      <c r="AJ49" s="65">
        <v>307713.6667</v>
      </c>
      <c r="AK49" s="71">
        <v>4.1000000000000002E-2</v>
      </c>
      <c r="AL49" s="71"/>
    </row>
    <row r="50" spans="1:38" x14ac:dyDescent="0.2">
      <c r="A50" s="137">
        <v>1796</v>
      </c>
      <c r="B50" s="137" t="s">
        <v>254</v>
      </c>
      <c r="C50" s="142">
        <v>886950</v>
      </c>
      <c r="D50" s="143">
        <v>467556.3</v>
      </c>
      <c r="E50" s="125">
        <f t="shared" si="0"/>
        <v>0.52715068493150685</v>
      </c>
      <c r="H50" s="65">
        <v>1797</v>
      </c>
      <c r="I50" s="65" t="s">
        <v>256</v>
      </c>
      <c r="J50" s="124">
        <v>2419120</v>
      </c>
      <c r="K50" s="65">
        <v>357333.6</v>
      </c>
      <c r="O50" s="78" t="s">
        <v>82</v>
      </c>
      <c r="P50" s="79" t="s">
        <v>179</v>
      </c>
      <c r="Q50" s="80">
        <f t="shared" si="1"/>
        <v>4</v>
      </c>
      <c r="R50" s="80" t="str">
        <f t="shared" si="2"/>
        <v>SI</v>
      </c>
      <c r="S50" s="97">
        <f t="shared" si="3"/>
        <v>2</v>
      </c>
      <c r="T50" s="80">
        <f t="shared" si="4"/>
        <v>550976</v>
      </c>
      <c r="U50" s="98">
        <f t="shared" si="5"/>
        <v>7.3999999999999996E-2</v>
      </c>
      <c r="V50" s="88" t="s">
        <v>210</v>
      </c>
      <c r="Y50" s="65" t="s">
        <v>1313</v>
      </c>
      <c r="Z50" s="65" t="s">
        <v>669</v>
      </c>
      <c r="AA50" s="65" t="s">
        <v>670</v>
      </c>
      <c r="AB50" s="65">
        <f>VLOOKUP(Z50,SABANA!$B$1:$AY$479,27,0)</f>
        <v>4</v>
      </c>
      <c r="AC50" s="65" t="str">
        <f>VLOOKUP(Z50,SABANA!$B$1:$AY$479,48,0)</f>
        <v>NO</v>
      </c>
      <c r="AD50" s="65">
        <f>VLOOKUP(Z50,SABANA!$B$1:$AY$479,41,0)</f>
        <v>2</v>
      </c>
      <c r="AE50" s="65">
        <v>6</v>
      </c>
      <c r="AF50" s="65">
        <v>36282</v>
      </c>
      <c r="AG50" s="65">
        <v>1209.4000000000001</v>
      </c>
      <c r="AH50" s="65">
        <v>126242024</v>
      </c>
      <c r="AI50" s="65">
        <v>3036870</v>
      </c>
      <c r="AJ50" s="65">
        <v>101229</v>
      </c>
      <c r="AK50" s="71">
        <v>2.4E-2</v>
      </c>
      <c r="AL50" s="71"/>
    </row>
    <row r="51" spans="1:38" x14ac:dyDescent="0.2">
      <c r="A51" s="137">
        <v>1797</v>
      </c>
      <c r="B51" s="137" t="s">
        <v>256</v>
      </c>
      <c r="C51" s="142">
        <v>2419120</v>
      </c>
      <c r="D51" s="143">
        <v>357333.6</v>
      </c>
      <c r="E51" s="125">
        <f t="shared" si="0"/>
        <v>0.14771222593339725</v>
      </c>
      <c r="H51" s="65">
        <v>1800</v>
      </c>
      <c r="I51" s="65" t="s">
        <v>262</v>
      </c>
      <c r="J51" s="124">
        <v>7797270</v>
      </c>
      <c r="K51" s="65">
        <v>1947690.38</v>
      </c>
      <c r="O51" s="78" t="s">
        <v>17</v>
      </c>
      <c r="P51" s="79" t="s">
        <v>114</v>
      </c>
      <c r="Q51" s="80">
        <f t="shared" si="1"/>
        <v>3</v>
      </c>
      <c r="R51" s="80" t="str">
        <f t="shared" si="2"/>
        <v>SI</v>
      </c>
      <c r="S51" s="97">
        <f t="shared" si="3"/>
        <v>2</v>
      </c>
      <c r="T51" s="80">
        <f t="shared" si="4"/>
        <v>130225</v>
      </c>
      <c r="U51" s="98">
        <f t="shared" si="5"/>
        <v>2.5999999999999999E-2</v>
      </c>
      <c r="V51" s="87" t="s">
        <v>209</v>
      </c>
      <c r="Y51" s="65" t="s">
        <v>1313</v>
      </c>
      <c r="Z51" s="65" t="s">
        <v>483</v>
      </c>
      <c r="AA51" s="65" t="s">
        <v>484</v>
      </c>
      <c r="AB51" s="65">
        <f>VLOOKUP(Z51,SABANA!$B$1:$AY$479,27,0)</f>
        <v>3</v>
      </c>
      <c r="AC51" s="65" t="str">
        <f>VLOOKUP(Z51,SABANA!$B$1:$AY$479,48,0)</f>
        <v>NO</v>
      </c>
      <c r="AD51" s="65">
        <f>VLOOKUP(Z51,SABANA!$B$1:$AY$479,41,0)</f>
        <v>1</v>
      </c>
      <c r="AE51" s="65">
        <v>6</v>
      </c>
      <c r="AF51" s="65">
        <v>58282</v>
      </c>
      <c r="AG51" s="65">
        <v>1942.7333329999999</v>
      </c>
      <c r="AH51" s="65">
        <v>207458216</v>
      </c>
      <c r="AI51" s="65">
        <v>5144800</v>
      </c>
      <c r="AJ51" s="65">
        <v>171493.3333</v>
      </c>
      <c r="AK51" s="71">
        <v>2.5000000000000001E-2</v>
      </c>
      <c r="AL51" s="71"/>
    </row>
    <row r="52" spans="1:38" x14ac:dyDescent="0.2">
      <c r="A52" s="137">
        <v>1800</v>
      </c>
      <c r="B52" s="137" t="s">
        <v>262</v>
      </c>
      <c r="C52" s="142">
        <v>7797270</v>
      </c>
      <c r="D52" s="143">
        <v>1947690.38</v>
      </c>
      <c r="E52" s="125">
        <f t="shared" si="0"/>
        <v>0.24979132183443692</v>
      </c>
      <c r="H52" s="65">
        <v>1803</v>
      </c>
      <c r="I52" s="65" t="s">
        <v>265</v>
      </c>
      <c r="J52" s="124">
        <v>11859600</v>
      </c>
      <c r="K52" s="65">
        <v>1244509.1200000001</v>
      </c>
      <c r="O52" s="78" t="s">
        <v>52</v>
      </c>
      <c r="P52" s="79" t="s">
        <v>149</v>
      </c>
      <c r="Q52" s="80">
        <f t="shared" si="1"/>
        <v>3</v>
      </c>
      <c r="R52" s="80" t="str">
        <f t="shared" si="2"/>
        <v>NO</v>
      </c>
      <c r="S52" s="97">
        <f t="shared" si="3"/>
        <v>2</v>
      </c>
      <c r="T52" s="80">
        <f t="shared" si="4"/>
        <v>199533.3333</v>
      </c>
      <c r="U52" s="98">
        <f t="shared" si="5"/>
        <v>0.03</v>
      </c>
      <c r="V52" s="87" t="s">
        <v>209</v>
      </c>
      <c r="Y52" s="65" t="s">
        <v>1313</v>
      </c>
      <c r="Z52" s="65" t="s">
        <v>485</v>
      </c>
      <c r="AA52" s="65" t="s">
        <v>486</v>
      </c>
      <c r="AB52" s="65">
        <f>VLOOKUP(Z52,SABANA!$B$1:$AY$479,27,0)</f>
        <v>3</v>
      </c>
      <c r="AC52" s="65" t="str">
        <f>VLOOKUP(Z52,SABANA!$B$1:$AY$479,48,0)</f>
        <v>NO</v>
      </c>
      <c r="AD52" s="65">
        <f>VLOOKUP(Z52,SABANA!$B$1:$AY$479,41,0)</f>
        <v>2</v>
      </c>
      <c r="AE52" s="65">
        <v>6</v>
      </c>
      <c r="AF52" s="65">
        <v>36667</v>
      </c>
      <c r="AG52" s="65">
        <v>1222.2333329999999</v>
      </c>
      <c r="AH52" s="65">
        <v>133730075</v>
      </c>
      <c r="AI52" s="65">
        <v>7373060</v>
      </c>
      <c r="AJ52" s="65">
        <v>245768.6667</v>
      </c>
      <c r="AK52" s="71">
        <v>5.5E-2</v>
      </c>
      <c r="AL52" s="71"/>
    </row>
    <row r="53" spans="1:38" x14ac:dyDescent="0.2">
      <c r="A53" s="137">
        <v>1803</v>
      </c>
      <c r="B53" s="137" t="s">
        <v>265</v>
      </c>
      <c r="C53" s="142">
        <v>11859600</v>
      </c>
      <c r="D53" s="143">
        <v>1244509.1200000001</v>
      </c>
      <c r="E53" s="125">
        <f t="shared" si="0"/>
        <v>0.10493685453135014</v>
      </c>
      <c r="H53" s="65">
        <v>1804</v>
      </c>
      <c r="I53" s="65" t="s">
        <v>270</v>
      </c>
      <c r="J53" s="124">
        <v>3160240</v>
      </c>
      <c r="K53" s="65">
        <v>899732.41</v>
      </c>
      <c r="O53" s="78" t="s">
        <v>53</v>
      </c>
      <c r="P53" s="79" t="s">
        <v>150</v>
      </c>
      <c r="Q53" s="80">
        <f t="shared" si="1"/>
        <v>2</v>
      </c>
      <c r="R53" s="80" t="str">
        <f t="shared" si="2"/>
        <v>NO</v>
      </c>
      <c r="S53" s="97">
        <f t="shared" si="3"/>
        <v>3</v>
      </c>
      <c r="T53" s="80">
        <f t="shared" si="4"/>
        <v>216276</v>
      </c>
      <c r="U53" s="98">
        <f t="shared" si="5"/>
        <v>0.03</v>
      </c>
      <c r="V53" s="87" t="s">
        <v>209</v>
      </c>
      <c r="Y53" s="65" t="s">
        <v>1313</v>
      </c>
      <c r="Z53" s="65" t="s">
        <v>671</v>
      </c>
      <c r="AA53" s="65" t="s">
        <v>672</v>
      </c>
      <c r="AB53" s="65">
        <f>VLOOKUP(Z53,SABANA!$B$1:$AY$479,27,0)</f>
        <v>3</v>
      </c>
      <c r="AC53" s="65" t="str">
        <f>VLOOKUP(Z53,SABANA!$B$1:$AY$479,48,0)</f>
        <v>NO</v>
      </c>
      <c r="AD53" s="65">
        <f>VLOOKUP(Z53,SABANA!$B$1:$AY$479,41,0)</f>
        <v>4</v>
      </c>
      <c r="AE53" s="65">
        <v>6</v>
      </c>
      <c r="AF53" s="65">
        <v>49284</v>
      </c>
      <c r="AG53" s="65">
        <v>1642.8</v>
      </c>
      <c r="AH53" s="65">
        <v>167170531</v>
      </c>
      <c r="AI53" s="65">
        <v>8830240</v>
      </c>
      <c r="AJ53" s="65">
        <v>294341.3333</v>
      </c>
      <c r="AK53" s="71">
        <v>5.2999999999999999E-2</v>
      </c>
      <c r="AL53" s="71"/>
    </row>
    <row r="54" spans="1:38" x14ac:dyDescent="0.2">
      <c r="A54" s="137">
        <v>1804</v>
      </c>
      <c r="B54" s="137" t="s">
        <v>270</v>
      </c>
      <c r="C54" s="142">
        <v>3160240</v>
      </c>
      <c r="D54" s="143">
        <v>899732.41</v>
      </c>
      <c r="E54" s="125">
        <f t="shared" si="0"/>
        <v>0.28470382312735742</v>
      </c>
      <c r="H54" s="65">
        <v>1805</v>
      </c>
      <c r="I54" s="65" t="s">
        <v>271</v>
      </c>
      <c r="J54" s="124">
        <v>348190</v>
      </c>
      <c r="K54" s="65">
        <v>225665.68</v>
      </c>
      <c r="O54" s="78" t="s">
        <v>54</v>
      </c>
      <c r="P54" s="79" t="s">
        <v>151</v>
      </c>
      <c r="Q54" s="80">
        <f t="shared" si="1"/>
        <v>3</v>
      </c>
      <c r="R54" s="80" t="str">
        <f t="shared" si="2"/>
        <v>NO</v>
      </c>
      <c r="S54" s="97">
        <f t="shared" si="3"/>
        <v>3</v>
      </c>
      <c r="T54" s="80">
        <f t="shared" si="4"/>
        <v>189190</v>
      </c>
      <c r="U54" s="98">
        <f t="shared" si="5"/>
        <v>2.4E-2</v>
      </c>
      <c r="V54" s="126" t="s">
        <v>208</v>
      </c>
      <c r="Y54" s="65" t="s">
        <v>1313</v>
      </c>
      <c r="Z54" s="65" t="s">
        <v>487</v>
      </c>
      <c r="AA54" s="65" t="s">
        <v>488</v>
      </c>
      <c r="AB54" s="65">
        <f>VLOOKUP(Z54,SABANA!$B$1:$AY$479,27,0)</f>
        <v>4</v>
      </c>
      <c r="AC54" s="65" t="str">
        <f>VLOOKUP(Z54,SABANA!$B$1:$AY$479,48,0)</f>
        <v>NO</v>
      </c>
      <c r="AD54" s="65">
        <f>VLOOKUP(Z54,SABANA!$B$1:$AY$479,41,0)</f>
        <v>1</v>
      </c>
      <c r="AE54" s="65">
        <v>6</v>
      </c>
      <c r="AF54" s="65">
        <v>44568</v>
      </c>
      <c r="AG54" s="65">
        <v>1485.6</v>
      </c>
      <c r="AH54" s="65">
        <v>134037529</v>
      </c>
      <c r="AI54" s="65">
        <v>6371710</v>
      </c>
      <c r="AJ54" s="65">
        <v>212390.3333</v>
      </c>
      <c r="AK54" s="71">
        <v>4.8000000000000001E-2</v>
      </c>
      <c r="AL54" s="71"/>
    </row>
    <row r="55" spans="1:38" x14ac:dyDescent="0.2">
      <c r="A55" s="137">
        <v>1805</v>
      </c>
      <c r="B55" s="137" t="s">
        <v>271</v>
      </c>
      <c r="C55" s="142">
        <v>348190</v>
      </c>
      <c r="D55" s="143">
        <v>225665.68</v>
      </c>
      <c r="E55" s="125">
        <f t="shared" si="0"/>
        <v>0.64811074413394987</v>
      </c>
      <c r="H55" s="65">
        <v>1806</v>
      </c>
      <c r="I55" s="65" t="s">
        <v>285</v>
      </c>
      <c r="J55" s="124">
        <v>5025020</v>
      </c>
      <c r="K55" s="65">
        <v>1999009.77</v>
      </c>
      <c r="O55" s="78" t="s">
        <v>89</v>
      </c>
      <c r="P55" s="79" t="s">
        <v>186</v>
      </c>
      <c r="Q55" s="80">
        <f t="shared" si="1"/>
        <v>3</v>
      </c>
      <c r="R55" s="80" t="str">
        <f t="shared" si="2"/>
        <v>NO</v>
      </c>
      <c r="S55" s="97">
        <f t="shared" si="3"/>
        <v>3</v>
      </c>
      <c r="T55" s="80">
        <f t="shared" si="4"/>
        <v>306685.6667</v>
      </c>
      <c r="U55" s="98">
        <f t="shared" si="5"/>
        <v>3.5000000000000003E-2</v>
      </c>
      <c r="V55" s="87" t="s">
        <v>209</v>
      </c>
      <c r="Y55" s="65" t="s">
        <v>1313</v>
      </c>
      <c r="Z55" s="65" t="s">
        <v>673</v>
      </c>
      <c r="AA55" s="65" t="s">
        <v>674</v>
      </c>
      <c r="AB55" s="65">
        <f>VLOOKUP(Z55,SABANA!$B$1:$AY$479,27,0)</f>
        <v>3</v>
      </c>
      <c r="AC55" s="65" t="str">
        <f>VLOOKUP(Z55,SABANA!$B$1:$AY$479,48,0)</f>
        <v>NO</v>
      </c>
      <c r="AD55" s="65">
        <f>VLOOKUP(Z55,SABANA!$B$1:$AY$479,41,0)</f>
        <v>2</v>
      </c>
      <c r="AE55" s="65">
        <v>6</v>
      </c>
      <c r="AF55" s="65">
        <v>43385</v>
      </c>
      <c r="AG55" s="65">
        <v>1446.166667</v>
      </c>
      <c r="AH55" s="65">
        <v>148655463</v>
      </c>
      <c r="AI55" s="65">
        <v>3585940</v>
      </c>
      <c r="AJ55" s="65">
        <v>119531.3333</v>
      </c>
      <c r="AK55" s="71">
        <v>2.4E-2</v>
      </c>
      <c r="AL55" s="71"/>
    </row>
    <row r="56" spans="1:38" x14ac:dyDescent="0.2">
      <c r="A56" s="137">
        <v>1806</v>
      </c>
      <c r="B56" s="137" t="s">
        <v>285</v>
      </c>
      <c r="C56" s="142">
        <v>5025020</v>
      </c>
      <c r="D56" s="143">
        <v>1999009.77</v>
      </c>
      <c r="E56" s="125">
        <f t="shared" si="0"/>
        <v>0.39781130622365685</v>
      </c>
      <c r="H56" s="65">
        <v>1807</v>
      </c>
      <c r="I56" s="65" t="s">
        <v>273</v>
      </c>
      <c r="J56" s="124">
        <v>8034850</v>
      </c>
      <c r="K56" s="65">
        <v>3032430.8600000003</v>
      </c>
      <c r="O56" s="78" t="s">
        <v>450</v>
      </c>
      <c r="P56" s="79" t="s">
        <v>451</v>
      </c>
      <c r="Q56" s="80">
        <f t="shared" si="1"/>
        <v>5</v>
      </c>
      <c r="R56" s="80" t="str">
        <f t="shared" si="2"/>
        <v>SI</v>
      </c>
      <c r="S56" s="97">
        <f t="shared" si="3"/>
        <v>3</v>
      </c>
      <c r="T56" s="80">
        <f t="shared" si="4"/>
        <v>348904</v>
      </c>
      <c r="U56" s="98">
        <f t="shared" si="5"/>
        <v>9.1999999999999998E-2</v>
      </c>
      <c r="V56" s="88" t="s">
        <v>210</v>
      </c>
      <c r="Y56" s="65" t="s">
        <v>1313</v>
      </c>
      <c r="Z56" s="65" t="s">
        <v>923</v>
      </c>
      <c r="AA56" s="65" t="s">
        <v>924</v>
      </c>
      <c r="AB56" s="65">
        <f>VLOOKUP(Z56,SABANA!$B$1:$AY$479,27,0)</f>
        <v>3</v>
      </c>
      <c r="AC56" s="65" t="str">
        <f>VLOOKUP(Z56,SABANA!$B$1:$AY$479,48,0)</f>
        <v>NO</v>
      </c>
      <c r="AD56" s="65">
        <f>VLOOKUP(Z56,SABANA!$B$1:$AY$479,41,0)</f>
        <v>2</v>
      </c>
      <c r="AE56" s="65">
        <v>6</v>
      </c>
      <c r="AF56" s="65">
        <v>33582</v>
      </c>
      <c r="AG56" s="65">
        <v>1119.4000000000001</v>
      </c>
      <c r="AH56" s="65">
        <v>111689977</v>
      </c>
      <c r="AI56" s="65">
        <v>3180760</v>
      </c>
      <c r="AJ56" s="65">
        <v>106025.3333</v>
      </c>
      <c r="AK56" s="71">
        <v>2.8000000000000001E-2</v>
      </c>
      <c r="AL56" s="71"/>
    </row>
    <row r="57" spans="1:38" x14ac:dyDescent="0.2">
      <c r="A57" s="137">
        <v>1807</v>
      </c>
      <c r="B57" s="137" t="s">
        <v>273</v>
      </c>
      <c r="C57" s="142">
        <v>8034850</v>
      </c>
      <c r="D57" s="143">
        <v>3032430.8600000003</v>
      </c>
      <c r="E57" s="125">
        <f t="shared" si="0"/>
        <v>0.37740976620596528</v>
      </c>
      <c r="H57" s="65">
        <v>1812</v>
      </c>
      <c r="I57" s="65" t="s">
        <v>304</v>
      </c>
      <c r="J57" s="124">
        <v>6080080</v>
      </c>
      <c r="K57" s="65">
        <v>1806185.56</v>
      </c>
      <c r="O57" s="78" t="s">
        <v>18</v>
      </c>
      <c r="P57" s="79" t="s">
        <v>115</v>
      </c>
      <c r="Q57" s="80">
        <f t="shared" si="1"/>
        <v>2</v>
      </c>
      <c r="R57" s="80" t="str">
        <f t="shared" si="2"/>
        <v>NO</v>
      </c>
      <c r="S57" s="97">
        <f t="shared" si="3"/>
        <v>3</v>
      </c>
      <c r="T57" s="80">
        <f t="shared" si="4"/>
        <v>132434.3333</v>
      </c>
      <c r="U57" s="98">
        <f t="shared" si="5"/>
        <v>0.03</v>
      </c>
      <c r="V57" s="87" t="s">
        <v>209</v>
      </c>
      <c r="Y57" s="65" t="s">
        <v>1313</v>
      </c>
      <c r="Z57" s="65" t="s">
        <v>489</v>
      </c>
      <c r="AA57" s="65" t="s">
        <v>490</v>
      </c>
      <c r="AB57" s="65">
        <f>VLOOKUP(Z57,SABANA!$B$1:$AY$479,27,0)</f>
        <v>3</v>
      </c>
      <c r="AC57" s="65" t="str">
        <f>VLOOKUP(Z57,SABANA!$B$1:$AY$479,48,0)</f>
        <v>SI</v>
      </c>
      <c r="AD57" s="65">
        <f>VLOOKUP(Z57,SABANA!$B$1:$AY$479,41,0)</f>
        <v>4</v>
      </c>
      <c r="AE57" s="65">
        <v>6</v>
      </c>
      <c r="AF57" s="65">
        <v>83763</v>
      </c>
      <c r="AG57" s="65">
        <v>2792.1</v>
      </c>
      <c r="AH57" s="65">
        <v>308802930</v>
      </c>
      <c r="AI57" s="65">
        <v>19336170</v>
      </c>
      <c r="AJ57" s="65">
        <v>644539</v>
      </c>
      <c r="AK57" s="71">
        <v>6.3E-2</v>
      </c>
      <c r="AL57" s="71"/>
    </row>
    <row r="58" spans="1:38" x14ac:dyDescent="0.2">
      <c r="A58" s="137">
        <v>1812</v>
      </c>
      <c r="B58" s="137" t="s">
        <v>304</v>
      </c>
      <c r="C58" s="142">
        <v>6080080</v>
      </c>
      <c r="D58" s="143">
        <v>1806185.56</v>
      </c>
      <c r="E58" s="125">
        <f t="shared" si="0"/>
        <v>0.29706608465678086</v>
      </c>
      <c r="H58" s="65">
        <v>1813</v>
      </c>
      <c r="I58" s="65" t="s">
        <v>1267</v>
      </c>
      <c r="J58" s="124">
        <v>2673740</v>
      </c>
      <c r="K58" s="65">
        <v>244954.04</v>
      </c>
      <c r="O58" s="78" t="s">
        <v>55</v>
      </c>
      <c r="P58" s="79" t="s">
        <v>152</v>
      </c>
      <c r="Q58" s="80">
        <f t="shared" si="1"/>
        <v>3</v>
      </c>
      <c r="R58" s="80" t="str">
        <f t="shared" si="2"/>
        <v>NO</v>
      </c>
      <c r="S58" s="97">
        <f t="shared" si="3"/>
        <v>3</v>
      </c>
      <c r="T58" s="80">
        <f t="shared" si="4"/>
        <v>210092.6667</v>
      </c>
      <c r="U58" s="98">
        <f t="shared" si="5"/>
        <v>3.7999999999999999E-2</v>
      </c>
      <c r="V58" s="87" t="s">
        <v>209</v>
      </c>
      <c r="Y58" s="65" t="s">
        <v>1313</v>
      </c>
      <c r="Z58" s="65" t="s">
        <v>929</v>
      </c>
      <c r="AA58" s="65" t="s">
        <v>930</v>
      </c>
      <c r="AB58" s="65">
        <f>VLOOKUP(Z58,SABANA!$B$1:$AY$479,27,0)</f>
        <v>3</v>
      </c>
      <c r="AC58" s="65" t="str">
        <f>VLOOKUP(Z58,SABANA!$B$1:$AY$479,48,0)</f>
        <v>NO</v>
      </c>
      <c r="AD58" s="65">
        <f>VLOOKUP(Z58,SABANA!$B$1:$AY$479,41,0)</f>
        <v>4</v>
      </c>
      <c r="AE58" s="65">
        <v>6</v>
      </c>
      <c r="AF58" s="65">
        <v>29637</v>
      </c>
      <c r="AG58" s="65">
        <v>987.9</v>
      </c>
      <c r="AH58" s="65">
        <v>110156027</v>
      </c>
      <c r="AI58" s="65">
        <v>6509570</v>
      </c>
      <c r="AJ58" s="65">
        <v>216985.6667</v>
      </c>
      <c r="AK58" s="71">
        <v>5.8999999999999997E-2</v>
      </c>
      <c r="AL58" s="71"/>
    </row>
    <row r="59" spans="1:38" x14ac:dyDescent="0.2">
      <c r="A59" s="137">
        <v>1813</v>
      </c>
      <c r="B59" s="137" t="s">
        <v>1267</v>
      </c>
      <c r="C59" s="142">
        <v>2673740</v>
      </c>
      <c r="D59" s="143">
        <v>244954.04</v>
      </c>
      <c r="E59" s="125">
        <f t="shared" si="0"/>
        <v>9.1614756857435656E-2</v>
      </c>
      <c r="H59" s="65">
        <v>1816</v>
      </c>
      <c r="I59" s="65" t="s">
        <v>283</v>
      </c>
      <c r="J59" s="124">
        <v>788870</v>
      </c>
      <c r="K59" s="65">
        <v>732790.54</v>
      </c>
      <c r="O59" s="78" t="s">
        <v>19</v>
      </c>
      <c r="P59" s="79" t="s">
        <v>116</v>
      </c>
      <c r="Q59" s="80">
        <f t="shared" si="1"/>
        <v>3</v>
      </c>
      <c r="R59" s="80" t="str">
        <f t="shared" si="2"/>
        <v>NO</v>
      </c>
      <c r="S59" s="97">
        <f t="shared" si="3"/>
        <v>3</v>
      </c>
      <c r="T59" s="80">
        <f t="shared" si="4"/>
        <v>173710.6667</v>
      </c>
      <c r="U59" s="98">
        <f t="shared" si="5"/>
        <v>0.04</v>
      </c>
      <c r="V59" s="87" t="s">
        <v>209</v>
      </c>
      <c r="Y59" s="65" t="s">
        <v>1313</v>
      </c>
      <c r="Z59" s="65" t="s">
        <v>491</v>
      </c>
      <c r="AA59" s="65" t="s">
        <v>492</v>
      </c>
      <c r="AB59" s="65">
        <f>VLOOKUP(Z59,SABANA!$B$1:$AY$479,27,0)</f>
        <v>3</v>
      </c>
      <c r="AC59" s="65" t="str">
        <f>VLOOKUP(Z59,SABANA!$B$1:$AY$479,48,0)</f>
        <v>NO</v>
      </c>
      <c r="AD59" s="65">
        <f>VLOOKUP(Z59,SABANA!$B$1:$AY$479,41,0)</f>
        <v>4</v>
      </c>
      <c r="AE59" s="65">
        <v>6</v>
      </c>
      <c r="AF59" s="65">
        <v>69708</v>
      </c>
      <c r="AG59" s="65">
        <v>2323.6</v>
      </c>
      <c r="AH59" s="65">
        <v>231028475</v>
      </c>
      <c r="AI59" s="65">
        <v>10077870</v>
      </c>
      <c r="AJ59" s="65">
        <v>335929</v>
      </c>
      <c r="AK59" s="71">
        <v>4.3999999999999997E-2</v>
      </c>
      <c r="AL59" s="71"/>
    </row>
    <row r="60" spans="1:38" x14ac:dyDescent="0.2">
      <c r="A60" s="137">
        <v>1816</v>
      </c>
      <c r="B60" s="137" t="s">
        <v>283</v>
      </c>
      <c r="C60" s="142">
        <v>788870</v>
      </c>
      <c r="D60" s="143">
        <v>732790.54</v>
      </c>
      <c r="E60" s="125">
        <f t="shared" si="0"/>
        <v>0.92891165844816004</v>
      </c>
      <c r="H60" s="65">
        <v>1817</v>
      </c>
      <c r="I60" s="65" t="s">
        <v>1285</v>
      </c>
      <c r="J60" s="124">
        <v>0</v>
      </c>
      <c r="K60" s="65">
        <v>26365.38</v>
      </c>
      <c r="O60" s="78" t="s">
        <v>20</v>
      </c>
      <c r="P60" s="79" t="s">
        <v>117</v>
      </c>
      <c r="Q60" s="80">
        <f t="shared" si="1"/>
        <v>3</v>
      </c>
      <c r="R60" s="80" t="str">
        <f t="shared" si="2"/>
        <v>NO</v>
      </c>
      <c r="S60" s="97">
        <f t="shared" si="3"/>
        <v>3</v>
      </c>
      <c r="T60" s="80">
        <f t="shared" si="4"/>
        <v>153342.6667</v>
      </c>
      <c r="U60" s="98">
        <f t="shared" si="5"/>
        <v>3.3000000000000002E-2</v>
      </c>
      <c r="V60" s="87" t="s">
        <v>209</v>
      </c>
      <c r="Y60" s="65" t="s">
        <v>1313</v>
      </c>
      <c r="Z60" s="65" t="s">
        <v>780</v>
      </c>
      <c r="AA60" s="65" t="s">
        <v>1324</v>
      </c>
      <c r="AB60" s="65">
        <f>VLOOKUP(Z60,SABANA!$B$1:$AY$479,27,0)</f>
        <v>4</v>
      </c>
      <c r="AC60" s="65" t="str">
        <f>VLOOKUP(Z60,SABANA!$B$1:$AY$479,48,0)</f>
        <v>SI</v>
      </c>
      <c r="AD60" s="65">
        <f>VLOOKUP(Z60,SABANA!$B$1:$AY$479,41,0)</f>
        <v>4</v>
      </c>
      <c r="AE60" s="65">
        <v>6</v>
      </c>
      <c r="AF60" s="65">
        <v>64224</v>
      </c>
      <c r="AG60" s="65">
        <v>2140.8000000000002</v>
      </c>
      <c r="AH60" s="65">
        <v>222187965</v>
      </c>
      <c r="AI60" s="65">
        <v>14671930</v>
      </c>
      <c r="AJ60" s="65">
        <v>489064.3333</v>
      </c>
      <c r="AK60" s="71">
        <v>6.6000000000000003E-2</v>
      </c>
      <c r="AL60" s="71"/>
    </row>
    <row r="61" spans="1:38" x14ac:dyDescent="0.2">
      <c r="A61" s="137">
        <v>1817</v>
      </c>
      <c r="B61" s="137" t="s">
        <v>1285</v>
      </c>
      <c r="C61" s="142">
        <v>0</v>
      </c>
      <c r="D61" s="143">
        <v>26365.38</v>
      </c>
      <c r="E61" s="125" t="e">
        <f t="shared" si="0"/>
        <v>#DIV/0!</v>
      </c>
      <c r="H61" s="65">
        <v>1819</v>
      </c>
      <c r="I61" s="65" t="s">
        <v>233</v>
      </c>
      <c r="J61" s="124">
        <v>2263540</v>
      </c>
      <c r="K61" s="65">
        <v>408445.64</v>
      </c>
      <c r="O61" s="78" t="s">
        <v>83</v>
      </c>
      <c r="P61" s="79" t="s">
        <v>180</v>
      </c>
      <c r="Q61" s="80">
        <f t="shared" si="1"/>
        <v>4</v>
      </c>
      <c r="R61" s="80" t="str">
        <f t="shared" si="2"/>
        <v>SI</v>
      </c>
      <c r="S61" s="97">
        <f t="shared" si="3"/>
        <v>3</v>
      </c>
      <c r="T61" s="80">
        <f t="shared" si="4"/>
        <v>310686.6667</v>
      </c>
      <c r="U61" s="98">
        <f t="shared" si="5"/>
        <v>6.4000000000000001E-2</v>
      </c>
      <c r="V61" s="88" t="s">
        <v>210</v>
      </c>
      <c r="Y61" s="65" t="s">
        <v>1313</v>
      </c>
      <c r="Z61" s="65" t="s">
        <v>675</v>
      </c>
      <c r="AA61" s="65" t="s">
        <v>1325</v>
      </c>
      <c r="AB61" s="65">
        <f>VLOOKUP(Z61,SABANA!$B$1:$AY$479,27,0)</f>
        <v>2</v>
      </c>
      <c r="AC61" s="65" t="str">
        <f>VLOOKUP(Z61,SABANA!$B$1:$AY$479,48,0)</f>
        <v>NO</v>
      </c>
      <c r="AD61" s="65">
        <f>VLOOKUP(Z61,SABANA!$B$1:$AY$479,41,0)</f>
        <v>1</v>
      </c>
      <c r="AE61" s="65">
        <v>6</v>
      </c>
      <c r="AF61" s="65">
        <v>39051</v>
      </c>
      <c r="AG61" s="65">
        <v>1301.7</v>
      </c>
      <c r="AH61" s="65">
        <v>130475644</v>
      </c>
      <c r="AI61" s="65">
        <v>3498120</v>
      </c>
      <c r="AJ61" s="65">
        <v>116604</v>
      </c>
      <c r="AK61" s="71">
        <v>2.7E-2</v>
      </c>
      <c r="AL61" s="71"/>
    </row>
    <row r="62" spans="1:38" x14ac:dyDescent="0.2">
      <c r="A62" s="137">
        <v>1819</v>
      </c>
      <c r="B62" s="137" t="s">
        <v>233</v>
      </c>
      <c r="C62" s="142">
        <v>2263540</v>
      </c>
      <c r="D62" s="143">
        <v>408445.64</v>
      </c>
      <c r="E62" s="125">
        <f t="shared" si="0"/>
        <v>0.18044551454800889</v>
      </c>
      <c r="H62" s="65">
        <v>1867</v>
      </c>
      <c r="I62" s="65" t="s">
        <v>294</v>
      </c>
      <c r="J62" s="124">
        <v>5587750</v>
      </c>
      <c r="K62" s="65">
        <v>1029381.96</v>
      </c>
      <c r="O62" s="78" t="s">
        <v>21</v>
      </c>
      <c r="P62" s="79" t="s">
        <v>118</v>
      </c>
      <c r="Q62" s="80">
        <f t="shared" si="1"/>
        <v>2</v>
      </c>
      <c r="R62" s="80" t="str">
        <f t="shared" si="2"/>
        <v>NO</v>
      </c>
      <c r="S62" s="97">
        <f t="shared" si="3"/>
        <v>3</v>
      </c>
      <c r="T62" s="80">
        <f t="shared" si="4"/>
        <v>59764.333330000001</v>
      </c>
      <c r="U62" s="98">
        <f t="shared" si="5"/>
        <v>1.2999999999999999E-2</v>
      </c>
      <c r="V62" s="126" t="s">
        <v>208</v>
      </c>
      <c r="Y62" s="65" t="s">
        <v>1313</v>
      </c>
      <c r="Z62" s="65" t="s">
        <v>677</v>
      </c>
      <c r="AA62" s="65" t="s">
        <v>678</v>
      </c>
      <c r="AB62" s="65">
        <f>VLOOKUP(Z62,SABANA!$B$1:$AY$479,27,0)</f>
        <v>4</v>
      </c>
      <c r="AC62" s="65" t="str">
        <f>VLOOKUP(Z62,SABANA!$B$1:$AY$479,48,0)</f>
        <v>NO</v>
      </c>
      <c r="AD62" s="65">
        <f>VLOOKUP(Z62,SABANA!$B$1:$AY$479,41,0)</f>
        <v>4</v>
      </c>
      <c r="AE62" s="65">
        <v>6</v>
      </c>
      <c r="AF62" s="65">
        <v>56750</v>
      </c>
      <c r="AG62" s="65">
        <v>1891.666667</v>
      </c>
      <c r="AH62" s="65">
        <v>205182725</v>
      </c>
      <c r="AI62" s="65">
        <v>12508960</v>
      </c>
      <c r="AJ62" s="65">
        <v>416965.3333</v>
      </c>
      <c r="AK62" s="71">
        <v>6.0999999999999999E-2</v>
      </c>
      <c r="AL62" s="71"/>
    </row>
    <row r="63" spans="1:38" x14ac:dyDescent="0.2">
      <c r="A63" s="137">
        <v>1867</v>
      </c>
      <c r="B63" s="137" t="s">
        <v>294</v>
      </c>
      <c r="C63" s="142">
        <v>5587750</v>
      </c>
      <c r="D63" s="143">
        <v>1029381.96</v>
      </c>
      <c r="E63" s="125">
        <f t="shared" si="0"/>
        <v>0.18422119099816561</v>
      </c>
      <c r="H63" s="65">
        <v>1868</v>
      </c>
      <c r="I63" s="65" t="s">
        <v>1265</v>
      </c>
      <c r="J63" s="124">
        <v>5823920</v>
      </c>
      <c r="K63" s="65">
        <v>1239738.7899999998</v>
      </c>
      <c r="O63" s="78" t="s">
        <v>84</v>
      </c>
      <c r="P63" s="79" t="s">
        <v>181</v>
      </c>
      <c r="Q63" s="80">
        <f t="shared" si="1"/>
        <v>4</v>
      </c>
      <c r="R63" s="80" t="str">
        <f t="shared" si="2"/>
        <v>NO</v>
      </c>
      <c r="S63" s="97">
        <f t="shared" si="3"/>
        <v>3</v>
      </c>
      <c r="T63" s="80">
        <f t="shared" si="4"/>
        <v>227863</v>
      </c>
      <c r="U63" s="98">
        <f t="shared" si="5"/>
        <v>4.3999999999999997E-2</v>
      </c>
      <c r="V63" s="126" t="s">
        <v>1326</v>
      </c>
      <c r="Y63" s="65" t="s">
        <v>1313</v>
      </c>
      <c r="Z63" s="65" t="s">
        <v>782</v>
      </c>
      <c r="AA63" s="65" t="s">
        <v>783</v>
      </c>
      <c r="AB63" s="65">
        <f>VLOOKUP(Z63,SABANA!$B$1:$AY$479,27,0)</f>
        <v>4</v>
      </c>
      <c r="AC63" s="65" t="str">
        <f>VLOOKUP(Z63,SABANA!$B$1:$AY$479,48,0)</f>
        <v>SI</v>
      </c>
      <c r="AD63" s="65">
        <f>VLOOKUP(Z63,SABANA!$B$1:$AY$479,41,0)</f>
        <v>1</v>
      </c>
      <c r="AE63" s="65">
        <v>6</v>
      </c>
      <c r="AF63" s="65">
        <v>37166</v>
      </c>
      <c r="AG63" s="65">
        <v>1238.866667</v>
      </c>
      <c r="AH63" s="65">
        <v>132956740</v>
      </c>
      <c r="AI63" s="65">
        <v>6603040</v>
      </c>
      <c r="AJ63" s="65">
        <v>220101.3333</v>
      </c>
      <c r="AK63" s="71">
        <v>0.05</v>
      </c>
      <c r="AL63" s="71"/>
    </row>
    <row r="64" spans="1:38" x14ac:dyDescent="0.2">
      <c r="A64" s="137">
        <v>1868</v>
      </c>
      <c r="B64" s="137" t="s">
        <v>1265</v>
      </c>
      <c r="C64" s="142">
        <v>5823920</v>
      </c>
      <c r="D64" s="143">
        <v>1239738.7899999998</v>
      </c>
      <c r="E64" s="125">
        <f t="shared" si="0"/>
        <v>0.21287016133463368</v>
      </c>
      <c r="H64" s="65">
        <v>2001</v>
      </c>
      <c r="I64" s="65" t="s">
        <v>296</v>
      </c>
      <c r="J64" s="124">
        <v>3417110</v>
      </c>
      <c r="K64" s="65">
        <v>601167.18999999994</v>
      </c>
      <c r="O64" s="78" t="s">
        <v>85</v>
      </c>
      <c r="P64" s="79" t="s">
        <v>182</v>
      </c>
      <c r="Q64" s="80">
        <f t="shared" si="1"/>
        <v>4</v>
      </c>
      <c r="R64" s="80" t="str">
        <f t="shared" si="2"/>
        <v>SI</v>
      </c>
      <c r="S64" s="97">
        <f t="shared" si="3"/>
        <v>3</v>
      </c>
      <c r="T64" s="80">
        <f t="shared" si="4"/>
        <v>363200.3333</v>
      </c>
      <c r="U64" s="98">
        <f t="shared" si="5"/>
        <v>4.3999999999999997E-2</v>
      </c>
      <c r="V64" s="88" t="s">
        <v>210</v>
      </c>
      <c r="Y64" s="65" t="s">
        <v>1313</v>
      </c>
      <c r="Z64" s="65" t="s">
        <v>679</v>
      </c>
      <c r="AA64" s="65" t="s">
        <v>680</v>
      </c>
      <c r="AB64" s="65">
        <f>VLOOKUP(Z64,SABANA!$B$1:$AY$479,27,0)</f>
        <v>2</v>
      </c>
      <c r="AC64" s="65" t="str">
        <f>VLOOKUP(Z64,SABANA!$B$1:$AY$479,48,0)</f>
        <v>NO</v>
      </c>
      <c r="AD64" s="65">
        <f>VLOOKUP(Z64,SABANA!$B$1:$AY$479,41,0)</f>
        <v>1</v>
      </c>
      <c r="AE64" s="65">
        <v>6</v>
      </c>
      <c r="AF64" s="65">
        <v>43473</v>
      </c>
      <c r="AG64" s="65">
        <v>1449.1</v>
      </c>
      <c r="AH64" s="65">
        <v>156623698</v>
      </c>
      <c r="AI64" s="65">
        <v>3094410</v>
      </c>
      <c r="AJ64" s="65">
        <v>103147</v>
      </c>
      <c r="AK64" s="71">
        <v>0.02</v>
      </c>
      <c r="AL64" s="71"/>
    </row>
    <row r="65" spans="1:38" x14ac:dyDescent="0.2">
      <c r="A65" s="137">
        <v>2001</v>
      </c>
      <c r="B65" s="137" t="s">
        <v>296</v>
      </c>
      <c r="C65" s="142">
        <v>3417110</v>
      </c>
      <c r="D65" s="143">
        <v>601167.18999999994</v>
      </c>
      <c r="E65" s="125">
        <f t="shared" si="0"/>
        <v>0.1759285448814934</v>
      </c>
      <c r="H65" s="65">
        <v>2050</v>
      </c>
      <c r="I65" s="65" t="s">
        <v>284</v>
      </c>
      <c r="J65" s="124">
        <v>10203650</v>
      </c>
      <c r="K65" s="65">
        <v>2656588.2200000002</v>
      </c>
      <c r="O65" s="78" t="s">
        <v>22</v>
      </c>
      <c r="P65" s="79" t="s">
        <v>119</v>
      </c>
      <c r="Q65" s="80">
        <f t="shared" si="1"/>
        <v>4</v>
      </c>
      <c r="R65" s="80" t="str">
        <f t="shared" si="2"/>
        <v>NO</v>
      </c>
      <c r="S65" s="97">
        <f t="shared" si="3"/>
        <v>3</v>
      </c>
      <c r="T65" s="80">
        <f t="shared" si="4"/>
        <v>126912.3333</v>
      </c>
      <c r="U65" s="98">
        <f t="shared" si="5"/>
        <v>2.7E-2</v>
      </c>
      <c r="V65" s="126" t="s">
        <v>208</v>
      </c>
      <c r="Y65" s="65" t="s">
        <v>1313</v>
      </c>
      <c r="Z65" s="65" t="s">
        <v>681</v>
      </c>
      <c r="AA65" s="65" t="s">
        <v>682</v>
      </c>
      <c r="AB65" s="65">
        <f>VLOOKUP(Z65,SABANA!$B$1:$AY$479,27,0)</f>
        <v>2</v>
      </c>
      <c r="AC65" s="65" t="str">
        <f>VLOOKUP(Z65,SABANA!$B$1:$AY$479,48,0)</f>
        <v>NO</v>
      </c>
      <c r="AD65" s="65">
        <f>VLOOKUP(Z65,SABANA!$B$1:$AY$479,41,0)</f>
        <v>2</v>
      </c>
      <c r="AE65" s="65">
        <v>6</v>
      </c>
      <c r="AF65" s="65">
        <v>58403</v>
      </c>
      <c r="AG65" s="65">
        <v>1946.7666670000001</v>
      </c>
      <c r="AH65" s="65">
        <v>188096448</v>
      </c>
      <c r="AI65" s="65">
        <v>6512430</v>
      </c>
      <c r="AJ65" s="65">
        <v>217081</v>
      </c>
      <c r="AK65" s="71">
        <v>3.5000000000000003E-2</v>
      </c>
      <c r="AL65" s="71"/>
    </row>
    <row r="66" spans="1:38" x14ac:dyDescent="0.2">
      <c r="A66" s="137">
        <v>2050</v>
      </c>
      <c r="B66" s="137" t="s">
        <v>284</v>
      </c>
      <c r="C66" s="142">
        <v>10203650</v>
      </c>
      <c r="D66" s="143">
        <v>2656588.2200000002</v>
      </c>
      <c r="E66" s="125">
        <f t="shared" si="0"/>
        <v>0.2603566586466608</v>
      </c>
      <c r="H66" s="65">
        <v>2052</v>
      </c>
      <c r="I66" s="65" t="s">
        <v>251</v>
      </c>
      <c r="J66" s="124">
        <v>5761210</v>
      </c>
      <c r="K66" s="65">
        <v>1901348.9200000002</v>
      </c>
      <c r="O66" s="78" t="s">
        <v>23</v>
      </c>
      <c r="P66" s="79" t="s">
        <v>120</v>
      </c>
      <c r="Q66" s="80">
        <f t="shared" si="1"/>
        <v>3</v>
      </c>
      <c r="R66" s="80" t="str">
        <f t="shared" si="2"/>
        <v>NO</v>
      </c>
      <c r="S66" s="97">
        <f t="shared" si="3"/>
        <v>3</v>
      </c>
      <c r="T66" s="80">
        <f t="shared" si="4"/>
        <v>109463</v>
      </c>
      <c r="U66" s="98">
        <f t="shared" si="5"/>
        <v>0.02</v>
      </c>
      <c r="V66" s="126" t="s">
        <v>208</v>
      </c>
      <c r="Y66" s="65" t="s">
        <v>1313</v>
      </c>
      <c r="Z66" s="65" t="s">
        <v>683</v>
      </c>
      <c r="AA66" s="65" t="s">
        <v>684</v>
      </c>
      <c r="AB66" s="65">
        <f>VLOOKUP(Z66,SABANA!$B$1:$AY$479,27,0)</f>
        <v>4</v>
      </c>
      <c r="AC66" s="65" t="str">
        <f>VLOOKUP(Z66,SABANA!$B$1:$AY$479,48,0)</f>
        <v>SI</v>
      </c>
      <c r="AD66" s="65">
        <f>VLOOKUP(Z66,SABANA!$B$1:$AY$479,41,0)</f>
        <v>2</v>
      </c>
      <c r="AE66" s="65">
        <v>6</v>
      </c>
      <c r="AF66" s="65">
        <v>50373</v>
      </c>
      <c r="AG66" s="65">
        <v>1679.1</v>
      </c>
      <c r="AH66" s="65">
        <v>182419335</v>
      </c>
      <c r="AI66" s="65">
        <v>9167550</v>
      </c>
      <c r="AJ66" s="65">
        <v>305585</v>
      </c>
      <c r="AK66" s="71">
        <v>0.05</v>
      </c>
      <c r="AL66" s="71"/>
    </row>
    <row r="67" spans="1:38" x14ac:dyDescent="0.2">
      <c r="A67" s="137">
        <v>2052</v>
      </c>
      <c r="B67" s="137" t="s">
        <v>251</v>
      </c>
      <c r="C67" s="142">
        <v>5761210</v>
      </c>
      <c r="D67" s="143">
        <v>1901348.9200000002</v>
      </c>
      <c r="E67" s="125">
        <f t="shared" si="0"/>
        <v>0.3300259702388908</v>
      </c>
      <c r="H67" s="65">
        <v>2242</v>
      </c>
      <c r="I67" s="65" t="s">
        <v>308</v>
      </c>
      <c r="J67" s="124">
        <v>0</v>
      </c>
      <c r="K67" s="65">
        <v>97724.58</v>
      </c>
      <c r="O67" s="78" t="s">
        <v>56</v>
      </c>
      <c r="P67" s="79" t="s">
        <v>153</v>
      </c>
      <c r="Q67" s="80">
        <f t="shared" si="1"/>
        <v>2</v>
      </c>
      <c r="R67" s="80" t="str">
        <f t="shared" si="2"/>
        <v>SI</v>
      </c>
      <c r="S67" s="97">
        <f t="shared" si="3"/>
        <v>3</v>
      </c>
      <c r="T67" s="80">
        <f t="shared" si="4"/>
        <v>295304.6667</v>
      </c>
      <c r="U67" s="98">
        <f t="shared" si="5"/>
        <v>2.4E-2</v>
      </c>
      <c r="V67" s="88" t="s">
        <v>210</v>
      </c>
      <c r="Y67" s="65" t="s">
        <v>1313</v>
      </c>
      <c r="Z67" s="65" t="s">
        <v>685</v>
      </c>
      <c r="AA67" s="65" t="s">
        <v>1327</v>
      </c>
      <c r="AB67" s="65">
        <f>VLOOKUP(Z67,SABANA!$B$1:$AY$479,27,0)</f>
        <v>2</v>
      </c>
      <c r="AC67" s="65" t="str">
        <f>VLOOKUP(Z67,SABANA!$B$1:$AY$479,48,0)</f>
        <v>NO</v>
      </c>
      <c r="AD67" s="65">
        <f>VLOOKUP(Z67,SABANA!$B$1:$AY$479,41,0)</f>
        <v>2</v>
      </c>
      <c r="AE67" s="65">
        <v>6</v>
      </c>
      <c r="AF67" s="65">
        <v>92866</v>
      </c>
      <c r="AG67" s="65">
        <v>3095.5333329999999</v>
      </c>
      <c r="AH67" s="65">
        <v>303242986</v>
      </c>
      <c r="AI67" s="65">
        <v>12250040</v>
      </c>
      <c r="AJ67" s="65">
        <v>408334.6667</v>
      </c>
      <c r="AK67" s="71">
        <v>0.04</v>
      </c>
      <c r="AL67" s="71"/>
    </row>
    <row r="68" spans="1:38" x14ac:dyDescent="0.2">
      <c r="A68" s="137">
        <v>2242</v>
      </c>
      <c r="B68" s="137" t="s">
        <v>308</v>
      </c>
      <c r="C68" s="142">
        <v>0</v>
      </c>
      <c r="D68" s="143">
        <v>97724.58</v>
      </c>
      <c r="E68" s="125" t="e">
        <f t="shared" si="0"/>
        <v>#DIV/0!</v>
      </c>
      <c r="H68" s="65">
        <v>2243</v>
      </c>
      <c r="I68" s="65" t="s">
        <v>279</v>
      </c>
      <c r="J68" s="124">
        <v>37777470</v>
      </c>
      <c r="K68" s="65">
        <v>1057485.27</v>
      </c>
      <c r="O68" s="82" t="s">
        <v>24</v>
      </c>
      <c r="P68" s="83" t="s">
        <v>121</v>
      </c>
      <c r="Q68" s="80">
        <f t="shared" si="1"/>
        <v>2</v>
      </c>
      <c r="R68" s="80" t="str">
        <f t="shared" si="2"/>
        <v>NO</v>
      </c>
      <c r="S68" s="97">
        <f t="shared" si="3"/>
        <v>3</v>
      </c>
      <c r="T68" s="80">
        <f t="shared" si="4"/>
        <v>129701.6667</v>
      </c>
      <c r="U68" s="98">
        <f t="shared" si="5"/>
        <v>0.02</v>
      </c>
      <c r="V68" s="126" t="s">
        <v>208</v>
      </c>
      <c r="Y68" s="65" t="s">
        <v>1313</v>
      </c>
      <c r="Z68" s="65" t="s">
        <v>493</v>
      </c>
      <c r="AA68" s="65" t="s">
        <v>1328</v>
      </c>
      <c r="AB68" s="65">
        <f>VLOOKUP(Z68,SABANA!$B$1:$AY$479,27,0)</f>
        <v>2</v>
      </c>
      <c r="AC68" s="65" t="str">
        <f>VLOOKUP(Z68,SABANA!$B$1:$AY$479,48,0)</f>
        <v>NO</v>
      </c>
      <c r="AD68" s="65">
        <f>VLOOKUP(Z68,SABANA!$B$1:$AY$479,41,0)</f>
        <v>2</v>
      </c>
      <c r="AE68" s="65">
        <v>6</v>
      </c>
      <c r="AF68" s="65">
        <v>81321</v>
      </c>
      <c r="AG68" s="65">
        <v>2710.7</v>
      </c>
      <c r="AH68" s="65">
        <v>286319819</v>
      </c>
      <c r="AI68" s="65">
        <v>7195950</v>
      </c>
      <c r="AJ68" s="65">
        <v>239865</v>
      </c>
      <c r="AK68" s="71">
        <v>2.5000000000000001E-2</v>
      </c>
      <c r="AL68" s="71"/>
    </row>
    <row r="69" spans="1:38" x14ac:dyDescent="0.2">
      <c r="A69" s="137">
        <v>2243</v>
      </c>
      <c r="B69" s="137" t="s">
        <v>279</v>
      </c>
      <c r="C69" s="142">
        <v>37777470</v>
      </c>
      <c r="D69" s="143">
        <v>1057485.27</v>
      </c>
      <c r="E69" s="125">
        <f t="shared" si="0"/>
        <v>2.7992485203482395E-2</v>
      </c>
      <c r="H69" s="65">
        <v>2244</v>
      </c>
      <c r="I69" s="65" t="s">
        <v>280</v>
      </c>
      <c r="J69" s="124">
        <v>30393090</v>
      </c>
      <c r="K69" s="65">
        <v>2723980.86</v>
      </c>
      <c r="O69" s="78" t="s">
        <v>86</v>
      </c>
      <c r="P69" s="79" t="s">
        <v>183</v>
      </c>
      <c r="Q69" s="80">
        <f t="shared" si="1"/>
        <v>3</v>
      </c>
      <c r="R69" s="80" t="str">
        <f t="shared" si="2"/>
        <v>SI</v>
      </c>
      <c r="S69" s="97">
        <f t="shared" si="3"/>
        <v>3</v>
      </c>
      <c r="T69" s="80">
        <f t="shared" si="4"/>
        <v>315941.6667</v>
      </c>
      <c r="U69" s="98">
        <f t="shared" si="5"/>
        <v>4.1000000000000002E-2</v>
      </c>
      <c r="V69" s="88" t="s">
        <v>210</v>
      </c>
      <c r="Y69" s="65" t="s">
        <v>1313</v>
      </c>
      <c r="Z69" s="65" t="s">
        <v>887</v>
      </c>
      <c r="AA69" s="65" t="s">
        <v>888</v>
      </c>
      <c r="AB69" s="65">
        <f>VLOOKUP(Z69,SABANA!$B$1:$AY$479,27,0)</f>
        <v>4</v>
      </c>
      <c r="AC69" s="65" t="str">
        <f>VLOOKUP(Z69,SABANA!$B$1:$AY$479,48,0)</f>
        <v>SI</v>
      </c>
      <c r="AD69" s="65">
        <f>VLOOKUP(Z69,SABANA!$B$1:$AY$479,41,0)</f>
        <v>2</v>
      </c>
      <c r="AE69" s="65">
        <v>6</v>
      </c>
      <c r="AF69" s="65">
        <v>92168</v>
      </c>
      <c r="AG69" s="65">
        <v>3072.2666669999999</v>
      </c>
      <c r="AH69" s="65">
        <v>320499245</v>
      </c>
      <c r="AI69" s="65">
        <v>21329480</v>
      </c>
      <c r="AJ69" s="65">
        <v>710982.66669999994</v>
      </c>
      <c r="AK69" s="71">
        <v>6.7000000000000004E-2</v>
      </c>
      <c r="AL69" s="71"/>
    </row>
    <row r="70" spans="1:38" x14ac:dyDescent="0.2">
      <c r="A70" s="137">
        <v>2244</v>
      </c>
      <c r="B70" s="137" t="s">
        <v>280</v>
      </c>
      <c r="C70" s="142">
        <v>30393090</v>
      </c>
      <c r="D70" s="143">
        <v>2723980.86</v>
      </c>
      <c r="E70" s="125">
        <f t="shared" si="0"/>
        <v>8.9625005552248879E-2</v>
      </c>
      <c r="H70" s="65">
        <v>2247</v>
      </c>
      <c r="I70" s="65" t="s">
        <v>269</v>
      </c>
      <c r="J70" s="124">
        <v>14468040</v>
      </c>
      <c r="K70" s="65">
        <v>2260592.08</v>
      </c>
      <c r="O70" s="86" t="s">
        <v>57</v>
      </c>
      <c r="P70" s="83" t="s">
        <v>154</v>
      </c>
      <c r="Q70" s="80">
        <f t="shared" si="1"/>
        <v>3</v>
      </c>
      <c r="R70" s="80" t="str">
        <f t="shared" si="2"/>
        <v>SI</v>
      </c>
      <c r="S70" s="97">
        <f t="shared" si="3"/>
        <v>3</v>
      </c>
      <c r="T70" s="80">
        <f t="shared" si="4"/>
        <v>185956.3333</v>
      </c>
      <c r="U70" s="98">
        <f t="shared" si="5"/>
        <v>4.1000000000000002E-2</v>
      </c>
      <c r="V70" s="88" t="s">
        <v>210</v>
      </c>
      <c r="Y70" s="65" t="s">
        <v>1313</v>
      </c>
      <c r="Z70" s="65" t="s">
        <v>687</v>
      </c>
      <c r="AA70" s="65" t="s">
        <v>688</v>
      </c>
      <c r="AB70" s="65">
        <f>VLOOKUP(Z70,SABANA!$B$1:$AY$479,27,0)</f>
        <v>4</v>
      </c>
      <c r="AC70" s="65" t="str">
        <f>VLOOKUP(Z70,SABANA!$B$1:$AY$479,48,0)</f>
        <v>SI</v>
      </c>
      <c r="AD70" s="65">
        <f>VLOOKUP(Z70,SABANA!$B$1:$AY$479,41,0)</f>
        <v>3</v>
      </c>
      <c r="AE70" s="65">
        <v>6</v>
      </c>
      <c r="AF70" s="65">
        <v>34230</v>
      </c>
      <c r="AG70" s="65">
        <v>1141</v>
      </c>
      <c r="AH70" s="65">
        <v>120459410</v>
      </c>
      <c r="AI70" s="65">
        <v>8184070</v>
      </c>
      <c r="AJ70" s="65">
        <v>272802.3333</v>
      </c>
      <c r="AK70" s="71">
        <v>6.8000000000000005E-2</v>
      </c>
      <c r="AL70" s="71"/>
    </row>
    <row r="71" spans="1:38" x14ac:dyDescent="0.2">
      <c r="A71" s="137">
        <v>2247</v>
      </c>
      <c r="B71" s="137" t="s">
        <v>269</v>
      </c>
      <c r="C71" s="142">
        <v>14468040</v>
      </c>
      <c r="D71" s="143">
        <v>2260592.08</v>
      </c>
      <c r="E71" s="125">
        <f t="shared" si="0"/>
        <v>0.15624729265332415</v>
      </c>
      <c r="H71" s="65">
        <v>2248</v>
      </c>
      <c r="I71" s="65" t="s">
        <v>316</v>
      </c>
      <c r="J71" s="124">
        <v>10825290</v>
      </c>
      <c r="K71" s="65">
        <v>862072.49000000011</v>
      </c>
      <c r="O71" s="86" t="s">
        <v>58</v>
      </c>
      <c r="P71" s="83" t="s">
        <v>155</v>
      </c>
      <c r="Q71" s="80">
        <f t="shared" si="1"/>
        <v>3</v>
      </c>
      <c r="R71" s="80" t="str">
        <f t="shared" si="2"/>
        <v>NO</v>
      </c>
      <c r="S71" s="97">
        <f t="shared" si="3"/>
        <v>3</v>
      </c>
      <c r="T71" s="80">
        <f t="shared" si="4"/>
        <v>191912</v>
      </c>
      <c r="U71" s="98">
        <f t="shared" si="5"/>
        <v>2.5999999999999999E-2</v>
      </c>
      <c r="V71" s="87" t="s">
        <v>209</v>
      </c>
      <c r="Y71" s="65" t="s">
        <v>1313</v>
      </c>
      <c r="Z71" s="65" t="s">
        <v>784</v>
      </c>
      <c r="AA71" s="65" t="s">
        <v>1329</v>
      </c>
      <c r="AB71" s="65">
        <f>VLOOKUP(Z71,SABANA!$B$1:$AY$479,27,0)</f>
        <v>4</v>
      </c>
      <c r="AC71" s="65" t="str">
        <f>VLOOKUP(Z71,SABANA!$B$1:$AY$479,48,0)</f>
        <v>SI</v>
      </c>
      <c r="AD71" s="65">
        <f>VLOOKUP(Z71,SABANA!$B$1:$AY$479,41,0)</f>
        <v>3</v>
      </c>
      <c r="AE71" s="65">
        <v>6</v>
      </c>
      <c r="AF71" s="65">
        <v>68051</v>
      </c>
      <c r="AG71" s="65">
        <v>2268.3666669999998</v>
      </c>
      <c r="AH71" s="65">
        <v>242121226</v>
      </c>
      <c r="AI71" s="65">
        <v>14286920</v>
      </c>
      <c r="AJ71" s="65">
        <v>476230.6667</v>
      </c>
      <c r="AK71" s="71">
        <v>5.8999999999999997E-2</v>
      </c>
      <c r="AL71" s="71"/>
    </row>
    <row r="72" spans="1:38" x14ac:dyDescent="0.2">
      <c r="A72" s="137">
        <v>2248</v>
      </c>
      <c r="B72" s="137" t="s">
        <v>316</v>
      </c>
      <c r="C72" s="142">
        <v>10825290</v>
      </c>
      <c r="D72" s="143">
        <v>862072.49000000011</v>
      </c>
      <c r="E72" s="125">
        <f t="shared" si="0"/>
        <v>7.9635048114184481E-2</v>
      </c>
      <c r="H72" s="65">
        <v>2291</v>
      </c>
      <c r="I72" s="65" t="s">
        <v>1273</v>
      </c>
      <c r="J72" s="124">
        <v>37240</v>
      </c>
      <c r="K72" s="65">
        <v>-43454.63</v>
      </c>
      <c r="O72" s="86" t="s">
        <v>87</v>
      </c>
      <c r="P72" s="83" t="s">
        <v>184</v>
      </c>
      <c r="Q72" s="80">
        <f t="shared" si="1"/>
        <v>4</v>
      </c>
      <c r="R72" s="80" t="str">
        <f t="shared" si="2"/>
        <v>SI</v>
      </c>
      <c r="S72" s="97">
        <f t="shared" si="3"/>
        <v>3</v>
      </c>
      <c r="T72" s="80">
        <f t="shared" si="4"/>
        <v>848794</v>
      </c>
      <c r="U72" s="98">
        <f t="shared" si="5"/>
        <v>9.1999999999999998E-2</v>
      </c>
      <c r="V72" s="88" t="s">
        <v>210</v>
      </c>
      <c r="Y72" s="65" t="s">
        <v>1313</v>
      </c>
      <c r="Z72" s="65" t="s">
        <v>689</v>
      </c>
      <c r="AA72" s="65" t="s">
        <v>1330</v>
      </c>
      <c r="AB72" s="65">
        <f>VLOOKUP(Z72,SABANA!$B$1:$AY$479,27,0)</f>
        <v>3</v>
      </c>
      <c r="AC72" s="65" t="str">
        <f>VLOOKUP(Z72,SABANA!$B$1:$AY$479,48,0)</f>
        <v>SI</v>
      </c>
      <c r="AD72" s="65">
        <f>VLOOKUP(Z72,SABANA!$B$1:$AY$479,41,0)</f>
        <v>3</v>
      </c>
      <c r="AE72" s="65">
        <v>6</v>
      </c>
      <c r="AF72" s="65">
        <v>29436</v>
      </c>
      <c r="AG72" s="65">
        <v>981.2</v>
      </c>
      <c r="AH72" s="65">
        <v>121842603</v>
      </c>
      <c r="AI72" s="65">
        <v>6632540</v>
      </c>
      <c r="AJ72" s="65">
        <v>221084.6667</v>
      </c>
      <c r="AK72" s="71">
        <v>5.3999999999999999E-2</v>
      </c>
      <c r="AL72" s="71"/>
    </row>
    <row r="73" spans="1:38" x14ac:dyDescent="0.2">
      <c r="A73" s="137">
        <v>2291</v>
      </c>
      <c r="B73" s="137" t="s">
        <v>1273</v>
      </c>
      <c r="C73" s="142">
        <v>37240</v>
      </c>
      <c r="D73" s="143">
        <v>-43454.63</v>
      </c>
      <c r="E73" s="125">
        <f t="shared" si="0"/>
        <v>-1.1668805048335122</v>
      </c>
      <c r="H73" s="65">
        <v>2292</v>
      </c>
      <c r="I73" s="65" t="s">
        <v>1275</v>
      </c>
      <c r="J73" s="124">
        <v>23600</v>
      </c>
      <c r="K73" s="65">
        <v>-20824.599999999999</v>
      </c>
      <c r="O73" s="86" t="s">
        <v>25</v>
      </c>
      <c r="P73" s="83" t="s">
        <v>122</v>
      </c>
      <c r="Q73" s="80">
        <f t="shared" si="1"/>
        <v>3</v>
      </c>
      <c r="R73" s="80" t="str">
        <f t="shared" si="2"/>
        <v>NO</v>
      </c>
      <c r="S73" s="97">
        <f t="shared" si="3"/>
        <v>3</v>
      </c>
      <c r="T73" s="80">
        <f t="shared" si="4"/>
        <v>120956</v>
      </c>
      <c r="U73" s="98">
        <f t="shared" si="5"/>
        <v>2.5999999999999999E-2</v>
      </c>
      <c r="V73" s="87" t="s">
        <v>209</v>
      </c>
      <c r="Y73" s="65" t="s">
        <v>1313</v>
      </c>
      <c r="Z73" s="65" t="s">
        <v>786</v>
      </c>
      <c r="AA73" s="65" t="s">
        <v>1331</v>
      </c>
      <c r="AB73" s="65">
        <f>VLOOKUP(Z73,SABANA!$B$1:$AY$479,27,0)</f>
        <v>4</v>
      </c>
      <c r="AC73" s="65" t="str">
        <f>VLOOKUP(Z73,SABANA!$B$1:$AY$479,48,0)</f>
        <v>SI</v>
      </c>
      <c r="AD73" s="65">
        <f>VLOOKUP(Z73,SABANA!$B$1:$AY$479,41,0)</f>
        <v>3</v>
      </c>
      <c r="AE73" s="65">
        <v>6</v>
      </c>
      <c r="AF73" s="65">
        <v>59386</v>
      </c>
      <c r="AG73" s="65">
        <v>1979.5333330000001</v>
      </c>
      <c r="AH73" s="65">
        <v>215898442</v>
      </c>
      <c r="AI73" s="65">
        <v>16019560</v>
      </c>
      <c r="AJ73" s="65">
        <v>533985.33330000006</v>
      </c>
      <c r="AK73" s="71">
        <v>7.3999999999999996E-2</v>
      </c>
      <c r="AL73" s="71"/>
    </row>
    <row r="74" spans="1:38" x14ac:dyDescent="0.2">
      <c r="A74" s="137">
        <v>2292</v>
      </c>
      <c r="B74" s="137" t="s">
        <v>1275</v>
      </c>
      <c r="C74" s="142">
        <v>23600</v>
      </c>
      <c r="D74" s="143">
        <v>-20824.599999999999</v>
      </c>
      <c r="E74" s="125">
        <f t="shared" si="0"/>
        <v>-0.8823983050847457</v>
      </c>
      <c r="H74" s="65">
        <v>2293</v>
      </c>
      <c r="I74" s="65" t="s">
        <v>1274</v>
      </c>
      <c r="J74" s="124">
        <v>23840</v>
      </c>
      <c r="K74" s="65">
        <v>-27535.72</v>
      </c>
      <c r="O74" s="86" t="s">
        <v>26</v>
      </c>
      <c r="P74" s="83" t="s">
        <v>123</v>
      </c>
      <c r="Q74" s="80">
        <f t="shared" si="1"/>
        <v>2</v>
      </c>
      <c r="R74" s="80" t="str">
        <f t="shared" si="2"/>
        <v>NO</v>
      </c>
      <c r="S74" s="97">
        <f t="shared" si="3"/>
        <v>3</v>
      </c>
      <c r="T74" s="80">
        <f t="shared" si="4"/>
        <v>220811</v>
      </c>
      <c r="U74" s="98">
        <f t="shared" si="5"/>
        <v>2.1999999999999999E-2</v>
      </c>
      <c r="V74" s="87" t="s">
        <v>209</v>
      </c>
      <c r="Y74" s="65" t="s">
        <v>1313</v>
      </c>
      <c r="Z74" s="65" t="s">
        <v>691</v>
      </c>
      <c r="AA74" s="65" t="s">
        <v>692</v>
      </c>
      <c r="AB74" s="65">
        <f>VLOOKUP(Z74,SABANA!$B$1:$AY$479,27,0)</f>
        <v>3</v>
      </c>
      <c r="AC74" s="65" t="str">
        <f>VLOOKUP(Z74,SABANA!$B$1:$AY$479,48,0)</f>
        <v>SI</v>
      </c>
      <c r="AD74" s="65">
        <f>VLOOKUP(Z74,SABANA!$B$1:$AY$479,41,0)</f>
        <v>2</v>
      </c>
      <c r="AE74" s="65">
        <v>6</v>
      </c>
      <c r="AF74" s="65">
        <v>25108</v>
      </c>
      <c r="AG74" s="65">
        <v>836.93333329999996</v>
      </c>
      <c r="AH74" s="65">
        <v>87854596</v>
      </c>
      <c r="AI74" s="65">
        <v>4472500</v>
      </c>
      <c r="AJ74" s="65">
        <v>149083.3333</v>
      </c>
      <c r="AK74" s="71">
        <v>5.0999999999999997E-2</v>
      </c>
      <c r="AL74" s="71"/>
    </row>
    <row r="75" spans="1:38" x14ac:dyDescent="0.2">
      <c r="A75" s="137">
        <v>2293</v>
      </c>
      <c r="B75" s="137" t="s">
        <v>1274</v>
      </c>
      <c r="C75" s="142">
        <v>23840</v>
      </c>
      <c r="D75" s="143">
        <v>-27535.72</v>
      </c>
      <c r="E75" s="125">
        <f t="shared" si="0"/>
        <v>-1.1550218120805369</v>
      </c>
      <c r="H75" s="65">
        <v>2295</v>
      </c>
      <c r="I75" s="65" t="s">
        <v>1271</v>
      </c>
      <c r="J75" s="124">
        <v>97860</v>
      </c>
      <c r="K75" s="65">
        <v>-109901</v>
      </c>
      <c r="O75" s="86" t="s">
        <v>27</v>
      </c>
      <c r="P75" s="83" t="s">
        <v>124</v>
      </c>
      <c r="Q75" s="80">
        <f t="shared" si="1"/>
        <v>2</v>
      </c>
      <c r="R75" s="80" t="str">
        <f t="shared" si="2"/>
        <v>NO</v>
      </c>
      <c r="S75" s="97">
        <f t="shared" si="3"/>
        <v>3</v>
      </c>
      <c r="T75" s="80">
        <f t="shared" si="4"/>
        <v>150243</v>
      </c>
      <c r="U75" s="98">
        <f t="shared" si="5"/>
        <v>3.1E-2</v>
      </c>
      <c r="V75" s="87" t="s">
        <v>209</v>
      </c>
      <c r="Y75" s="65" t="s">
        <v>1313</v>
      </c>
      <c r="Z75" s="65" t="s">
        <v>788</v>
      </c>
      <c r="AA75" s="65" t="s">
        <v>1332</v>
      </c>
      <c r="AB75" s="65">
        <f>VLOOKUP(Z75,SABANA!$B$1:$AY$479,27,0)</f>
        <v>4</v>
      </c>
      <c r="AC75" s="65">
        <f>VLOOKUP(Z75,SABANA!$B$1:$AY$479,48,0)</f>
        <v>0</v>
      </c>
      <c r="AD75" s="65">
        <f>VLOOKUP(Z75,SABANA!$B$1:$AY$479,41,0)</f>
        <v>0</v>
      </c>
      <c r="AE75" s="65">
        <v>6</v>
      </c>
      <c r="AF75" s="65">
        <v>25758</v>
      </c>
      <c r="AG75" s="65">
        <v>858.6</v>
      </c>
      <c r="AH75" s="65">
        <v>79115994</v>
      </c>
      <c r="AI75" s="65">
        <v>5908510</v>
      </c>
      <c r="AJ75" s="65">
        <v>196950.3333</v>
      </c>
      <c r="AK75" s="71">
        <v>7.4999999999999997E-2</v>
      </c>
      <c r="AL75" s="71"/>
    </row>
    <row r="76" spans="1:38" x14ac:dyDescent="0.2">
      <c r="A76" s="137">
        <v>2295</v>
      </c>
      <c r="B76" s="137" t="s">
        <v>1271</v>
      </c>
      <c r="C76" s="142">
        <v>97860</v>
      </c>
      <c r="D76" s="143">
        <v>-109901</v>
      </c>
      <c r="E76" s="125">
        <f t="shared" si="0"/>
        <v>-1.1230431228285305</v>
      </c>
      <c r="H76" s="65">
        <v>2296</v>
      </c>
      <c r="I76" s="65" t="s">
        <v>1270</v>
      </c>
      <c r="J76" s="124">
        <v>124200</v>
      </c>
      <c r="K76" s="65">
        <v>-136292.69</v>
      </c>
      <c r="O76" s="86" t="s">
        <v>88</v>
      </c>
      <c r="P76" s="83" t="s">
        <v>185</v>
      </c>
      <c r="Q76" s="80">
        <f t="shared" si="1"/>
        <v>4</v>
      </c>
      <c r="R76" s="80" t="str">
        <f t="shared" si="2"/>
        <v>SI</v>
      </c>
      <c r="S76" s="97">
        <f t="shared" si="3"/>
        <v>3</v>
      </c>
      <c r="T76" s="80">
        <f t="shared" si="4"/>
        <v>503799.3333</v>
      </c>
      <c r="U76" s="98">
        <f t="shared" si="5"/>
        <v>6.2E-2</v>
      </c>
      <c r="V76" s="88" t="s">
        <v>210</v>
      </c>
      <c r="Y76" s="65" t="s">
        <v>1313</v>
      </c>
      <c r="Z76" s="65" t="s">
        <v>790</v>
      </c>
      <c r="AA76" s="65" t="s">
        <v>1333</v>
      </c>
      <c r="AB76" s="65">
        <f>VLOOKUP(Z76,SABANA!$B$1:$AY$479,27,0)</f>
        <v>4</v>
      </c>
      <c r="AC76" s="65" t="str">
        <f>VLOOKUP(Z76,SABANA!$B$1:$AY$479,48,0)</f>
        <v>SI</v>
      </c>
      <c r="AD76" s="65">
        <f>VLOOKUP(Z76,SABANA!$B$1:$AY$479,41,0)</f>
        <v>3</v>
      </c>
      <c r="AE76" s="65">
        <v>6</v>
      </c>
      <c r="AF76" s="65">
        <v>36887</v>
      </c>
      <c r="AG76" s="65">
        <v>1229.5666670000001</v>
      </c>
      <c r="AH76" s="65">
        <v>130119349</v>
      </c>
      <c r="AI76" s="65">
        <v>9279060</v>
      </c>
      <c r="AJ76" s="65">
        <v>309302</v>
      </c>
      <c r="AK76" s="71">
        <v>7.0999999999999994E-2</v>
      </c>
      <c r="AL76" s="71"/>
    </row>
    <row r="77" spans="1:38" x14ac:dyDescent="0.2">
      <c r="A77" s="137">
        <v>2296</v>
      </c>
      <c r="B77" s="137" t="s">
        <v>1270</v>
      </c>
      <c r="C77" s="142">
        <v>124200</v>
      </c>
      <c r="D77" s="143">
        <v>-136292.69</v>
      </c>
      <c r="E77" s="125">
        <f t="shared" si="0"/>
        <v>-1.097364653784219</v>
      </c>
      <c r="H77" s="65">
        <v>2473</v>
      </c>
      <c r="I77" s="65" t="s">
        <v>292</v>
      </c>
      <c r="J77" s="124">
        <v>14660620</v>
      </c>
      <c r="K77" s="65">
        <v>3325545.43</v>
      </c>
      <c r="O77" s="86" t="s">
        <v>59</v>
      </c>
      <c r="P77" s="83" t="s">
        <v>156</v>
      </c>
      <c r="Q77" s="80">
        <f t="shared" si="1"/>
        <v>3</v>
      </c>
      <c r="R77" s="80" t="str">
        <f t="shared" si="2"/>
        <v>SI</v>
      </c>
      <c r="S77" s="97">
        <f t="shared" si="3"/>
        <v>3</v>
      </c>
      <c r="T77" s="80">
        <f t="shared" si="4"/>
        <v>250966.6667</v>
      </c>
      <c r="U77" s="98">
        <f t="shared" si="5"/>
        <v>0.06</v>
      </c>
      <c r="V77" s="88" t="s">
        <v>210</v>
      </c>
      <c r="Y77" s="65" t="s">
        <v>1313</v>
      </c>
      <c r="Z77" s="65" t="s">
        <v>856</v>
      </c>
      <c r="AA77" s="65" t="s">
        <v>1334</v>
      </c>
      <c r="AB77" s="65">
        <f>VLOOKUP(Z77,SABANA!$B$1:$AY$479,27,0)</f>
        <v>4</v>
      </c>
      <c r="AC77" s="65" t="str">
        <f>VLOOKUP(Z77,SABANA!$B$1:$AY$479,48,0)</f>
        <v>SI</v>
      </c>
      <c r="AD77" s="65">
        <f>VLOOKUP(Z77,SABANA!$B$1:$AY$479,41,0)</f>
        <v>3</v>
      </c>
      <c r="AE77" s="65">
        <v>6</v>
      </c>
      <c r="AF77" s="65">
        <v>41110</v>
      </c>
      <c r="AG77" s="65">
        <v>1370.333333</v>
      </c>
      <c r="AH77" s="65">
        <v>139496499</v>
      </c>
      <c r="AI77" s="65">
        <v>8193350</v>
      </c>
      <c r="AJ77" s="65">
        <v>273111.6667</v>
      </c>
      <c r="AK77" s="71">
        <v>5.8999999999999997E-2</v>
      </c>
      <c r="AL77" s="71"/>
    </row>
    <row r="78" spans="1:38" x14ac:dyDescent="0.2">
      <c r="A78" s="137">
        <v>2473</v>
      </c>
      <c r="B78" s="137" t="s">
        <v>292</v>
      </c>
      <c r="C78" s="142">
        <v>14660620</v>
      </c>
      <c r="D78" s="143">
        <v>3325545.43</v>
      </c>
      <c r="E78" s="125">
        <f t="shared" si="0"/>
        <v>0.22683525185155881</v>
      </c>
      <c r="H78" s="65">
        <v>2600</v>
      </c>
      <c r="I78" s="65" t="s">
        <v>1266</v>
      </c>
      <c r="J78" s="124">
        <v>4419100</v>
      </c>
      <c r="K78" s="65">
        <v>1446037.2400000002</v>
      </c>
      <c r="O78" s="86" t="s">
        <v>60</v>
      </c>
      <c r="P78" s="83" t="s">
        <v>157</v>
      </c>
      <c r="Q78" s="80">
        <f t="shared" si="1"/>
        <v>2</v>
      </c>
      <c r="R78" s="80">
        <f t="shared" si="2"/>
        <v>0</v>
      </c>
      <c r="S78" s="97">
        <f t="shared" si="3"/>
        <v>0</v>
      </c>
      <c r="T78" s="80">
        <f t="shared" si="4"/>
        <v>74679.333329999994</v>
      </c>
      <c r="U78" s="98">
        <f t="shared" si="5"/>
        <v>2.3E-2</v>
      </c>
      <c r="V78" s="87" t="s">
        <v>209</v>
      </c>
      <c r="Y78" s="65" t="s">
        <v>1313</v>
      </c>
      <c r="Z78" s="65" t="s">
        <v>693</v>
      </c>
      <c r="AA78" s="65" t="s">
        <v>1335</v>
      </c>
      <c r="AB78" s="65">
        <f>VLOOKUP(Z78,SABANA!$B$1:$AY$479,27,0)</f>
        <v>3</v>
      </c>
      <c r="AC78" s="65" t="str">
        <f>VLOOKUP(Z78,SABANA!$B$1:$AY$479,48,0)</f>
        <v>SI</v>
      </c>
      <c r="AD78" s="65">
        <f>VLOOKUP(Z78,SABANA!$B$1:$AY$479,41,0)</f>
        <v>3</v>
      </c>
      <c r="AE78" s="65">
        <v>6</v>
      </c>
      <c r="AF78" s="65">
        <v>44379</v>
      </c>
      <c r="AG78" s="65">
        <v>1479.3</v>
      </c>
      <c r="AH78" s="65">
        <v>159960637</v>
      </c>
      <c r="AI78" s="65">
        <v>7915120</v>
      </c>
      <c r="AJ78" s="65">
        <v>263837.3333</v>
      </c>
      <c r="AK78" s="71">
        <v>4.9000000000000002E-2</v>
      </c>
      <c r="AL78" s="71"/>
    </row>
    <row r="79" spans="1:38" x14ac:dyDescent="0.2">
      <c r="A79" s="137">
        <v>2600</v>
      </c>
      <c r="B79" s="137" t="s">
        <v>1266</v>
      </c>
      <c r="C79" s="142">
        <v>4419100</v>
      </c>
      <c r="D79" s="143">
        <v>1446037.2400000002</v>
      </c>
      <c r="E79" s="125">
        <f t="shared" si="0"/>
        <v>0.32722437600416382</v>
      </c>
      <c r="H79" s="65">
        <v>2606</v>
      </c>
      <c r="I79" s="65" t="s">
        <v>255</v>
      </c>
      <c r="J79" s="124">
        <v>5113600</v>
      </c>
      <c r="K79" s="65">
        <v>481304.47</v>
      </c>
      <c r="O79" s="86" t="s">
        <v>91</v>
      </c>
      <c r="P79" s="83" t="s">
        <v>188</v>
      </c>
      <c r="Q79" s="80" t="e">
        <f t="shared" si="1"/>
        <v>#N/A</v>
      </c>
      <c r="R79" s="80" t="e">
        <f t="shared" si="2"/>
        <v>#N/A</v>
      </c>
      <c r="S79" s="97" t="e">
        <f t="shared" si="3"/>
        <v>#N/A</v>
      </c>
      <c r="T79" s="80">
        <f t="shared" si="4"/>
        <v>41234.666669999999</v>
      </c>
      <c r="U79" s="98">
        <f t="shared" si="5"/>
        <v>3.9E-2</v>
      </c>
      <c r="V79" s="88" t="s">
        <v>210</v>
      </c>
      <c r="Y79" s="65" t="s">
        <v>1313</v>
      </c>
      <c r="Z79" s="65" t="s">
        <v>695</v>
      </c>
      <c r="AA79" s="65" t="s">
        <v>1336</v>
      </c>
      <c r="AB79" s="65">
        <f>VLOOKUP(Z79,SABANA!$B$1:$AY$479,27,0)</f>
        <v>2</v>
      </c>
      <c r="AC79" s="65">
        <f>VLOOKUP(Z79,SABANA!$B$1:$AY$479,48,0)</f>
        <v>0</v>
      </c>
      <c r="AD79" s="65">
        <f>VLOOKUP(Z79,SABANA!$B$1:$AY$479,41,0)</f>
        <v>0</v>
      </c>
      <c r="AE79" s="65">
        <v>6</v>
      </c>
      <c r="AF79" s="65">
        <v>34802</v>
      </c>
      <c r="AG79" s="65">
        <v>1160.0666670000001</v>
      </c>
      <c r="AH79" s="65">
        <v>129490949</v>
      </c>
      <c r="AI79" s="65">
        <v>3241070</v>
      </c>
      <c r="AJ79" s="65">
        <v>108035.6667</v>
      </c>
      <c r="AK79" s="71">
        <v>2.5000000000000001E-2</v>
      </c>
      <c r="AL79" s="71"/>
    </row>
    <row r="80" spans="1:38" x14ac:dyDescent="0.2">
      <c r="A80" s="137">
        <v>2606</v>
      </c>
      <c r="B80" s="137" t="s">
        <v>255</v>
      </c>
      <c r="C80" s="142">
        <v>5113600</v>
      </c>
      <c r="D80" s="143">
        <v>481304.47</v>
      </c>
      <c r="E80" s="125">
        <f t="shared" si="0"/>
        <v>9.4122432337296613E-2</v>
      </c>
      <c r="H80" s="65">
        <v>2722</v>
      </c>
      <c r="I80" s="65" t="s">
        <v>1282</v>
      </c>
      <c r="J80" s="124">
        <v>1200</v>
      </c>
      <c r="K80" s="65">
        <v>-1200</v>
      </c>
      <c r="Y80" s="65" t="s">
        <v>1337</v>
      </c>
      <c r="Z80" s="65" t="s">
        <v>881</v>
      </c>
      <c r="AA80" s="65" t="s">
        <v>882</v>
      </c>
      <c r="AB80" s="65">
        <f>VLOOKUP(Z80,SABANA!$B$1:$AY$479,27,0)</f>
        <v>2</v>
      </c>
      <c r="AC80" s="65" t="str">
        <f>VLOOKUP(Z80,SABANA!$B$1:$AY$479,48,0)</f>
        <v>NO</v>
      </c>
      <c r="AD80" s="65">
        <f>VLOOKUP(Z80,SABANA!$B$1:$AY$479,41,0)</f>
        <v>2</v>
      </c>
      <c r="AE80" s="65">
        <v>6</v>
      </c>
      <c r="AF80" s="65">
        <v>83060</v>
      </c>
      <c r="AG80" s="65">
        <v>2768.666667</v>
      </c>
      <c r="AH80" s="65">
        <v>282968885</v>
      </c>
      <c r="AI80" s="65">
        <v>4452400</v>
      </c>
      <c r="AJ80" s="65">
        <v>148413.3333</v>
      </c>
      <c r="AK80" s="71">
        <v>1.6E-2</v>
      </c>
      <c r="AL80" s="71"/>
    </row>
    <row r="81" spans="1:38" x14ac:dyDescent="0.2">
      <c r="A81" s="137">
        <v>2722</v>
      </c>
      <c r="B81" s="137" t="s">
        <v>1282</v>
      </c>
      <c r="C81" s="142">
        <v>1200</v>
      </c>
      <c r="D81" s="143">
        <v>-1200</v>
      </c>
      <c r="E81" s="125">
        <f t="shared" si="0"/>
        <v>-1</v>
      </c>
      <c r="H81" s="65">
        <v>2723</v>
      </c>
      <c r="I81" s="65" t="s">
        <v>1277</v>
      </c>
      <c r="J81" s="124">
        <v>8900</v>
      </c>
      <c r="K81" s="65">
        <v>-9020</v>
      </c>
      <c r="Y81" s="65" t="s">
        <v>1337</v>
      </c>
      <c r="Z81" s="65" t="s">
        <v>885</v>
      </c>
      <c r="AA81" s="65" t="s">
        <v>886</v>
      </c>
      <c r="AB81" s="65">
        <f>VLOOKUP(Z81,SABANA!$B$1:$AY$479,27,0)</f>
        <v>2</v>
      </c>
      <c r="AC81" s="65" t="str">
        <f>VLOOKUP(Z81,SABANA!$B$1:$AY$479,48,0)</f>
        <v>NO</v>
      </c>
      <c r="AD81" s="65">
        <f>VLOOKUP(Z81,SABANA!$B$1:$AY$479,41,0)</f>
        <v>1</v>
      </c>
      <c r="AE81" s="65">
        <v>6</v>
      </c>
      <c r="AF81" s="65">
        <v>58852</v>
      </c>
      <c r="AG81" s="65">
        <v>1961.7333329999999</v>
      </c>
      <c r="AH81" s="65">
        <v>167105986</v>
      </c>
      <c r="AI81" s="65">
        <v>1449050</v>
      </c>
      <c r="AJ81" s="65">
        <v>48301.666669999999</v>
      </c>
      <c r="AK81" s="71">
        <v>8.9999999999999993E-3</v>
      </c>
      <c r="AL81" s="71"/>
    </row>
    <row r="82" spans="1:38" x14ac:dyDescent="0.2">
      <c r="A82" s="137">
        <v>2723</v>
      </c>
      <c r="B82" s="137" t="s">
        <v>1277</v>
      </c>
      <c r="C82" s="142">
        <v>8900</v>
      </c>
      <c r="D82" s="143">
        <v>-9020</v>
      </c>
      <c r="E82" s="125">
        <f t="shared" si="0"/>
        <v>-1.0134831460674156</v>
      </c>
      <c r="H82" s="65">
        <v>2724</v>
      </c>
      <c r="I82" s="65" t="s">
        <v>1278</v>
      </c>
      <c r="J82" s="124">
        <v>5500</v>
      </c>
      <c r="K82" s="65">
        <v>-5500</v>
      </c>
      <c r="Y82" s="65" t="s">
        <v>1337</v>
      </c>
      <c r="Z82" s="65" t="s">
        <v>844</v>
      </c>
      <c r="AA82" s="65" t="s">
        <v>845</v>
      </c>
      <c r="AB82" s="65">
        <f>VLOOKUP(Z82,SABANA!$B$1:$AY$479,27,0)</f>
        <v>2</v>
      </c>
      <c r="AC82" s="65" t="str">
        <f>VLOOKUP(Z82,SABANA!$B$1:$AY$479,48,0)</f>
        <v>NO</v>
      </c>
      <c r="AD82" s="65">
        <f>VLOOKUP(Z82,SABANA!$B$1:$AY$479,41,0)</f>
        <v>1</v>
      </c>
      <c r="AE82" s="65">
        <v>6</v>
      </c>
      <c r="AF82" s="65">
        <v>84676</v>
      </c>
      <c r="AG82" s="65">
        <v>2822.5333329999999</v>
      </c>
      <c r="AH82" s="65">
        <v>288697782</v>
      </c>
      <c r="AI82" s="65">
        <v>6834400</v>
      </c>
      <c r="AJ82" s="65">
        <v>227813.3333</v>
      </c>
      <c r="AK82" s="71">
        <v>2.4E-2</v>
      </c>
      <c r="AL82" s="71"/>
    </row>
    <row r="83" spans="1:38" x14ac:dyDescent="0.2">
      <c r="A83" s="137">
        <v>2724</v>
      </c>
      <c r="B83" s="137" t="s">
        <v>1278</v>
      </c>
      <c r="C83" s="142">
        <v>5500</v>
      </c>
      <c r="D83" s="143">
        <v>-5500</v>
      </c>
      <c r="E83" s="125">
        <f t="shared" si="0"/>
        <v>-1</v>
      </c>
      <c r="H83" s="65">
        <v>2725</v>
      </c>
      <c r="I83" s="65" t="s">
        <v>1280</v>
      </c>
      <c r="J83" s="124">
        <v>3980</v>
      </c>
      <c r="K83" s="65">
        <v>-3980</v>
      </c>
      <c r="Y83" s="65" t="s">
        <v>1337</v>
      </c>
      <c r="Z83" s="65" t="s">
        <v>889</v>
      </c>
      <c r="AA83" s="65" t="s">
        <v>890</v>
      </c>
      <c r="AB83" s="65">
        <f>VLOOKUP(Z83,SABANA!$B$1:$AY$479,27,0)</f>
        <v>2</v>
      </c>
      <c r="AC83" s="65" t="str">
        <f>VLOOKUP(Z83,SABANA!$B$1:$AY$479,48,0)</f>
        <v>NO</v>
      </c>
      <c r="AD83" s="65">
        <f>VLOOKUP(Z83,SABANA!$B$1:$AY$479,41,0)</f>
        <v>3</v>
      </c>
      <c r="AE83" s="65">
        <v>6</v>
      </c>
      <c r="AF83" s="65">
        <v>80486</v>
      </c>
      <c r="AG83" s="65">
        <v>2682.8666669999998</v>
      </c>
      <c r="AH83" s="65">
        <v>257483744</v>
      </c>
      <c r="AI83" s="65">
        <v>3191400</v>
      </c>
      <c r="AJ83" s="65">
        <v>106380</v>
      </c>
      <c r="AK83" s="71">
        <v>1.2E-2</v>
      </c>
      <c r="AL83" s="71"/>
    </row>
    <row r="84" spans="1:38" x14ac:dyDescent="0.2">
      <c r="A84" s="137">
        <v>2725</v>
      </c>
      <c r="B84" s="137" t="s">
        <v>1280</v>
      </c>
      <c r="C84" s="142">
        <v>3980</v>
      </c>
      <c r="D84" s="143">
        <v>-3980</v>
      </c>
      <c r="E84" s="125">
        <f t="shared" si="0"/>
        <v>-1</v>
      </c>
      <c r="H84" s="65">
        <v>2726</v>
      </c>
      <c r="I84" s="65" t="s">
        <v>1281</v>
      </c>
      <c r="J84" s="124">
        <v>2700</v>
      </c>
      <c r="K84" s="65">
        <v>-15750</v>
      </c>
      <c r="Y84" s="65" t="s">
        <v>1337</v>
      </c>
      <c r="Z84" s="65" t="s">
        <v>1167</v>
      </c>
      <c r="AA84" s="65" t="s">
        <v>1168</v>
      </c>
      <c r="AB84" s="65">
        <f>VLOOKUP(Z84,SABANA!$B$1:$AY$479,27,0)</f>
        <v>2</v>
      </c>
      <c r="AC84" s="65" t="str">
        <f>VLOOKUP(Z84,SABANA!$B$1:$AY$479,48,0)</f>
        <v>NO</v>
      </c>
      <c r="AD84" s="65">
        <f>VLOOKUP(Z84,SABANA!$B$1:$AY$479,41,0)</f>
        <v>1</v>
      </c>
      <c r="AE84" s="65">
        <v>6</v>
      </c>
      <c r="AF84" s="65">
        <v>33349</v>
      </c>
      <c r="AG84" s="65">
        <v>1111.633333</v>
      </c>
      <c r="AH84" s="65">
        <v>109049775</v>
      </c>
      <c r="AI84" s="65">
        <v>1159080</v>
      </c>
      <c r="AJ84" s="65">
        <v>38636</v>
      </c>
      <c r="AK84" s="71">
        <v>1.0999999999999999E-2</v>
      </c>
      <c r="AL84" s="71"/>
    </row>
    <row r="85" spans="1:38" x14ac:dyDescent="0.2">
      <c r="A85" s="137">
        <v>2726</v>
      </c>
      <c r="B85" s="137" t="s">
        <v>1281</v>
      </c>
      <c r="C85" s="142">
        <v>2700</v>
      </c>
      <c r="D85" s="143">
        <v>-15750</v>
      </c>
      <c r="E85" s="125">
        <f t="shared" si="0"/>
        <v>-5.833333333333333</v>
      </c>
      <c r="H85" s="65" t="s">
        <v>1245</v>
      </c>
      <c r="J85" s="124">
        <v>600152190</v>
      </c>
      <c r="K85" s="65">
        <v>73628742.610000044</v>
      </c>
      <c r="Y85" s="65" t="s">
        <v>1337</v>
      </c>
      <c r="Z85" s="65" t="s">
        <v>633</v>
      </c>
      <c r="AA85" s="65" t="s">
        <v>634</v>
      </c>
      <c r="AB85" s="65">
        <f>VLOOKUP(Z85,SABANA!$B$1:$AY$479,27,0)</f>
        <v>2</v>
      </c>
      <c r="AC85" s="65" t="str">
        <f>VLOOKUP(Z85,SABANA!$B$1:$AY$479,48,0)</f>
        <v>NO</v>
      </c>
      <c r="AD85" s="65">
        <f>VLOOKUP(Z85,SABANA!$B$1:$AY$479,41,0)</f>
        <v>2</v>
      </c>
      <c r="AE85" s="65">
        <v>6</v>
      </c>
      <c r="AF85" s="65">
        <v>92320</v>
      </c>
      <c r="AG85" s="65">
        <v>3077.333333</v>
      </c>
      <c r="AH85" s="65">
        <v>285345941</v>
      </c>
      <c r="AI85" s="65">
        <v>3483610</v>
      </c>
      <c r="AJ85" s="65">
        <v>116120.3333</v>
      </c>
      <c r="AK85" s="71">
        <v>1.2E-2</v>
      </c>
      <c r="AL85" s="71"/>
    </row>
    <row r="86" spans="1:38" x14ac:dyDescent="0.2">
      <c r="A86" s="144" t="s">
        <v>3203</v>
      </c>
      <c r="B86" s="145"/>
      <c r="C86" s="146">
        <v>600152190</v>
      </c>
      <c r="D86" s="147">
        <v>73628742.610000014</v>
      </c>
      <c r="E86" s="125"/>
      <c r="Y86" s="65" t="s">
        <v>1337</v>
      </c>
      <c r="Z86" s="65" t="s">
        <v>873</v>
      </c>
      <c r="AA86" s="65" t="s">
        <v>874</v>
      </c>
      <c r="AB86" s="65">
        <f>VLOOKUP(Z86,SABANA!$B$1:$AY$479,27,0)</f>
        <v>3</v>
      </c>
      <c r="AC86" s="65" t="str">
        <f>VLOOKUP(Z86,SABANA!$B$1:$AY$479,48,0)</f>
        <v>NO</v>
      </c>
      <c r="AD86" s="65">
        <f>VLOOKUP(Z86,SABANA!$B$1:$AY$479,41,0)</f>
        <v>1</v>
      </c>
      <c r="AE86" s="65">
        <v>6</v>
      </c>
      <c r="AF86" s="65">
        <v>80440</v>
      </c>
      <c r="AG86" s="65">
        <v>2681.333333</v>
      </c>
      <c r="AH86" s="65">
        <v>269009301</v>
      </c>
      <c r="AI86" s="65">
        <v>3607160</v>
      </c>
      <c r="AJ86" s="65">
        <v>120238.6667</v>
      </c>
      <c r="AK86" s="71">
        <v>1.2999999999999999E-2</v>
      </c>
      <c r="AL86" s="71"/>
    </row>
    <row r="87" spans="1:38" x14ac:dyDescent="0.2">
      <c r="E87" s="125"/>
      <c r="Y87" s="65" t="s">
        <v>1337</v>
      </c>
      <c r="Z87" s="65" t="s">
        <v>754</v>
      </c>
      <c r="AA87" s="65" t="s">
        <v>755</v>
      </c>
      <c r="AB87" s="65">
        <f>VLOOKUP(Z87,SABANA!$B$1:$AY$479,27,0)</f>
        <v>3</v>
      </c>
      <c r="AC87" s="65" t="str">
        <f>VLOOKUP(Z87,SABANA!$B$1:$AY$479,48,0)</f>
        <v>NO</v>
      </c>
      <c r="AD87" s="65">
        <f>VLOOKUP(Z87,SABANA!$B$1:$AY$479,41,0)</f>
        <v>1</v>
      </c>
      <c r="AE87" s="65">
        <v>6</v>
      </c>
      <c r="AF87" s="65">
        <v>74947</v>
      </c>
      <c r="AG87" s="65">
        <v>2498.2333330000001</v>
      </c>
      <c r="AH87" s="65">
        <v>236523133</v>
      </c>
      <c r="AI87" s="65">
        <v>4377930</v>
      </c>
      <c r="AJ87" s="65">
        <v>145931</v>
      </c>
      <c r="AK87" s="71">
        <v>1.9E-2</v>
      </c>
      <c r="AL87" s="71"/>
    </row>
    <row r="88" spans="1:38" x14ac:dyDescent="0.2">
      <c r="E88" s="125"/>
      <c r="H88" s="65" t="s">
        <v>1338</v>
      </c>
      <c r="Y88" s="65" t="s">
        <v>1337</v>
      </c>
      <c r="Z88" s="65" t="s">
        <v>846</v>
      </c>
      <c r="AA88" s="65" t="s">
        <v>847</v>
      </c>
      <c r="AB88" s="65">
        <f>VLOOKUP(Z88,SABANA!$B$1:$AY$479,27,0)</f>
        <v>2</v>
      </c>
      <c r="AC88" s="65" t="str">
        <f>VLOOKUP(Z88,SABANA!$B$1:$AY$479,48,0)</f>
        <v>NO</v>
      </c>
      <c r="AD88" s="65">
        <f>VLOOKUP(Z88,SABANA!$B$1:$AY$479,41,0)</f>
        <v>1</v>
      </c>
      <c r="AE88" s="65">
        <v>6</v>
      </c>
      <c r="AF88" s="65">
        <v>84720</v>
      </c>
      <c r="AG88" s="65">
        <v>2824</v>
      </c>
      <c r="AH88" s="65">
        <v>255934138</v>
      </c>
      <c r="AI88" s="65">
        <v>4366070</v>
      </c>
      <c r="AJ88" s="65">
        <v>145535.6667</v>
      </c>
      <c r="AK88" s="71">
        <v>1.7000000000000001E-2</v>
      </c>
      <c r="AL88" s="71"/>
    </row>
    <row r="89" spans="1:38" x14ac:dyDescent="0.2">
      <c r="E89" s="125"/>
      <c r="H89" s="65" t="s">
        <v>1256</v>
      </c>
      <c r="I89" s="65" t="s">
        <v>1257</v>
      </c>
      <c r="J89" s="65" t="s">
        <v>1296</v>
      </c>
      <c r="K89" s="65" t="s">
        <v>1297</v>
      </c>
      <c r="O89" s="74" t="s">
        <v>4</v>
      </c>
      <c r="P89" s="75" t="s">
        <v>101</v>
      </c>
      <c r="Q89" s="76" t="s">
        <v>197</v>
      </c>
      <c r="R89" s="76" t="s">
        <v>201</v>
      </c>
      <c r="S89" s="76" t="s">
        <v>204</v>
      </c>
      <c r="T89" s="76" t="s">
        <v>206</v>
      </c>
      <c r="U89" s="76" t="s">
        <v>1232</v>
      </c>
      <c r="V89" s="75" t="s">
        <v>207</v>
      </c>
      <c r="Y89" s="65" t="s">
        <v>1337</v>
      </c>
      <c r="Z89" s="65" t="s">
        <v>875</v>
      </c>
      <c r="AA89" s="65" t="s">
        <v>876</v>
      </c>
      <c r="AB89" s="65">
        <f>VLOOKUP(Z89,SABANA!$B$1:$AY$479,27,0)</f>
        <v>2</v>
      </c>
      <c r="AC89" s="65" t="str">
        <f>VLOOKUP(Z89,SABANA!$B$1:$AY$479,48,0)</f>
        <v>NO</v>
      </c>
      <c r="AD89" s="65">
        <f>VLOOKUP(Z89,SABANA!$B$1:$AY$479,41,0)</f>
        <v>1</v>
      </c>
      <c r="AE89" s="65">
        <v>6</v>
      </c>
      <c r="AF89" s="65">
        <v>74602</v>
      </c>
      <c r="AG89" s="65">
        <v>2486.7333330000001</v>
      </c>
      <c r="AH89" s="65">
        <v>237530778</v>
      </c>
      <c r="AI89" s="65">
        <v>2258950</v>
      </c>
      <c r="AJ89" s="65">
        <v>75298.333329999994</v>
      </c>
      <c r="AK89" s="71">
        <v>0.01</v>
      </c>
      <c r="AL89" s="71"/>
    </row>
    <row r="90" spans="1:38" x14ac:dyDescent="0.2">
      <c r="E90" s="125"/>
      <c r="H90" s="65">
        <v>1068</v>
      </c>
      <c r="I90" s="65" t="s">
        <v>286</v>
      </c>
      <c r="J90" s="65">
        <v>0</v>
      </c>
      <c r="K90" s="65">
        <v>0</v>
      </c>
      <c r="O90" s="86" t="s">
        <v>625</v>
      </c>
      <c r="P90" s="83" t="s">
        <v>626</v>
      </c>
      <c r="Q90" s="80">
        <f t="shared" ref="Q90:Q127" si="6">VLOOKUP(O90,$Z$1:$AK$288,3,0)</f>
        <v>3</v>
      </c>
      <c r="R90" s="80" t="str">
        <f t="shared" ref="R90:R127" si="7">VLOOKUP(O90,$Z$1:$AK$288,4,0)</f>
        <v>NO</v>
      </c>
      <c r="S90" s="97">
        <f t="shared" ref="S90:S127" si="8">VLOOKUP(O90,$Z$1:$AK$288,5,0)</f>
        <v>2</v>
      </c>
      <c r="T90" s="80">
        <f t="shared" ref="T90:T127" si="9">VLOOKUP(O90,$Z$1:$AK$288,11,0)</f>
        <v>90296.333329999994</v>
      </c>
      <c r="U90" s="98">
        <f t="shared" ref="U90:U127" si="10">VLOOKUP(O90,$Z$1:$AK$288,12,0)</f>
        <v>1.7000000000000001E-2</v>
      </c>
      <c r="V90" s="65" t="s">
        <v>352</v>
      </c>
      <c r="Y90" s="65" t="s">
        <v>1337</v>
      </c>
      <c r="Z90" s="65" t="s">
        <v>828</v>
      </c>
      <c r="AA90" s="65" t="s">
        <v>829</v>
      </c>
      <c r="AB90" s="65">
        <f>VLOOKUP(Z90,SABANA!$B$1:$AY$479,27,0)</f>
        <v>2</v>
      </c>
      <c r="AC90" s="65" t="str">
        <f>VLOOKUP(Z90,SABANA!$B$1:$AY$479,48,0)</f>
        <v>NO</v>
      </c>
      <c r="AD90" s="65">
        <f>VLOOKUP(Z90,SABANA!$B$1:$AY$479,41,0)</f>
        <v>2</v>
      </c>
      <c r="AE90" s="65">
        <v>6</v>
      </c>
      <c r="AF90" s="65">
        <v>50858</v>
      </c>
      <c r="AG90" s="65">
        <v>1695.2666670000001</v>
      </c>
      <c r="AH90" s="65">
        <v>147672356</v>
      </c>
      <c r="AI90" s="65">
        <v>1713810</v>
      </c>
      <c r="AJ90" s="65">
        <v>57127</v>
      </c>
      <c r="AK90" s="71">
        <v>1.2E-2</v>
      </c>
      <c r="AL90" s="71"/>
    </row>
    <row r="91" spans="1:38" x14ac:dyDescent="0.2">
      <c r="E91" s="125"/>
      <c r="H91" s="65">
        <v>1069</v>
      </c>
      <c r="I91" s="65" t="s">
        <v>1286</v>
      </c>
      <c r="J91" s="65">
        <v>0</v>
      </c>
      <c r="K91" s="65">
        <v>0</v>
      </c>
      <c r="O91" s="86" t="s">
        <v>756</v>
      </c>
      <c r="P91" s="83" t="s">
        <v>757</v>
      </c>
      <c r="Q91" s="80">
        <f t="shared" si="6"/>
        <v>3</v>
      </c>
      <c r="R91" s="80" t="str">
        <f t="shared" si="7"/>
        <v>NO</v>
      </c>
      <c r="S91" s="97">
        <f t="shared" si="8"/>
        <v>2</v>
      </c>
      <c r="T91" s="80">
        <f t="shared" si="9"/>
        <v>228063.6667</v>
      </c>
      <c r="U91" s="98">
        <f t="shared" si="10"/>
        <v>0.02</v>
      </c>
      <c r="V91" s="65" t="s">
        <v>355</v>
      </c>
      <c r="Y91" s="65" t="s">
        <v>1337</v>
      </c>
      <c r="Z91" s="65" t="s">
        <v>869</v>
      </c>
      <c r="AA91" s="65" t="s">
        <v>1241</v>
      </c>
      <c r="AB91" s="65">
        <f>VLOOKUP(Z91,SABANA!$B$1:$AY$479,27,0)</f>
        <v>2</v>
      </c>
      <c r="AC91" s="65" t="str">
        <f>VLOOKUP(Z91,SABANA!$B$1:$AY$479,48,0)</f>
        <v>NO</v>
      </c>
      <c r="AD91" s="65">
        <f>VLOOKUP(Z91,SABANA!$B$1:$AY$479,41,0)</f>
        <v>2</v>
      </c>
      <c r="AE91" s="65">
        <v>6</v>
      </c>
      <c r="AF91" s="65">
        <v>63813</v>
      </c>
      <c r="AG91" s="65">
        <v>2127.1</v>
      </c>
      <c r="AH91" s="65">
        <v>194895567</v>
      </c>
      <c r="AI91" s="65">
        <v>1912810</v>
      </c>
      <c r="AJ91" s="65">
        <v>63760.333330000001</v>
      </c>
      <c r="AK91" s="71">
        <v>0.01</v>
      </c>
      <c r="AL91" s="71"/>
    </row>
    <row r="92" spans="1:38" x14ac:dyDescent="0.2">
      <c r="E92" s="125"/>
      <c r="H92" s="65">
        <v>1071</v>
      </c>
      <c r="I92" s="65" t="s">
        <v>257</v>
      </c>
      <c r="J92" s="65">
        <v>634940</v>
      </c>
      <c r="K92" s="65">
        <v>192962.37</v>
      </c>
      <c r="O92" s="86" t="s">
        <v>871</v>
      </c>
      <c r="P92" s="83" t="s">
        <v>872</v>
      </c>
      <c r="Q92" s="80">
        <f t="shared" si="6"/>
        <v>3</v>
      </c>
      <c r="R92" s="80" t="str">
        <f t="shared" si="7"/>
        <v>NO</v>
      </c>
      <c r="S92" s="97">
        <f t="shared" si="8"/>
        <v>2</v>
      </c>
      <c r="T92" s="80">
        <f t="shared" si="9"/>
        <v>308781</v>
      </c>
      <c r="U92" s="98">
        <f t="shared" si="10"/>
        <v>3.5999999999999997E-2</v>
      </c>
      <c r="V92" s="65" t="s">
        <v>1339</v>
      </c>
      <c r="Y92" s="65" t="s">
        <v>1337</v>
      </c>
      <c r="Z92" s="65" t="s">
        <v>830</v>
      </c>
      <c r="AA92" s="65" t="s">
        <v>831</v>
      </c>
      <c r="AB92" s="65">
        <f>VLOOKUP(Z92,SABANA!$B$1:$AY$479,27,0)</f>
        <v>2</v>
      </c>
      <c r="AC92" s="65" t="str">
        <f>VLOOKUP(Z92,SABANA!$B$1:$AY$479,48,0)</f>
        <v>NO</v>
      </c>
      <c r="AD92" s="65">
        <f>VLOOKUP(Z92,SABANA!$B$1:$AY$479,41,0)</f>
        <v>2</v>
      </c>
      <c r="AE92" s="65">
        <v>6</v>
      </c>
      <c r="AF92" s="65">
        <v>80700</v>
      </c>
      <c r="AG92" s="65">
        <v>2690</v>
      </c>
      <c r="AH92" s="65">
        <v>248839244</v>
      </c>
      <c r="AI92" s="65">
        <v>3144660</v>
      </c>
      <c r="AJ92" s="65">
        <v>104822</v>
      </c>
      <c r="AK92" s="71">
        <v>1.2999999999999999E-2</v>
      </c>
      <c r="AL92" s="71"/>
    </row>
    <row r="93" spans="1:38" x14ac:dyDescent="0.2">
      <c r="E93" s="125"/>
      <c r="H93" s="65">
        <v>1072</v>
      </c>
      <c r="I93" s="65" t="s">
        <v>258</v>
      </c>
      <c r="J93" s="65">
        <v>674310</v>
      </c>
      <c r="K93" s="65">
        <v>23800</v>
      </c>
      <c r="O93" s="86" t="s">
        <v>836</v>
      </c>
      <c r="P93" s="83" t="s">
        <v>837</v>
      </c>
      <c r="Q93" s="80">
        <f t="shared" si="6"/>
        <v>2</v>
      </c>
      <c r="R93" s="80" t="str">
        <f t="shared" si="7"/>
        <v>NO</v>
      </c>
      <c r="S93" s="97">
        <f t="shared" si="8"/>
        <v>2</v>
      </c>
      <c r="T93" s="80">
        <f t="shared" si="9"/>
        <v>124927</v>
      </c>
      <c r="U93" s="98">
        <f t="shared" si="10"/>
        <v>1.2999999999999999E-2</v>
      </c>
      <c r="V93" s="65" t="s">
        <v>352</v>
      </c>
      <c r="Y93" s="65" t="s">
        <v>1337</v>
      </c>
      <c r="Z93" s="65" t="s">
        <v>832</v>
      </c>
      <c r="AA93" s="65" t="s">
        <v>833</v>
      </c>
      <c r="AB93" s="65">
        <f>VLOOKUP(Z93,SABANA!$B$1:$AY$479,27,0)</f>
        <v>2</v>
      </c>
      <c r="AC93" s="65" t="str">
        <f>VLOOKUP(Z93,SABANA!$B$1:$AY$479,48,0)</f>
        <v>NO</v>
      </c>
      <c r="AD93" s="65">
        <f>VLOOKUP(Z93,SABANA!$B$1:$AY$479,41,0)</f>
        <v>1</v>
      </c>
      <c r="AE93" s="65">
        <v>6</v>
      </c>
      <c r="AF93" s="65">
        <v>70237</v>
      </c>
      <c r="AG93" s="65">
        <v>2341.2333330000001</v>
      </c>
      <c r="AH93" s="65">
        <v>238337324</v>
      </c>
      <c r="AI93" s="65">
        <v>2961250</v>
      </c>
      <c r="AJ93" s="65">
        <v>98708.333329999994</v>
      </c>
      <c r="AK93" s="71">
        <v>1.2E-2</v>
      </c>
      <c r="AL93" s="71"/>
    </row>
    <row r="94" spans="1:38" x14ac:dyDescent="0.2">
      <c r="E94" s="125"/>
      <c r="H94" s="65">
        <v>1073</v>
      </c>
      <c r="I94" s="65" t="s">
        <v>303</v>
      </c>
      <c r="J94" s="65">
        <v>287620</v>
      </c>
      <c r="K94" s="65">
        <v>171356.26</v>
      </c>
      <c r="O94" s="86" t="s">
        <v>854</v>
      </c>
      <c r="P94" s="83" t="s">
        <v>855</v>
      </c>
      <c r="Q94" s="80">
        <f t="shared" si="6"/>
        <v>2</v>
      </c>
      <c r="R94" s="80" t="str">
        <f t="shared" si="7"/>
        <v>NO</v>
      </c>
      <c r="S94" s="97">
        <f t="shared" si="8"/>
        <v>2</v>
      </c>
      <c r="T94" s="80">
        <f t="shared" si="9"/>
        <v>51647.666669999999</v>
      </c>
      <c r="U94" s="98">
        <f t="shared" si="10"/>
        <v>1.0999999999999999E-2</v>
      </c>
      <c r="V94" s="65" t="s">
        <v>352</v>
      </c>
      <c r="Y94" s="65" t="s">
        <v>1337</v>
      </c>
      <c r="Z94" s="65" t="s">
        <v>637</v>
      </c>
      <c r="AA94" s="65" t="s">
        <v>638</v>
      </c>
      <c r="AB94" s="65">
        <f>VLOOKUP(Z94,SABANA!$B$1:$AY$479,27,0)</f>
        <v>2</v>
      </c>
      <c r="AC94" s="65" t="str">
        <f>VLOOKUP(Z94,SABANA!$B$1:$AY$479,48,0)</f>
        <v>NO</v>
      </c>
      <c r="AD94" s="65">
        <f>VLOOKUP(Z94,SABANA!$B$1:$AY$479,41,0)</f>
        <v>1</v>
      </c>
      <c r="AE94" s="65">
        <v>6</v>
      </c>
      <c r="AF94" s="65">
        <v>52245</v>
      </c>
      <c r="AG94" s="65">
        <v>1741.5</v>
      </c>
      <c r="AH94" s="65">
        <v>163625416</v>
      </c>
      <c r="AI94" s="65">
        <v>2235390</v>
      </c>
      <c r="AJ94" s="65">
        <v>74513</v>
      </c>
      <c r="AK94" s="71">
        <v>1.4E-2</v>
      </c>
      <c r="AL94" s="71"/>
    </row>
    <row r="95" spans="1:38" x14ac:dyDescent="0.2">
      <c r="E95" s="125"/>
      <c r="H95" s="65">
        <v>1074</v>
      </c>
      <c r="I95" s="65" t="s">
        <v>230</v>
      </c>
      <c r="J95" s="65">
        <v>1580930</v>
      </c>
      <c r="K95" s="65">
        <v>264052.52</v>
      </c>
      <c r="O95" s="86" t="s">
        <v>766</v>
      </c>
      <c r="P95" s="83" t="s">
        <v>767</v>
      </c>
      <c r="Q95" s="80">
        <f t="shared" si="6"/>
        <v>2</v>
      </c>
      <c r="R95" s="80" t="str">
        <f t="shared" si="7"/>
        <v>NO</v>
      </c>
      <c r="S95" s="97">
        <f t="shared" si="8"/>
        <v>2</v>
      </c>
      <c r="T95" s="80">
        <f t="shared" si="9"/>
        <v>70541.333329999994</v>
      </c>
      <c r="U95" s="98">
        <f t="shared" si="10"/>
        <v>8.9999999999999993E-3</v>
      </c>
      <c r="V95" s="65" t="s">
        <v>352</v>
      </c>
      <c r="Y95" s="65" t="s">
        <v>1337</v>
      </c>
      <c r="Z95" s="65" t="s">
        <v>635</v>
      </c>
      <c r="AA95" s="65" t="s">
        <v>636</v>
      </c>
      <c r="AB95" s="65">
        <f>VLOOKUP(Z95,SABANA!$B$1:$AY$479,27,0)</f>
        <v>2</v>
      </c>
      <c r="AC95" s="65" t="str">
        <f>VLOOKUP(Z95,SABANA!$B$1:$AY$479,48,0)</f>
        <v>NO</v>
      </c>
      <c r="AD95" s="65">
        <f>VLOOKUP(Z95,SABANA!$B$1:$AY$479,41,0)</f>
        <v>1</v>
      </c>
      <c r="AE95" s="65">
        <v>6</v>
      </c>
      <c r="AF95" s="65">
        <v>67325</v>
      </c>
      <c r="AG95" s="65">
        <v>2244.166667</v>
      </c>
      <c r="AH95" s="65">
        <v>232668385</v>
      </c>
      <c r="AI95" s="65">
        <v>7074330</v>
      </c>
      <c r="AJ95" s="65">
        <v>235811</v>
      </c>
      <c r="AK95" s="71">
        <v>0.03</v>
      </c>
      <c r="AL95" s="71"/>
    </row>
    <row r="96" spans="1:38" x14ac:dyDescent="0.2">
      <c r="E96" s="125"/>
      <c r="H96" s="65">
        <v>1076</v>
      </c>
      <c r="I96" s="65" t="s">
        <v>291</v>
      </c>
      <c r="J96" s="65">
        <v>1092370</v>
      </c>
      <c r="K96" s="65">
        <v>144698.48000000001</v>
      </c>
      <c r="O96" s="86" t="s">
        <v>627</v>
      </c>
      <c r="P96" s="83" t="s">
        <v>628</v>
      </c>
      <c r="Q96" s="80">
        <f t="shared" si="6"/>
        <v>2</v>
      </c>
      <c r="R96" s="80" t="str">
        <f t="shared" si="7"/>
        <v>NO</v>
      </c>
      <c r="S96" s="97">
        <f t="shared" si="8"/>
        <v>2</v>
      </c>
      <c r="T96" s="80">
        <f t="shared" si="9"/>
        <v>103269.3333</v>
      </c>
      <c r="U96" s="98">
        <f t="shared" si="10"/>
        <v>1.2E-2</v>
      </c>
      <c r="V96" s="65" t="s">
        <v>352</v>
      </c>
      <c r="Y96" s="65" t="s">
        <v>1337</v>
      </c>
      <c r="Z96" s="65" t="s">
        <v>824</v>
      </c>
      <c r="AA96" s="65" t="s">
        <v>825</v>
      </c>
      <c r="AB96" s="65">
        <f>VLOOKUP(Z96,SABANA!$B$1:$AY$479,27,0)</f>
        <v>2</v>
      </c>
      <c r="AC96" s="65" t="str">
        <f>VLOOKUP(Z96,SABANA!$B$1:$AY$479,48,0)</f>
        <v>NO</v>
      </c>
      <c r="AD96" s="65">
        <f>VLOOKUP(Z96,SABANA!$B$1:$AY$479,41,0)</f>
        <v>2</v>
      </c>
      <c r="AE96" s="65">
        <v>6</v>
      </c>
      <c r="AF96" s="65">
        <v>48118</v>
      </c>
      <c r="AG96" s="65">
        <v>1603.9333329999999</v>
      </c>
      <c r="AH96" s="65">
        <v>150789561</v>
      </c>
      <c r="AI96" s="65">
        <v>2444730</v>
      </c>
      <c r="AJ96" s="65">
        <v>81491</v>
      </c>
      <c r="AK96" s="71">
        <v>1.6E-2</v>
      </c>
      <c r="AL96" s="71"/>
    </row>
    <row r="97" spans="5:38" x14ac:dyDescent="0.2">
      <c r="E97" s="125"/>
      <c r="H97" s="65">
        <v>1077</v>
      </c>
      <c r="I97" s="65" t="s">
        <v>1291</v>
      </c>
      <c r="J97" s="65">
        <v>0</v>
      </c>
      <c r="K97" s="65">
        <v>0</v>
      </c>
      <c r="O97" s="86" t="s">
        <v>639</v>
      </c>
      <c r="P97" s="83" t="s">
        <v>1224</v>
      </c>
      <c r="Q97" s="80">
        <f t="shared" si="6"/>
        <v>3</v>
      </c>
      <c r="R97" s="80" t="str">
        <f t="shared" si="7"/>
        <v>NO</v>
      </c>
      <c r="S97" s="97">
        <f t="shared" si="8"/>
        <v>2</v>
      </c>
      <c r="T97" s="80">
        <f t="shared" si="9"/>
        <v>39699.666669999999</v>
      </c>
      <c r="U97" s="98">
        <f t="shared" si="10"/>
        <v>8.0000000000000002E-3</v>
      </c>
      <c r="V97" s="65" t="s">
        <v>352</v>
      </c>
      <c r="Y97" s="65" t="s">
        <v>1337</v>
      </c>
      <c r="Z97" s="65" t="s">
        <v>834</v>
      </c>
      <c r="AA97" s="65" t="s">
        <v>835</v>
      </c>
      <c r="AB97" s="65">
        <f>VLOOKUP(Z97,SABANA!$B$1:$AY$479,27,0)</f>
        <v>2</v>
      </c>
      <c r="AC97" s="65" t="str">
        <f>VLOOKUP(Z97,SABANA!$B$1:$AY$479,48,0)</f>
        <v>NO</v>
      </c>
      <c r="AD97" s="65">
        <f>VLOOKUP(Z97,SABANA!$B$1:$AY$479,41,0)</f>
        <v>1</v>
      </c>
      <c r="AE97" s="65">
        <v>6</v>
      </c>
      <c r="AF97" s="65">
        <v>66409</v>
      </c>
      <c r="AG97" s="65">
        <v>2213.6333330000002</v>
      </c>
      <c r="AH97" s="65">
        <v>192881454</v>
      </c>
      <c r="AI97" s="65">
        <v>3052110</v>
      </c>
      <c r="AJ97" s="65">
        <v>101737</v>
      </c>
      <c r="AK97" s="71">
        <v>1.6E-2</v>
      </c>
      <c r="AL97" s="71"/>
    </row>
    <row r="98" spans="5:38" x14ac:dyDescent="0.2">
      <c r="E98" s="125"/>
      <c r="H98" s="65">
        <v>1079</v>
      </c>
      <c r="I98" s="65" t="s">
        <v>267</v>
      </c>
      <c r="J98" s="65">
        <v>1000390</v>
      </c>
      <c r="K98" s="65">
        <v>421282.2</v>
      </c>
      <c r="O98" s="86" t="s">
        <v>758</v>
      </c>
      <c r="P98" s="83" t="s">
        <v>1225</v>
      </c>
      <c r="Q98" s="80">
        <f t="shared" si="6"/>
        <v>2</v>
      </c>
      <c r="R98" s="80" t="str">
        <f t="shared" si="7"/>
        <v>NO</v>
      </c>
      <c r="S98" s="97">
        <f t="shared" si="8"/>
        <v>2</v>
      </c>
      <c r="T98" s="80">
        <f t="shared" si="9"/>
        <v>106926</v>
      </c>
      <c r="U98" s="98">
        <f t="shared" si="10"/>
        <v>1.0999999999999999E-2</v>
      </c>
      <c r="V98" s="124" t="s">
        <v>352</v>
      </c>
      <c r="Y98" s="65" t="s">
        <v>1337</v>
      </c>
      <c r="Z98" s="65" t="s">
        <v>764</v>
      </c>
      <c r="AA98" s="65" t="s">
        <v>765</v>
      </c>
      <c r="AB98" s="65">
        <f>VLOOKUP(Z98,SABANA!$B$1:$AY$479,27,0)</f>
        <v>5</v>
      </c>
      <c r="AC98" s="65" t="str">
        <f>VLOOKUP(Z98,SABANA!$B$1:$AY$479,48,0)</f>
        <v>NO</v>
      </c>
      <c r="AD98" s="65">
        <f>VLOOKUP(Z98,SABANA!$B$1:$AY$479,41,0)</f>
        <v>1</v>
      </c>
      <c r="AE98" s="65">
        <v>6</v>
      </c>
      <c r="AF98" s="65">
        <v>57827</v>
      </c>
      <c r="AG98" s="65">
        <v>1927.5666670000001</v>
      </c>
      <c r="AH98" s="65">
        <v>182319663</v>
      </c>
      <c r="AI98" s="65">
        <v>3597710</v>
      </c>
      <c r="AJ98" s="65">
        <v>119923.6667</v>
      </c>
      <c r="AK98" s="71">
        <v>0.02</v>
      </c>
      <c r="AL98" s="71"/>
    </row>
    <row r="99" spans="5:38" x14ac:dyDescent="0.2">
      <c r="E99" s="125"/>
      <c r="H99" s="65">
        <v>1081</v>
      </c>
      <c r="I99" s="65" t="s">
        <v>302</v>
      </c>
      <c r="J99" s="65">
        <v>191950</v>
      </c>
      <c r="K99" s="65">
        <v>48947.64</v>
      </c>
      <c r="O99" s="86" t="s">
        <v>1205</v>
      </c>
      <c r="P99" s="83" t="s">
        <v>1206</v>
      </c>
      <c r="Q99" s="80">
        <f t="shared" si="6"/>
        <v>3</v>
      </c>
      <c r="R99" s="80" t="str">
        <f t="shared" si="7"/>
        <v>NO</v>
      </c>
      <c r="S99" s="97">
        <f t="shared" si="8"/>
        <v>2</v>
      </c>
      <c r="T99" s="80">
        <f t="shared" si="9"/>
        <v>43229</v>
      </c>
      <c r="U99" s="98">
        <f t="shared" si="10"/>
        <v>1.9E-2</v>
      </c>
      <c r="V99" s="65" t="s">
        <v>355</v>
      </c>
      <c r="Y99" s="65" t="s">
        <v>1337</v>
      </c>
      <c r="Z99" s="65" t="s">
        <v>826</v>
      </c>
      <c r="AA99" s="65" t="s">
        <v>827</v>
      </c>
      <c r="AB99" s="65">
        <f>VLOOKUP(Z99,SABANA!$B$1:$AY$479,27,0)</f>
        <v>3</v>
      </c>
      <c r="AC99" s="65" t="str">
        <f>VLOOKUP(Z99,SABANA!$B$1:$AY$479,48,0)</f>
        <v>NO</v>
      </c>
      <c r="AD99" s="65">
        <f>VLOOKUP(Z99,SABANA!$B$1:$AY$479,41,0)</f>
        <v>1</v>
      </c>
      <c r="AE99" s="65">
        <v>6</v>
      </c>
      <c r="AF99" s="65">
        <v>62392</v>
      </c>
      <c r="AG99" s="65">
        <v>2079.7333330000001</v>
      </c>
      <c r="AH99" s="65">
        <v>174579818</v>
      </c>
      <c r="AI99" s="65">
        <v>2455780</v>
      </c>
      <c r="AJ99" s="65">
        <v>81859.333329999994</v>
      </c>
      <c r="AK99" s="71">
        <v>1.4E-2</v>
      </c>
      <c r="AL99" s="71"/>
    </row>
    <row r="100" spans="5:38" x14ac:dyDescent="0.2">
      <c r="E100" s="125"/>
      <c r="H100" s="65">
        <v>1082</v>
      </c>
      <c r="I100" s="65" t="s">
        <v>1239</v>
      </c>
      <c r="J100" s="65">
        <v>546720</v>
      </c>
      <c r="K100" s="65">
        <v>274171.90000000002</v>
      </c>
      <c r="O100" s="86" t="s">
        <v>848</v>
      </c>
      <c r="P100" s="83" t="s">
        <v>849</v>
      </c>
      <c r="Q100" s="80">
        <f t="shared" si="6"/>
        <v>3</v>
      </c>
      <c r="R100" s="80" t="str">
        <f t="shared" si="7"/>
        <v>NO</v>
      </c>
      <c r="S100" s="97">
        <f t="shared" si="8"/>
        <v>2</v>
      </c>
      <c r="T100" s="80">
        <f t="shared" si="9"/>
        <v>255657.3333</v>
      </c>
      <c r="U100" s="98">
        <f t="shared" si="10"/>
        <v>4.7E-2</v>
      </c>
      <c r="V100" s="65" t="s">
        <v>1339</v>
      </c>
      <c r="Y100" s="65" t="s">
        <v>1337</v>
      </c>
      <c r="Z100" s="65" t="s">
        <v>883</v>
      </c>
      <c r="AA100" s="65" t="s">
        <v>884</v>
      </c>
      <c r="AB100" s="65">
        <f>VLOOKUP(Z100,SABANA!$B$1:$AY$479,27,0)</f>
        <v>3</v>
      </c>
      <c r="AC100" s="65" t="str">
        <f>VLOOKUP(Z100,SABANA!$B$1:$AY$479,48,0)</f>
        <v>NO</v>
      </c>
      <c r="AD100" s="65">
        <f>VLOOKUP(Z100,SABANA!$B$1:$AY$479,41,0)</f>
        <v>2</v>
      </c>
      <c r="AE100" s="65">
        <v>6</v>
      </c>
      <c r="AF100" s="65">
        <v>54226</v>
      </c>
      <c r="AG100" s="65">
        <v>1807.5333330000001</v>
      </c>
      <c r="AH100" s="65">
        <v>176403121</v>
      </c>
      <c r="AI100" s="65">
        <v>2945570</v>
      </c>
      <c r="AJ100" s="65">
        <v>98185.666670000006</v>
      </c>
      <c r="AK100" s="71">
        <v>1.7000000000000001E-2</v>
      </c>
      <c r="AL100" s="71"/>
    </row>
    <row r="101" spans="5:38" x14ac:dyDescent="0.2">
      <c r="E101" s="125"/>
      <c r="H101" s="65">
        <v>1083</v>
      </c>
      <c r="I101" s="65" t="s">
        <v>1340</v>
      </c>
      <c r="J101" s="65">
        <v>389220</v>
      </c>
      <c r="K101" s="65">
        <v>51954.73</v>
      </c>
      <c r="O101" s="86" t="s">
        <v>768</v>
      </c>
      <c r="P101" s="83" t="s">
        <v>769</v>
      </c>
      <c r="Q101" s="80">
        <f t="shared" si="6"/>
        <v>2</v>
      </c>
      <c r="R101" s="80" t="str">
        <f t="shared" si="7"/>
        <v>NO</v>
      </c>
      <c r="S101" s="97">
        <f t="shared" si="8"/>
        <v>2</v>
      </c>
      <c r="T101" s="80">
        <f t="shared" si="9"/>
        <v>63695</v>
      </c>
      <c r="U101" s="98">
        <f t="shared" si="10"/>
        <v>8.0000000000000002E-3</v>
      </c>
      <c r="V101" s="72" t="s">
        <v>352</v>
      </c>
      <c r="Y101" s="65" t="s">
        <v>1341</v>
      </c>
      <c r="Z101" s="65" t="s">
        <v>525</v>
      </c>
      <c r="AA101" s="65" t="s">
        <v>1342</v>
      </c>
      <c r="AB101" s="65">
        <f>VLOOKUP(Z101,SABANA!$B$1:$AY$479,27,0)</f>
        <v>3</v>
      </c>
      <c r="AC101" s="65" t="str">
        <f>VLOOKUP(Z101,SABANA!$B$1:$AY$479,48,0)</f>
        <v>SI</v>
      </c>
      <c r="AD101" s="65">
        <f>VLOOKUP(Z101,SABANA!$B$1:$AY$479,41,0)</f>
        <v>4</v>
      </c>
      <c r="AE101" s="65">
        <v>6</v>
      </c>
      <c r="AF101" s="65">
        <v>34536</v>
      </c>
      <c r="AG101" s="65">
        <v>1151.2</v>
      </c>
      <c r="AH101" s="65">
        <v>116481561</v>
      </c>
      <c r="AI101" s="65">
        <v>7941470</v>
      </c>
      <c r="AJ101" s="65">
        <v>264715.6667</v>
      </c>
      <c r="AK101" s="71">
        <v>6.8000000000000005E-2</v>
      </c>
      <c r="AL101" s="71"/>
    </row>
    <row r="102" spans="5:38" x14ac:dyDescent="0.2">
      <c r="E102" s="125"/>
      <c r="H102" s="65">
        <v>1084</v>
      </c>
      <c r="I102" s="65" t="s">
        <v>1237</v>
      </c>
      <c r="J102" s="65">
        <v>0</v>
      </c>
      <c r="K102" s="65">
        <v>4500</v>
      </c>
      <c r="O102" s="86" t="s">
        <v>641</v>
      </c>
      <c r="P102" s="83" t="s">
        <v>642</v>
      </c>
      <c r="Q102" s="80">
        <f t="shared" si="6"/>
        <v>2</v>
      </c>
      <c r="R102" s="80" t="str">
        <f t="shared" si="7"/>
        <v>NO</v>
      </c>
      <c r="S102" s="97">
        <f t="shared" si="8"/>
        <v>2</v>
      </c>
      <c r="T102" s="80">
        <f t="shared" si="9"/>
        <v>44091.666669999999</v>
      </c>
      <c r="U102" s="98">
        <f t="shared" si="10"/>
        <v>0.01</v>
      </c>
      <c r="V102" s="65" t="s">
        <v>352</v>
      </c>
      <c r="Y102" s="65" t="s">
        <v>1341</v>
      </c>
      <c r="Z102" s="65" t="s">
        <v>528</v>
      </c>
      <c r="AA102" s="65" t="s">
        <v>1343</v>
      </c>
      <c r="AB102" s="65">
        <f>VLOOKUP(Z102,SABANA!$B$1:$AY$479,27,0)</f>
        <v>6</v>
      </c>
      <c r="AC102" s="65" t="str">
        <f>VLOOKUP(Z102,SABANA!$B$1:$AY$479,48,0)</f>
        <v>NO</v>
      </c>
      <c r="AD102" s="65">
        <f>VLOOKUP(Z102,SABANA!$B$1:$AY$479,41,0)</f>
        <v>2</v>
      </c>
      <c r="AE102" s="65">
        <v>6</v>
      </c>
      <c r="AF102" s="65">
        <v>86595</v>
      </c>
      <c r="AG102" s="65">
        <v>2886.5</v>
      </c>
      <c r="AH102" s="65">
        <v>294614004</v>
      </c>
      <c r="AI102" s="65">
        <v>16142500</v>
      </c>
      <c r="AJ102" s="65">
        <v>538083.33330000006</v>
      </c>
      <c r="AK102" s="71">
        <v>5.5E-2</v>
      </c>
      <c r="AL102" s="71"/>
    </row>
    <row r="103" spans="5:38" x14ac:dyDescent="0.2">
      <c r="E103" s="125"/>
      <c r="H103" s="65">
        <v>1085</v>
      </c>
      <c r="I103" s="65" t="s">
        <v>310</v>
      </c>
      <c r="J103" s="65">
        <v>299250</v>
      </c>
      <c r="K103" s="65">
        <v>187856.41</v>
      </c>
      <c r="O103" s="86" t="s">
        <v>649</v>
      </c>
      <c r="P103" s="83" t="s">
        <v>650</v>
      </c>
      <c r="Q103" s="80">
        <f t="shared" si="6"/>
        <v>2</v>
      </c>
      <c r="R103" s="80" t="str">
        <f t="shared" si="7"/>
        <v>NO</v>
      </c>
      <c r="S103" s="97">
        <f t="shared" si="8"/>
        <v>2</v>
      </c>
      <c r="T103" s="80">
        <f t="shared" si="9"/>
        <v>92505</v>
      </c>
      <c r="U103" s="98">
        <f t="shared" si="10"/>
        <v>1.7999999999999999E-2</v>
      </c>
      <c r="V103" s="65" t="s">
        <v>352</v>
      </c>
      <c r="Y103" s="65" t="s">
        <v>1341</v>
      </c>
      <c r="Z103" s="65" t="s">
        <v>697</v>
      </c>
      <c r="AA103" s="65" t="s">
        <v>1344</v>
      </c>
      <c r="AB103" s="65">
        <f>VLOOKUP(Z103,SABANA!$B$1:$AY$479,27,0)</f>
        <v>2</v>
      </c>
      <c r="AC103" s="65" t="str">
        <f>VLOOKUP(Z103,SABANA!$B$1:$AY$479,48,0)</f>
        <v>NO</v>
      </c>
      <c r="AD103" s="65">
        <f>VLOOKUP(Z103,SABANA!$B$1:$AY$479,41,0)</f>
        <v>2</v>
      </c>
      <c r="AE103" s="65">
        <v>6</v>
      </c>
      <c r="AF103" s="65">
        <v>61747</v>
      </c>
      <c r="AG103" s="65">
        <v>2058.2333330000001</v>
      </c>
      <c r="AH103" s="65">
        <v>184214513</v>
      </c>
      <c r="AI103" s="65">
        <v>5060690</v>
      </c>
      <c r="AJ103" s="65">
        <v>168689.6667</v>
      </c>
      <c r="AK103" s="71">
        <v>2.7E-2</v>
      </c>
      <c r="AL103" s="71"/>
    </row>
    <row r="104" spans="5:38" x14ac:dyDescent="0.2">
      <c r="E104" s="125"/>
      <c r="H104" s="65">
        <v>1156</v>
      </c>
      <c r="I104" s="65" t="s">
        <v>305</v>
      </c>
      <c r="J104" s="65">
        <v>0</v>
      </c>
      <c r="K104" s="65">
        <v>0</v>
      </c>
      <c r="O104" s="86" t="s">
        <v>1207</v>
      </c>
      <c r="P104" s="83" t="s">
        <v>1208</v>
      </c>
      <c r="Q104" s="80">
        <f t="shared" si="6"/>
        <v>3</v>
      </c>
      <c r="R104" s="80" t="str">
        <f t="shared" si="7"/>
        <v>NO</v>
      </c>
      <c r="S104" s="97">
        <f t="shared" si="8"/>
        <v>2</v>
      </c>
      <c r="T104" s="80">
        <f t="shared" si="9"/>
        <v>90127</v>
      </c>
      <c r="U104" s="98">
        <f t="shared" si="10"/>
        <v>1.7999999999999999E-2</v>
      </c>
      <c r="V104" s="65" t="s">
        <v>355</v>
      </c>
      <c r="Y104" s="65" t="s">
        <v>1341</v>
      </c>
      <c r="Z104" s="65" t="s">
        <v>705</v>
      </c>
      <c r="AA104" s="65" t="s">
        <v>706</v>
      </c>
      <c r="AB104" s="65">
        <f>VLOOKUP(Z104,SABANA!$B$1:$AY$479,27,0)</f>
        <v>3</v>
      </c>
      <c r="AC104" s="65" t="str">
        <f>VLOOKUP(Z104,SABANA!$B$1:$AY$479,48,0)</f>
        <v>NO</v>
      </c>
      <c r="AD104" s="65">
        <f>VLOOKUP(Z104,SABANA!$B$1:$AY$479,41,0)</f>
        <v>2</v>
      </c>
      <c r="AE104" s="65">
        <v>6</v>
      </c>
      <c r="AF104" s="65">
        <v>57800</v>
      </c>
      <c r="AG104" s="65">
        <v>1926.666667</v>
      </c>
      <c r="AH104" s="65">
        <v>180975506</v>
      </c>
      <c r="AI104" s="65">
        <v>7431410</v>
      </c>
      <c r="AJ104" s="65">
        <v>247713.6667</v>
      </c>
      <c r="AK104" s="71">
        <v>4.1000000000000002E-2</v>
      </c>
      <c r="AL104" s="71"/>
    </row>
    <row r="105" spans="5:38" x14ac:dyDescent="0.2">
      <c r="E105" s="125"/>
      <c r="H105" s="65">
        <v>1210</v>
      </c>
      <c r="I105" s="65" t="s">
        <v>245</v>
      </c>
      <c r="J105" s="65">
        <v>6292800</v>
      </c>
      <c r="K105" s="65">
        <v>2624081.2400000002</v>
      </c>
      <c r="O105" s="86" t="s">
        <v>629</v>
      </c>
      <c r="P105" s="83" t="s">
        <v>630</v>
      </c>
      <c r="Q105" s="80">
        <f t="shared" si="6"/>
        <v>2</v>
      </c>
      <c r="R105" s="80" t="str">
        <f t="shared" si="7"/>
        <v>NO</v>
      </c>
      <c r="S105" s="97">
        <f t="shared" si="8"/>
        <v>2</v>
      </c>
      <c r="T105" s="80">
        <f t="shared" si="9"/>
        <v>88250.666670000006</v>
      </c>
      <c r="U105" s="98">
        <f t="shared" si="10"/>
        <v>1.4E-2</v>
      </c>
      <c r="V105" s="65" t="s">
        <v>352</v>
      </c>
      <c r="Y105" s="65" t="s">
        <v>1341</v>
      </c>
      <c r="Z105" s="65" t="s">
        <v>531</v>
      </c>
      <c r="AA105" s="65" t="s">
        <v>532</v>
      </c>
      <c r="AB105" s="65">
        <f>VLOOKUP(Z105,SABANA!$B$1:$AY$479,27,0)</f>
        <v>4</v>
      </c>
      <c r="AC105" s="65" t="str">
        <f>VLOOKUP(Z105,SABANA!$B$1:$AY$479,48,0)</f>
        <v>SI</v>
      </c>
      <c r="AD105" s="65">
        <f>VLOOKUP(Z105,SABANA!$B$1:$AY$479,41,0)</f>
        <v>4</v>
      </c>
      <c r="AE105" s="65">
        <v>6</v>
      </c>
      <c r="AF105" s="65">
        <v>56985</v>
      </c>
      <c r="AG105" s="65">
        <v>1899.5</v>
      </c>
      <c r="AH105" s="65">
        <v>207367570</v>
      </c>
      <c r="AI105" s="65">
        <v>17558340</v>
      </c>
      <c r="AJ105" s="65">
        <v>585278</v>
      </c>
      <c r="AK105" s="71">
        <v>8.5000000000000006E-2</v>
      </c>
      <c r="AL105" s="71"/>
    </row>
    <row r="106" spans="5:38" x14ac:dyDescent="0.2">
      <c r="E106" s="125"/>
      <c r="H106" s="65">
        <v>1510</v>
      </c>
      <c r="I106" s="65" t="s">
        <v>313</v>
      </c>
      <c r="J106" s="65">
        <v>5618780</v>
      </c>
      <c r="K106" s="65">
        <v>486124.19</v>
      </c>
      <c r="O106" s="86" t="s">
        <v>850</v>
      </c>
      <c r="P106" s="83" t="s">
        <v>851</v>
      </c>
      <c r="Q106" s="80">
        <f t="shared" si="6"/>
        <v>2</v>
      </c>
      <c r="R106" s="80" t="str">
        <f t="shared" si="7"/>
        <v>NO</v>
      </c>
      <c r="S106" s="97">
        <f t="shared" si="8"/>
        <v>1</v>
      </c>
      <c r="T106" s="80">
        <f t="shared" si="9"/>
        <v>80932.333329999994</v>
      </c>
      <c r="U106" s="98">
        <f t="shared" si="10"/>
        <v>1.2E-2</v>
      </c>
      <c r="V106" s="65" t="s">
        <v>352</v>
      </c>
      <c r="Y106" s="65" t="s">
        <v>1341</v>
      </c>
      <c r="Z106" s="65" t="s">
        <v>534</v>
      </c>
      <c r="AA106" s="65" t="s">
        <v>535</v>
      </c>
      <c r="AB106" s="65">
        <f>VLOOKUP(Z106,SABANA!$B$1:$AY$479,27,0)</f>
        <v>2</v>
      </c>
      <c r="AC106" s="65" t="str">
        <f>VLOOKUP(Z106,SABANA!$B$1:$AY$479,48,0)</f>
        <v>NO</v>
      </c>
      <c r="AD106" s="65">
        <f>VLOOKUP(Z106,SABANA!$B$1:$AY$479,41,0)</f>
        <v>2</v>
      </c>
      <c r="AE106" s="65">
        <v>6</v>
      </c>
      <c r="AF106" s="65">
        <v>86353</v>
      </c>
      <c r="AG106" s="65">
        <v>2878.4333329999999</v>
      </c>
      <c r="AH106" s="65">
        <v>277278860</v>
      </c>
      <c r="AI106" s="65">
        <v>14185070</v>
      </c>
      <c r="AJ106" s="65">
        <v>472835.6667</v>
      </c>
      <c r="AK106" s="71">
        <v>5.0999999999999997E-2</v>
      </c>
      <c r="AL106" s="71"/>
    </row>
    <row r="107" spans="5:38" x14ac:dyDescent="0.2">
      <c r="E107" s="125"/>
      <c r="H107" s="65">
        <v>154</v>
      </c>
      <c r="I107" s="65" t="s">
        <v>1287</v>
      </c>
      <c r="J107" s="65">
        <v>0</v>
      </c>
      <c r="K107" s="65">
        <v>30311.05</v>
      </c>
      <c r="O107" s="86" t="s">
        <v>852</v>
      </c>
      <c r="P107" s="83" t="s">
        <v>853</v>
      </c>
      <c r="Q107" s="80">
        <f t="shared" si="6"/>
        <v>3</v>
      </c>
      <c r="R107" s="80" t="str">
        <f t="shared" si="7"/>
        <v>NO</v>
      </c>
      <c r="S107" s="97">
        <f t="shared" si="8"/>
        <v>2</v>
      </c>
      <c r="T107" s="80">
        <f t="shared" si="9"/>
        <v>125367.6667</v>
      </c>
      <c r="U107" s="98">
        <f t="shared" si="10"/>
        <v>2.4E-2</v>
      </c>
      <c r="V107" s="65" t="s">
        <v>355</v>
      </c>
      <c r="Y107" s="65" t="s">
        <v>1341</v>
      </c>
      <c r="Z107" s="65" t="s">
        <v>495</v>
      </c>
      <c r="AA107" s="65" t="s">
        <v>1345</v>
      </c>
      <c r="AB107" s="65">
        <f>VLOOKUP(Z107,SABANA!$B$1:$AY$479,27,0)</f>
        <v>2</v>
      </c>
      <c r="AC107" s="65" t="str">
        <f>VLOOKUP(Z107,SABANA!$B$1:$AY$479,48,0)</f>
        <v>NO</v>
      </c>
      <c r="AD107" s="65">
        <f>VLOOKUP(Z107,SABANA!$B$1:$AY$479,41,0)</f>
        <v>2</v>
      </c>
      <c r="AE107" s="65">
        <v>6</v>
      </c>
      <c r="AF107" s="65">
        <v>64921</v>
      </c>
      <c r="AG107" s="65">
        <v>2164.0333329999999</v>
      </c>
      <c r="AH107" s="65">
        <v>208739712</v>
      </c>
      <c r="AI107" s="65">
        <v>8400320</v>
      </c>
      <c r="AJ107" s="65">
        <v>280010.6667</v>
      </c>
      <c r="AK107" s="71">
        <v>0.04</v>
      </c>
      <c r="AL107" s="71"/>
    </row>
    <row r="108" spans="5:38" x14ac:dyDescent="0.2">
      <c r="E108" s="125"/>
      <c r="H108" s="65">
        <v>155</v>
      </c>
      <c r="I108" s="65" t="s">
        <v>234</v>
      </c>
      <c r="J108" s="65">
        <v>5986120</v>
      </c>
      <c r="K108" s="65">
        <v>161213.59</v>
      </c>
      <c r="O108" s="86" t="s">
        <v>617</v>
      </c>
      <c r="P108" s="83" t="s">
        <v>618</v>
      </c>
      <c r="Q108" s="80">
        <f t="shared" si="6"/>
        <v>3</v>
      </c>
      <c r="R108" s="80" t="str">
        <f t="shared" si="7"/>
        <v>NO</v>
      </c>
      <c r="S108" s="97">
        <f t="shared" si="8"/>
        <v>1</v>
      </c>
      <c r="T108" s="80">
        <f t="shared" si="9"/>
        <v>121646.6667</v>
      </c>
      <c r="U108" s="98">
        <f t="shared" si="10"/>
        <v>2.1999999999999999E-2</v>
      </c>
      <c r="V108" s="65" t="s">
        <v>352</v>
      </c>
      <c r="Y108" s="65" t="s">
        <v>1341</v>
      </c>
      <c r="Z108" s="65" t="s">
        <v>497</v>
      </c>
      <c r="AA108" s="65" t="s">
        <v>498</v>
      </c>
      <c r="AB108" s="65">
        <f>VLOOKUP(Z108,SABANA!$B$1:$AY$479,27,0)</f>
        <v>3</v>
      </c>
      <c r="AC108" s="65" t="str">
        <f>VLOOKUP(Z108,SABANA!$B$1:$AY$479,48,0)</f>
        <v>NO</v>
      </c>
      <c r="AD108" s="65">
        <f>VLOOKUP(Z108,SABANA!$B$1:$AY$479,41,0)</f>
        <v>2</v>
      </c>
      <c r="AE108" s="65">
        <v>6</v>
      </c>
      <c r="AF108" s="65">
        <v>66093</v>
      </c>
      <c r="AG108" s="65">
        <v>2203.1</v>
      </c>
      <c r="AH108" s="65">
        <v>210726860</v>
      </c>
      <c r="AI108" s="65">
        <v>8989810</v>
      </c>
      <c r="AJ108" s="65">
        <v>299660.3333</v>
      </c>
      <c r="AK108" s="71">
        <v>4.2999999999999997E-2</v>
      </c>
      <c r="AL108" s="71"/>
    </row>
    <row r="109" spans="5:38" x14ac:dyDescent="0.2">
      <c r="E109" s="125"/>
      <c r="H109" s="65">
        <v>1559</v>
      </c>
      <c r="I109" s="65" t="s">
        <v>1268</v>
      </c>
      <c r="J109" s="65">
        <v>21650</v>
      </c>
      <c r="K109" s="65">
        <v>-24190.68</v>
      </c>
      <c r="O109" s="86" t="s">
        <v>774</v>
      </c>
      <c r="P109" s="83" t="s">
        <v>775</v>
      </c>
      <c r="Q109" s="80">
        <f t="shared" si="6"/>
        <v>2</v>
      </c>
      <c r="R109" s="80" t="str">
        <f t="shared" si="7"/>
        <v>NO</v>
      </c>
      <c r="S109" s="97">
        <f t="shared" si="8"/>
        <v>2</v>
      </c>
      <c r="T109" s="80">
        <f t="shared" si="9"/>
        <v>113607.3333</v>
      </c>
      <c r="U109" s="98">
        <f t="shared" si="10"/>
        <v>1.2999999999999999E-2</v>
      </c>
      <c r="V109" s="65" t="s">
        <v>352</v>
      </c>
      <c r="Y109" s="65" t="s">
        <v>1341</v>
      </c>
      <c r="Z109" s="65" t="s">
        <v>499</v>
      </c>
      <c r="AA109" s="65" t="s">
        <v>500</v>
      </c>
      <c r="AB109" s="65">
        <f>VLOOKUP(Z109,SABANA!$B$1:$AY$479,27,0)</f>
        <v>2</v>
      </c>
      <c r="AC109" s="65" t="str">
        <f>VLOOKUP(Z109,SABANA!$B$1:$AY$479,48,0)</f>
        <v>NO</v>
      </c>
      <c r="AD109" s="65">
        <f>VLOOKUP(Z109,SABANA!$B$1:$AY$479,41,0)</f>
        <v>2</v>
      </c>
      <c r="AE109" s="65">
        <v>6</v>
      </c>
      <c r="AF109" s="65">
        <v>74286</v>
      </c>
      <c r="AG109" s="65">
        <v>2476.1999999999998</v>
      </c>
      <c r="AH109" s="65">
        <v>226489458</v>
      </c>
      <c r="AI109" s="65">
        <v>11128640</v>
      </c>
      <c r="AJ109" s="65">
        <v>370954.6667</v>
      </c>
      <c r="AK109" s="71">
        <v>4.9000000000000002E-2</v>
      </c>
      <c r="AL109" s="71"/>
    </row>
    <row r="110" spans="5:38" x14ac:dyDescent="0.2">
      <c r="E110" s="125"/>
      <c r="H110" s="65">
        <v>1560</v>
      </c>
      <c r="I110" s="65" t="s">
        <v>1269</v>
      </c>
      <c r="J110" s="65">
        <v>5200</v>
      </c>
      <c r="K110" s="65">
        <v>-9458.48</v>
      </c>
      <c r="O110" s="86" t="s">
        <v>643</v>
      </c>
      <c r="P110" s="83" t="s">
        <v>644</v>
      </c>
      <c r="Q110" s="80">
        <f t="shared" si="6"/>
        <v>2</v>
      </c>
      <c r="R110" s="80" t="str">
        <f t="shared" si="7"/>
        <v>NO</v>
      </c>
      <c r="S110" s="97">
        <f t="shared" si="8"/>
        <v>2</v>
      </c>
      <c r="T110" s="80">
        <f t="shared" si="9"/>
        <v>77033.666670000006</v>
      </c>
      <c r="U110" s="98">
        <f t="shared" si="10"/>
        <v>1.0999999999999999E-2</v>
      </c>
      <c r="V110" s="65" t="s">
        <v>352</v>
      </c>
      <c r="Y110" s="65" t="s">
        <v>1341</v>
      </c>
      <c r="Z110" s="65" t="s">
        <v>537</v>
      </c>
      <c r="AA110" s="65" t="s">
        <v>538</v>
      </c>
      <c r="AB110" s="65">
        <f>VLOOKUP(Z110,SABANA!$B$1:$AY$479,27,0)</f>
        <v>5</v>
      </c>
      <c r="AC110" s="65" t="str">
        <f>VLOOKUP(Z110,SABANA!$B$1:$AY$479,48,0)</f>
        <v>NO</v>
      </c>
      <c r="AD110" s="65">
        <f>VLOOKUP(Z110,SABANA!$B$1:$AY$479,41,0)</f>
        <v>2</v>
      </c>
      <c r="AE110" s="65">
        <v>6</v>
      </c>
      <c r="AF110" s="65">
        <v>79241</v>
      </c>
      <c r="AG110" s="65">
        <v>2641.3666669999998</v>
      </c>
      <c r="AH110" s="65">
        <v>214932074</v>
      </c>
      <c r="AI110" s="65">
        <v>6636390</v>
      </c>
      <c r="AJ110" s="65">
        <v>221213</v>
      </c>
      <c r="AK110" s="71">
        <v>3.1E-2</v>
      </c>
      <c r="AL110" s="71"/>
    </row>
    <row r="111" spans="5:38" x14ac:dyDescent="0.2">
      <c r="E111" s="125"/>
      <c r="H111" s="65">
        <v>1561</v>
      </c>
      <c r="I111" s="65" t="s">
        <v>224</v>
      </c>
      <c r="J111" s="65">
        <v>5053320</v>
      </c>
      <c r="K111" s="65">
        <v>1074733.3400000001</v>
      </c>
      <c r="O111" s="86" t="s">
        <v>619</v>
      </c>
      <c r="P111" s="83" t="s">
        <v>620</v>
      </c>
      <c r="Q111" s="80">
        <f t="shared" si="6"/>
        <v>2</v>
      </c>
      <c r="R111" s="80" t="str">
        <f t="shared" si="7"/>
        <v>NO</v>
      </c>
      <c r="S111" s="97">
        <f t="shared" si="8"/>
        <v>1</v>
      </c>
      <c r="T111" s="80">
        <f t="shared" si="9"/>
        <v>106846.3333</v>
      </c>
      <c r="U111" s="98">
        <f t="shared" si="10"/>
        <v>1.4999999999999999E-2</v>
      </c>
      <c r="V111" s="65" t="s">
        <v>352</v>
      </c>
      <c r="Y111" s="65" t="s">
        <v>1341</v>
      </c>
      <c r="Z111" s="65" t="s">
        <v>792</v>
      </c>
      <c r="AA111" s="65" t="s">
        <v>1346</v>
      </c>
      <c r="AB111" s="65">
        <f>VLOOKUP(Z111,SABANA!$B$1:$AY$479,27,0)</f>
        <v>3</v>
      </c>
      <c r="AC111" s="65" t="str">
        <f>VLOOKUP(Z111,SABANA!$B$1:$AY$479,48,0)</f>
        <v>SI</v>
      </c>
      <c r="AD111" s="65">
        <f>VLOOKUP(Z111,SABANA!$B$1:$AY$479,41,0)</f>
        <v>2</v>
      </c>
      <c r="AE111" s="65">
        <v>6</v>
      </c>
      <c r="AF111" s="65">
        <v>117753</v>
      </c>
      <c r="AG111" s="65">
        <v>3925.1</v>
      </c>
      <c r="AH111" s="65">
        <v>399026499</v>
      </c>
      <c r="AI111" s="65">
        <v>18409800</v>
      </c>
      <c r="AJ111" s="65">
        <v>613660</v>
      </c>
      <c r="AK111" s="71">
        <v>4.5999999999999999E-2</v>
      </c>
      <c r="AL111" s="71"/>
    </row>
    <row r="112" spans="5:38" x14ac:dyDescent="0.2">
      <c r="E112" s="125"/>
      <c r="H112" s="65">
        <v>157</v>
      </c>
      <c r="I112" s="65" t="s">
        <v>240</v>
      </c>
      <c r="J112" s="65">
        <v>9031730</v>
      </c>
      <c r="K112" s="65">
        <v>490300.95</v>
      </c>
      <c r="O112" s="86" t="s">
        <v>651</v>
      </c>
      <c r="P112" s="83" t="s">
        <v>1226</v>
      </c>
      <c r="Q112" s="80">
        <f t="shared" si="6"/>
        <v>3</v>
      </c>
      <c r="R112" s="80" t="str">
        <f t="shared" si="7"/>
        <v>NO</v>
      </c>
      <c r="S112" s="97">
        <f t="shared" si="8"/>
        <v>2</v>
      </c>
      <c r="T112" s="80">
        <f t="shared" si="9"/>
        <v>83808.333329999994</v>
      </c>
      <c r="U112" s="98">
        <f t="shared" si="10"/>
        <v>8.0000000000000002E-3</v>
      </c>
      <c r="V112" s="65" t="s">
        <v>352</v>
      </c>
      <c r="Y112" s="65" t="s">
        <v>1341</v>
      </c>
      <c r="Z112" s="65" t="s">
        <v>540</v>
      </c>
      <c r="AA112" s="65" t="s">
        <v>1347</v>
      </c>
      <c r="AB112" s="65">
        <f>VLOOKUP(Z112,SABANA!$B$1:$AY$479,27,0)</f>
        <v>4</v>
      </c>
      <c r="AC112" s="65" t="str">
        <f>VLOOKUP(Z112,SABANA!$B$1:$AY$479,48,0)</f>
        <v>NO</v>
      </c>
      <c r="AD112" s="65">
        <f>VLOOKUP(Z112,SABANA!$B$1:$AY$479,41,0)</f>
        <v>3</v>
      </c>
      <c r="AE112" s="65">
        <v>6</v>
      </c>
      <c r="AF112" s="65">
        <v>47765</v>
      </c>
      <c r="AG112" s="65">
        <v>1592.166667</v>
      </c>
      <c r="AH112" s="65">
        <v>144286304</v>
      </c>
      <c r="AI112" s="65">
        <v>5883350</v>
      </c>
      <c r="AJ112" s="65">
        <v>196111.6667</v>
      </c>
      <c r="AK112" s="71">
        <v>4.1000000000000002E-2</v>
      </c>
      <c r="AL112" s="71"/>
    </row>
    <row r="113" spans="5:38" x14ac:dyDescent="0.2">
      <c r="E113" s="125"/>
      <c r="H113" s="65">
        <v>1601</v>
      </c>
      <c r="I113" s="65" t="s">
        <v>299</v>
      </c>
      <c r="J113" s="65">
        <v>5372520</v>
      </c>
      <c r="K113" s="65">
        <v>651235.67000000004</v>
      </c>
      <c r="O113" s="86" t="s">
        <v>653</v>
      </c>
      <c r="P113" s="83" t="s">
        <v>654</v>
      </c>
      <c r="Q113" s="80">
        <f t="shared" si="6"/>
        <v>2</v>
      </c>
      <c r="R113" s="80" t="str">
        <f t="shared" si="7"/>
        <v>NO</v>
      </c>
      <c r="S113" s="97">
        <f t="shared" si="8"/>
        <v>2</v>
      </c>
      <c r="T113" s="80">
        <f t="shared" si="9"/>
        <v>92037</v>
      </c>
      <c r="U113" s="98">
        <f t="shared" si="10"/>
        <v>1.6E-2</v>
      </c>
      <c r="V113" s="65" t="s">
        <v>352</v>
      </c>
      <c r="Y113" s="65" t="s">
        <v>1341</v>
      </c>
      <c r="Z113" s="65" t="s">
        <v>501</v>
      </c>
      <c r="AA113" s="65" t="s">
        <v>1348</v>
      </c>
      <c r="AB113" s="65">
        <f>VLOOKUP(Z113,SABANA!$B$1:$AY$479,27,0)</f>
        <v>3</v>
      </c>
      <c r="AC113" s="65" t="str">
        <f>VLOOKUP(Z113,SABANA!$B$1:$AY$479,48,0)</f>
        <v>NO</v>
      </c>
      <c r="AD113" s="65">
        <f>VLOOKUP(Z113,SABANA!$B$1:$AY$479,41,0)</f>
        <v>2</v>
      </c>
      <c r="AE113" s="65">
        <v>6</v>
      </c>
      <c r="AF113" s="65">
        <v>46639</v>
      </c>
      <c r="AG113" s="65">
        <v>1554.633333</v>
      </c>
      <c r="AH113" s="65">
        <v>151146270</v>
      </c>
      <c r="AI113" s="65">
        <v>5553430</v>
      </c>
      <c r="AJ113" s="65">
        <v>185114.3333</v>
      </c>
      <c r="AK113" s="71">
        <v>3.6999999999999998E-2</v>
      </c>
      <c r="AL113" s="71"/>
    </row>
    <row r="114" spans="5:38" x14ac:dyDescent="0.2">
      <c r="E114" s="125"/>
      <c r="H114" s="65">
        <v>1623</v>
      </c>
      <c r="I114" s="65" t="s">
        <v>293</v>
      </c>
      <c r="J114" s="65">
        <v>417500</v>
      </c>
      <c r="K114" s="65">
        <v>97925.78</v>
      </c>
      <c r="O114" s="86" t="s">
        <v>760</v>
      </c>
      <c r="P114" s="83" t="s">
        <v>761</v>
      </c>
      <c r="Q114" s="80">
        <f t="shared" si="6"/>
        <v>3</v>
      </c>
      <c r="R114" s="80" t="str">
        <f t="shared" si="7"/>
        <v>NO</v>
      </c>
      <c r="S114" s="97">
        <f t="shared" si="8"/>
        <v>2</v>
      </c>
      <c r="T114" s="80">
        <f t="shared" si="9"/>
        <v>79659</v>
      </c>
      <c r="U114" s="98">
        <f t="shared" si="10"/>
        <v>1.2E-2</v>
      </c>
      <c r="V114" s="65" t="s">
        <v>352</v>
      </c>
      <c r="Y114" s="65" t="s">
        <v>1341</v>
      </c>
      <c r="Z114" s="65" t="s">
        <v>543</v>
      </c>
      <c r="AA114" s="65" t="s">
        <v>544</v>
      </c>
      <c r="AB114" s="65">
        <f>VLOOKUP(Z114,SABANA!$B$1:$AY$479,27,0)</f>
        <v>4</v>
      </c>
      <c r="AC114" s="65" t="str">
        <f>VLOOKUP(Z114,SABANA!$B$1:$AY$479,48,0)</f>
        <v>SI</v>
      </c>
      <c r="AD114" s="65">
        <f>VLOOKUP(Z114,SABANA!$B$1:$AY$479,41,0)</f>
        <v>2</v>
      </c>
      <c r="AE114" s="65">
        <v>6</v>
      </c>
      <c r="AF114" s="65">
        <v>68541</v>
      </c>
      <c r="AG114" s="65">
        <v>2284.6999999999998</v>
      </c>
      <c r="AH114" s="65">
        <v>237966605</v>
      </c>
      <c r="AI114" s="65">
        <v>21846430</v>
      </c>
      <c r="AJ114" s="65">
        <v>728214.33330000006</v>
      </c>
      <c r="AK114" s="71">
        <v>9.1999999999999998E-2</v>
      </c>
      <c r="AL114" s="71"/>
    </row>
    <row r="115" spans="5:38" x14ac:dyDescent="0.2">
      <c r="E115" s="125"/>
      <c r="H115" s="65">
        <v>1632</v>
      </c>
      <c r="I115" s="65" t="s">
        <v>1276</v>
      </c>
      <c r="J115" s="65">
        <v>490</v>
      </c>
      <c r="K115" s="65">
        <v>-500</v>
      </c>
      <c r="O115" s="86" t="s">
        <v>631</v>
      </c>
      <c r="P115" s="83" t="s">
        <v>632</v>
      </c>
      <c r="Q115" s="80">
        <f t="shared" si="6"/>
        <v>3</v>
      </c>
      <c r="R115" s="80" t="str">
        <f t="shared" si="7"/>
        <v>NO</v>
      </c>
      <c r="S115" s="97">
        <f t="shared" si="8"/>
        <v>1</v>
      </c>
      <c r="T115" s="80">
        <f t="shared" si="9"/>
        <v>79749</v>
      </c>
      <c r="U115" s="98">
        <f t="shared" si="10"/>
        <v>1.2999999999999999E-2</v>
      </c>
      <c r="V115" s="65" t="s">
        <v>352</v>
      </c>
      <c r="Y115" s="65" t="s">
        <v>1341</v>
      </c>
      <c r="Z115" s="65" t="s">
        <v>1013</v>
      </c>
      <c r="AA115" s="65" t="s">
        <v>1014</v>
      </c>
      <c r="AB115" s="65">
        <f>VLOOKUP(Z115,SABANA!$B$1:$AY$479,27,0)</f>
        <v>3</v>
      </c>
      <c r="AC115" s="65" t="str">
        <f>VLOOKUP(Z115,SABANA!$B$1:$AY$479,48,0)</f>
        <v>NO</v>
      </c>
      <c r="AD115" s="65">
        <f>VLOOKUP(Z115,SABANA!$B$1:$AY$479,41,0)</f>
        <v>2</v>
      </c>
      <c r="AE115" s="65">
        <v>6</v>
      </c>
      <c r="AF115" s="65">
        <v>23668</v>
      </c>
      <c r="AG115" s="65">
        <v>788.93333329999996</v>
      </c>
      <c r="AH115" s="65">
        <v>73050304</v>
      </c>
      <c r="AI115" s="65">
        <v>1633740</v>
      </c>
      <c r="AJ115" s="65">
        <v>54458</v>
      </c>
      <c r="AK115" s="71">
        <v>2.1999999999999999E-2</v>
      </c>
      <c r="AL115" s="71"/>
    </row>
    <row r="116" spans="5:38" x14ac:dyDescent="0.2">
      <c r="E116" s="125"/>
      <c r="H116" s="65">
        <v>1633</v>
      </c>
      <c r="I116" s="65" t="s">
        <v>1272</v>
      </c>
      <c r="J116" s="65">
        <v>0</v>
      </c>
      <c r="K116" s="65">
        <v>0</v>
      </c>
      <c r="O116" s="86" t="s">
        <v>838</v>
      </c>
      <c r="P116" s="83" t="s">
        <v>839</v>
      </c>
      <c r="Q116" s="80">
        <f t="shared" si="6"/>
        <v>2</v>
      </c>
      <c r="R116" s="80" t="str">
        <f t="shared" si="7"/>
        <v>NO</v>
      </c>
      <c r="S116" s="97">
        <f t="shared" si="8"/>
        <v>2</v>
      </c>
      <c r="T116" s="80">
        <f t="shared" si="9"/>
        <v>54773</v>
      </c>
      <c r="U116" s="98">
        <f t="shared" si="10"/>
        <v>0.01</v>
      </c>
      <c r="V116" s="65" t="s">
        <v>352</v>
      </c>
      <c r="Y116" s="65" t="s">
        <v>1341</v>
      </c>
      <c r="Z116" s="65" t="s">
        <v>707</v>
      </c>
      <c r="AA116" s="65" t="s">
        <v>708</v>
      </c>
      <c r="AB116" s="65">
        <f>VLOOKUP(Z116,SABANA!$B$1:$AY$479,27,0)</f>
        <v>2</v>
      </c>
      <c r="AC116" s="65" t="str">
        <f>VLOOKUP(Z116,SABANA!$B$1:$AY$479,48,0)</f>
        <v>NO</v>
      </c>
      <c r="AD116" s="65">
        <f>VLOOKUP(Z116,SABANA!$B$1:$AY$479,41,0)</f>
        <v>3</v>
      </c>
      <c r="AE116" s="65">
        <v>6</v>
      </c>
      <c r="AF116" s="65">
        <v>47869</v>
      </c>
      <c r="AG116" s="65">
        <v>1595.633333</v>
      </c>
      <c r="AH116" s="65">
        <v>156134271</v>
      </c>
      <c r="AI116" s="65">
        <v>5749760</v>
      </c>
      <c r="AJ116" s="65">
        <v>191658.6667</v>
      </c>
      <c r="AK116" s="71">
        <v>3.6999999999999998E-2</v>
      </c>
      <c r="AL116" s="71"/>
    </row>
    <row r="117" spans="5:38" x14ac:dyDescent="0.2">
      <c r="E117" s="125"/>
      <c r="H117" s="65">
        <v>1671</v>
      </c>
      <c r="I117" s="65" t="s">
        <v>277</v>
      </c>
      <c r="J117" s="65">
        <v>8003000</v>
      </c>
      <c r="K117" s="65">
        <v>1436150.31</v>
      </c>
      <c r="O117" s="86" t="s">
        <v>645</v>
      </c>
      <c r="P117" s="83" t="s">
        <v>1227</v>
      </c>
      <c r="Q117" s="80">
        <f t="shared" si="6"/>
        <v>3</v>
      </c>
      <c r="R117" s="80" t="str">
        <f t="shared" si="7"/>
        <v>NO</v>
      </c>
      <c r="S117" s="97">
        <f t="shared" si="8"/>
        <v>1</v>
      </c>
      <c r="T117" s="80">
        <f t="shared" si="9"/>
        <v>51463.666669999999</v>
      </c>
      <c r="U117" s="98">
        <f t="shared" si="10"/>
        <v>6.0000000000000001E-3</v>
      </c>
      <c r="V117" s="65" t="s">
        <v>352</v>
      </c>
      <c r="Y117" s="65" t="s">
        <v>1341</v>
      </c>
      <c r="Z117" s="65" t="s">
        <v>709</v>
      </c>
      <c r="AA117" s="65" t="s">
        <v>710</v>
      </c>
      <c r="AB117" s="65">
        <f>VLOOKUP(Z117,SABANA!$B$1:$AY$479,27,0)</f>
        <v>3</v>
      </c>
      <c r="AC117" s="65" t="str">
        <f>VLOOKUP(Z117,SABANA!$B$1:$AY$479,48,0)</f>
        <v>NO</v>
      </c>
      <c r="AD117" s="65">
        <f>VLOOKUP(Z117,SABANA!$B$1:$AY$479,41,0)</f>
        <v>2</v>
      </c>
      <c r="AE117" s="65">
        <v>6</v>
      </c>
      <c r="AF117" s="65">
        <v>80529</v>
      </c>
      <c r="AG117" s="65">
        <v>2684.3</v>
      </c>
      <c r="AH117" s="65">
        <v>229392781</v>
      </c>
      <c r="AI117" s="65">
        <v>7287990</v>
      </c>
      <c r="AJ117" s="65">
        <v>242933</v>
      </c>
      <c r="AK117" s="71">
        <v>3.2000000000000001E-2</v>
      </c>
      <c r="AL117" s="71"/>
    </row>
    <row r="118" spans="5:38" x14ac:dyDescent="0.2">
      <c r="E118" s="125"/>
      <c r="H118" s="65">
        <v>1673</v>
      </c>
      <c r="I118" s="65" t="s">
        <v>281</v>
      </c>
      <c r="J118" s="65">
        <v>6303030</v>
      </c>
      <c r="K118" s="65">
        <v>737029.84</v>
      </c>
      <c r="O118" s="86" t="s">
        <v>647</v>
      </c>
      <c r="P118" s="83" t="s">
        <v>648</v>
      </c>
      <c r="Q118" s="80">
        <f t="shared" si="6"/>
        <v>1</v>
      </c>
      <c r="R118" s="80" t="str">
        <f t="shared" si="7"/>
        <v>NO</v>
      </c>
      <c r="S118" s="97">
        <f t="shared" si="8"/>
        <v>1</v>
      </c>
      <c r="T118" s="80">
        <f t="shared" si="9"/>
        <v>82851.666670000006</v>
      </c>
      <c r="U118" s="98">
        <f t="shared" si="10"/>
        <v>0.01</v>
      </c>
      <c r="V118" s="65" t="s">
        <v>352</v>
      </c>
      <c r="Y118" s="65" t="s">
        <v>1341</v>
      </c>
      <c r="Z118" s="65" t="s">
        <v>794</v>
      </c>
      <c r="AA118" s="65" t="s">
        <v>795</v>
      </c>
      <c r="AB118" s="65">
        <f>VLOOKUP(Z118,SABANA!$B$1:$AY$479,27,0)</f>
        <v>3</v>
      </c>
      <c r="AC118" s="65" t="str">
        <f>VLOOKUP(Z118,SABANA!$B$1:$AY$479,48,0)</f>
        <v>NO</v>
      </c>
      <c r="AD118" s="65">
        <f>VLOOKUP(Z118,SABANA!$B$1:$AY$479,41,0)</f>
        <v>2</v>
      </c>
      <c r="AE118" s="65">
        <v>6</v>
      </c>
      <c r="AF118" s="65">
        <v>84991</v>
      </c>
      <c r="AG118" s="65">
        <v>2833.0333329999999</v>
      </c>
      <c r="AH118" s="65">
        <v>268242495</v>
      </c>
      <c r="AI118" s="65">
        <v>10104310</v>
      </c>
      <c r="AJ118" s="65">
        <v>336810.3333</v>
      </c>
      <c r="AK118" s="71">
        <v>3.7999999999999999E-2</v>
      </c>
      <c r="AL118" s="71"/>
    </row>
    <row r="119" spans="5:38" x14ac:dyDescent="0.2">
      <c r="E119" s="125"/>
      <c r="H119" s="65">
        <v>1675</v>
      </c>
      <c r="I119" s="65" t="s">
        <v>288</v>
      </c>
      <c r="J119" s="65">
        <v>7245630</v>
      </c>
      <c r="K119" s="65">
        <v>1418652.31</v>
      </c>
      <c r="O119" s="86" t="s">
        <v>621</v>
      </c>
      <c r="P119" s="83" t="s">
        <v>622</v>
      </c>
      <c r="Q119" s="80">
        <f t="shared" si="6"/>
        <v>2</v>
      </c>
      <c r="R119" s="80" t="str">
        <f t="shared" si="7"/>
        <v>NO</v>
      </c>
      <c r="S119" s="97">
        <f t="shared" si="8"/>
        <v>1</v>
      </c>
      <c r="T119" s="80">
        <f t="shared" si="9"/>
        <v>100680.6667</v>
      </c>
      <c r="U119" s="98">
        <f t="shared" si="10"/>
        <v>8.9999999999999993E-3</v>
      </c>
      <c r="V119" s="65" t="s">
        <v>352</v>
      </c>
      <c r="Y119" s="65" t="s">
        <v>1341</v>
      </c>
      <c r="Z119" s="65" t="s">
        <v>796</v>
      </c>
      <c r="AA119" s="65" t="s">
        <v>797</v>
      </c>
      <c r="AB119" s="65">
        <f>VLOOKUP(Z119,SABANA!$B$1:$AY$479,27,0)</f>
        <v>2</v>
      </c>
      <c r="AC119" s="65" t="str">
        <f>VLOOKUP(Z119,SABANA!$B$1:$AY$479,48,0)</f>
        <v>NO</v>
      </c>
      <c r="AD119" s="65">
        <f>VLOOKUP(Z119,SABANA!$B$1:$AY$479,41,0)</f>
        <v>2</v>
      </c>
      <c r="AE119" s="65">
        <v>6</v>
      </c>
      <c r="AF119" s="65">
        <v>94728</v>
      </c>
      <c r="AG119" s="65">
        <v>3157.6</v>
      </c>
      <c r="AH119" s="65">
        <v>307502089</v>
      </c>
      <c r="AI119" s="65">
        <v>9726710</v>
      </c>
      <c r="AJ119" s="65">
        <v>324223.6667</v>
      </c>
      <c r="AK119" s="71">
        <v>3.2000000000000001E-2</v>
      </c>
      <c r="AL119" s="71"/>
    </row>
    <row r="120" spans="5:38" x14ac:dyDescent="0.2">
      <c r="E120" s="125"/>
      <c r="H120" s="65">
        <v>175</v>
      </c>
      <c r="I120" s="65" t="s">
        <v>250</v>
      </c>
      <c r="J120" s="65">
        <v>3497700</v>
      </c>
      <c r="K120" s="65">
        <v>116093.7</v>
      </c>
      <c r="O120" s="86" t="s">
        <v>776</v>
      </c>
      <c r="P120" s="83" t="s">
        <v>777</v>
      </c>
      <c r="Q120" s="80">
        <f t="shared" si="6"/>
        <v>3</v>
      </c>
      <c r="R120" s="80" t="str">
        <f t="shared" si="7"/>
        <v>NO</v>
      </c>
      <c r="S120" s="97">
        <f t="shared" si="8"/>
        <v>1</v>
      </c>
      <c r="T120" s="80">
        <f t="shared" si="9"/>
        <v>67552</v>
      </c>
      <c r="U120" s="98">
        <f t="shared" si="10"/>
        <v>1.2E-2</v>
      </c>
      <c r="V120" s="65" t="s">
        <v>352</v>
      </c>
      <c r="Y120" s="65" t="s">
        <v>1341</v>
      </c>
      <c r="Z120" s="65" t="s">
        <v>503</v>
      </c>
      <c r="AA120" s="65" t="s">
        <v>504</v>
      </c>
      <c r="AB120" s="65">
        <f>VLOOKUP(Z120,SABANA!$B$1:$AY$479,27,0)</f>
        <v>4</v>
      </c>
      <c r="AC120" s="65" t="str">
        <f>VLOOKUP(Z120,SABANA!$B$1:$AY$479,48,0)</f>
        <v>SI</v>
      </c>
      <c r="AD120" s="65">
        <f>VLOOKUP(Z120,SABANA!$B$1:$AY$479,41,0)</f>
        <v>2</v>
      </c>
      <c r="AE120" s="65">
        <v>6</v>
      </c>
      <c r="AF120" s="65">
        <v>72636</v>
      </c>
      <c r="AG120" s="65">
        <v>2421.1999999999998</v>
      </c>
      <c r="AH120" s="65">
        <v>258897697</v>
      </c>
      <c r="AI120" s="65">
        <v>19473970</v>
      </c>
      <c r="AJ120" s="65">
        <v>649132.33330000006</v>
      </c>
      <c r="AK120" s="71">
        <v>7.4999999999999997E-2</v>
      </c>
      <c r="AL120" s="71"/>
    </row>
    <row r="121" spans="5:38" x14ac:dyDescent="0.2">
      <c r="E121" s="125"/>
      <c r="H121" s="65">
        <v>1793</v>
      </c>
      <c r="I121" s="65" t="s">
        <v>236</v>
      </c>
      <c r="J121" s="65">
        <v>289670</v>
      </c>
      <c r="K121" s="65">
        <v>50563.66</v>
      </c>
      <c r="O121" s="86" t="s">
        <v>623</v>
      </c>
      <c r="P121" s="83" t="s">
        <v>624</v>
      </c>
      <c r="Q121" s="80">
        <f t="shared" si="6"/>
        <v>2</v>
      </c>
      <c r="R121" s="80" t="str">
        <f t="shared" si="7"/>
        <v>NO</v>
      </c>
      <c r="S121" s="97">
        <f t="shared" si="8"/>
        <v>1</v>
      </c>
      <c r="T121" s="80">
        <f t="shared" si="9"/>
        <v>110469</v>
      </c>
      <c r="U121" s="98">
        <f t="shared" si="10"/>
        <v>2.1999999999999999E-2</v>
      </c>
      <c r="V121" s="65" t="s">
        <v>352</v>
      </c>
      <c r="Y121" s="65" t="s">
        <v>1341</v>
      </c>
      <c r="Z121" s="65" t="s">
        <v>505</v>
      </c>
      <c r="AA121" s="65" t="s">
        <v>1349</v>
      </c>
      <c r="AB121" s="65">
        <f>VLOOKUP(Z121,SABANA!$B$1:$AY$479,27,0)</f>
        <v>3</v>
      </c>
      <c r="AC121" s="65" t="str">
        <f>VLOOKUP(Z121,SABANA!$B$1:$AY$479,48,0)</f>
        <v>NO</v>
      </c>
      <c r="AD121" s="65">
        <f>VLOOKUP(Z121,SABANA!$B$1:$AY$479,41,0)</f>
        <v>3</v>
      </c>
      <c r="AE121" s="65">
        <v>6</v>
      </c>
      <c r="AF121" s="65">
        <v>92566</v>
      </c>
      <c r="AG121" s="65">
        <v>3085.5333329999999</v>
      </c>
      <c r="AH121" s="65">
        <v>318618477</v>
      </c>
      <c r="AI121" s="65">
        <v>15420350</v>
      </c>
      <c r="AJ121" s="65">
        <v>514011.6667</v>
      </c>
      <c r="AK121" s="71">
        <v>4.8000000000000001E-2</v>
      </c>
      <c r="AL121" s="71"/>
    </row>
    <row r="122" spans="5:38" x14ac:dyDescent="0.2">
      <c r="E122" s="125"/>
      <c r="H122" s="65">
        <v>1795</v>
      </c>
      <c r="I122" s="65" t="s">
        <v>247</v>
      </c>
      <c r="J122" s="65">
        <v>414960</v>
      </c>
      <c r="K122" s="65">
        <v>0</v>
      </c>
      <c r="O122" s="86" t="s">
        <v>770</v>
      </c>
      <c r="P122" s="83" t="s">
        <v>771</v>
      </c>
      <c r="Q122" s="80">
        <f t="shared" si="6"/>
        <v>2</v>
      </c>
      <c r="R122" s="80" t="str">
        <f t="shared" si="7"/>
        <v>NO</v>
      </c>
      <c r="S122" s="97">
        <f t="shared" si="8"/>
        <v>2</v>
      </c>
      <c r="T122" s="80">
        <f t="shared" si="9"/>
        <v>110919.6667</v>
      </c>
      <c r="U122" s="98">
        <f t="shared" si="10"/>
        <v>1.2999999999999999E-2</v>
      </c>
      <c r="V122" s="65" t="s">
        <v>352</v>
      </c>
      <c r="Y122" s="65" t="s">
        <v>1341</v>
      </c>
      <c r="Z122" s="65" t="s">
        <v>546</v>
      </c>
      <c r="AA122" s="65" t="s">
        <v>547</v>
      </c>
      <c r="AB122" s="65">
        <f>VLOOKUP(Z122,SABANA!$B$1:$AY$479,27,0)</f>
        <v>2</v>
      </c>
      <c r="AC122" s="65" t="str">
        <f>VLOOKUP(Z122,SABANA!$B$1:$AY$479,48,0)</f>
        <v>NO</v>
      </c>
      <c r="AD122" s="65">
        <f>VLOOKUP(Z122,SABANA!$B$1:$AY$479,41,0)</f>
        <v>2</v>
      </c>
      <c r="AE122" s="65">
        <v>6</v>
      </c>
      <c r="AF122" s="65">
        <v>59854</v>
      </c>
      <c r="AG122" s="65">
        <v>1995.133333</v>
      </c>
      <c r="AH122" s="65">
        <v>176576091</v>
      </c>
      <c r="AI122" s="65">
        <v>8645390</v>
      </c>
      <c r="AJ122" s="65">
        <v>288179.6667</v>
      </c>
      <c r="AK122" s="71">
        <v>4.9000000000000002E-2</v>
      </c>
      <c r="AL122" s="71"/>
    </row>
    <row r="123" spans="5:38" x14ac:dyDescent="0.2">
      <c r="E123" s="125"/>
      <c r="H123" s="65">
        <v>1796</v>
      </c>
      <c r="I123" s="65" t="s">
        <v>254</v>
      </c>
      <c r="J123" s="65">
        <v>0</v>
      </c>
      <c r="K123" s="65">
        <v>10666.66</v>
      </c>
      <c r="O123" s="86" t="s">
        <v>655</v>
      </c>
      <c r="P123" s="83" t="s">
        <v>656</v>
      </c>
      <c r="Q123" s="80">
        <f t="shared" si="6"/>
        <v>2</v>
      </c>
      <c r="R123" s="80" t="str">
        <f t="shared" si="7"/>
        <v>NO</v>
      </c>
      <c r="S123" s="97">
        <f t="shared" si="8"/>
        <v>2</v>
      </c>
      <c r="T123" s="80">
        <f t="shared" si="9"/>
        <v>102363</v>
      </c>
      <c r="U123" s="98">
        <f t="shared" si="10"/>
        <v>1.4E-2</v>
      </c>
      <c r="V123" s="65" t="s">
        <v>352</v>
      </c>
      <c r="Y123" s="65" t="s">
        <v>1341</v>
      </c>
      <c r="Z123" s="65" t="s">
        <v>549</v>
      </c>
      <c r="AA123" s="65" t="s">
        <v>550</v>
      </c>
      <c r="AB123" s="65">
        <f>VLOOKUP(Z123,SABANA!$B$1:$AY$479,27,0)</f>
        <v>6</v>
      </c>
      <c r="AC123" s="65" t="str">
        <f>VLOOKUP(Z123,SABANA!$B$1:$AY$479,48,0)</f>
        <v>NO</v>
      </c>
      <c r="AD123" s="65">
        <f>VLOOKUP(Z123,SABANA!$B$1:$AY$479,41,0)</f>
        <v>3</v>
      </c>
      <c r="AE123" s="65">
        <v>6</v>
      </c>
      <c r="AF123" s="65">
        <v>79163</v>
      </c>
      <c r="AG123" s="65">
        <v>2638.7666669999999</v>
      </c>
      <c r="AH123" s="65">
        <v>253096589</v>
      </c>
      <c r="AI123" s="65">
        <v>13547390</v>
      </c>
      <c r="AJ123" s="65">
        <v>451579.6667</v>
      </c>
      <c r="AK123" s="71">
        <v>5.3999999999999999E-2</v>
      </c>
      <c r="AL123" s="71"/>
    </row>
    <row r="124" spans="5:38" x14ac:dyDescent="0.2">
      <c r="E124" s="125"/>
      <c r="H124" s="65">
        <v>1797</v>
      </c>
      <c r="I124" s="65" t="s">
        <v>256</v>
      </c>
      <c r="J124" s="65">
        <v>221740</v>
      </c>
      <c r="K124" s="65">
        <v>2600</v>
      </c>
      <c r="O124" s="86" t="s">
        <v>657</v>
      </c>
      <c r="P124" s="83" t="s">
        <v>1228</v>
      </c>
      <c r="Q124" s="80">
        <f t="shared" si="6"/>
        <v>3</v>
      </c>
      <c r="R124" s="80" t="str">
        <f t="shared" si="7"/>
        <v>NO</v>
      </c>
      <c r="S124" s="97">
        <f t="shared" si="8"/>
        <v>2</v>
      </c>
      <c r="T124" s="80">
        <f t="shared" si="9"/>
        <v>167146</v>
      </c>
      <c r="U124" s="98">
        <f t="shared" si="10"/>
        <v>2.3E-2</v>
      </c>
      <c r="V124" s="65" t="s">
        <v>352</v>
      </c>
      <c r="Y124" s="65" t="s">
        <v>1341</v>
      </c>
      <c r="Z124" s="65" t="s">
        <v>552</v>
      </c>
      <c r="AA124" s="65" t="s">
        <v>553</v>
      </c>
      <c r="AB124" s="65">
        <f>VLOOKUP(Z124,SABANA!$B$1:$AY$479,27,0)</f>
        <v>3</v>
      </c>
      <c r="AC124" s="65" t="str">
        <f>VLOOKUP(Z124,SABANA!$B$1:$AY$479,48,0)</f>
        <v>SI</v>
      </c>
      <c r="AD124" s="65">
        <f>VLOOKUP(Z124,SABANA!$B$1:$AY$479,41,0)</f>
        <v>4</v>
      </c>
      <c r="AE124" s="65">
        <v>6</v>
      </c>
      <c r="AF124" s="65">
        <v>97024</v>
      </c>
      <c r="AG124" s="65">
        <v>3234.1333330000002</v>
      </c>
      <c r="AH124" s="65">
        <v>309977628</v>
      </c>
      <c r="AI124" s="65">
        <v>19341390</v>
      </c>
      <c r="AJ124" s="65">
        <v>644713</v>
      </c>
      <c r="AK124" s="71">
        <v>6.2E-2</v>
      </c>
      <c r="AL124" s="71"/>
    </row>
    <row r="125" spans="5:38" x14ac:dyDescent="0.2">
      <c r="E125" s="125"/>
      <c r="H125" s="65">
        <v>1803</v>
      </c>
      <c r="I125" s="65" t="s">
        <v>265</v>
      </c>
      <c r="J125" s="65">
        <v>1290320</v>
      </c>
      <c r="K125" s="65">
        <v>100323.74</v>
      </c>
      <c r="O125" s="86" t="s">
        <v>762</v>
      </c>
      <c r="P125" s="83" t="s">
        <v>1231</v>
      </c>
      <c r="Q125" s="80">
        <f t="shared" si="6"/>
        <v>4</v>
      </c>
      <c r="R125" s="80" t="str">
        <f t="shared" si="7"/>
        <v>NO</v>
      </c>
      <c r="S125" s="97">
        <f t="shared" si="8"/>
        <v>2</v>
      </c>
      <c r="T125" s="80">
        <f t="shared" si="9"/>
        <v>270272.6667</v>
      </c>
      <c r="U125" s="98">
        <f t="shared" si="10"/>
        <v>2.9000000000000001E-2</v>
      </c>
      <c r="V125" s="65" t="s">
        <v>1339</v>
      </c>
      <c r="Y125" s="65" t="s">
        <v>1341</v>
      </c>
      <c r="Z125" s="65" t="s">
        <v>1023</v>
      </c>
      <c r="AA125" s="65" t="s">
        <v>1024</v>
      </c>
      <c r="AB125" s="65">
        <f>VLOOKUP(Z125,SABANA!$B$1:$AY$479,27,0)</f>
        <v>2</v>
      </c>
      <c r="AC125" s="65" t="str">
        <f>VLOOKUP(Z125,SABANA!$B$1:$AY$479,48,0)</f>
        <v>NO</v>
      </c>
      <c r="AD125" s="65">
        <f>VLOOKUP(Z125,SABANA!$B$1:$AY$479,41,0)</f>
        <v>2</v>
      </c>
      <c r="AE125" s="65">
        <v>6</v>
      </c>
      <c r="AF125" s="65">
        <v>51397</v>
      </c>
      <c r="AG125" s="65">
        <v>1713.2333329999999</v>
      </c>
      <c r="AH125" s="65">
        <v>156081444</v>
      </c>
      <c r="AI125" s="65">
        <v>3466830</v>
      </c>
      <c r="AJ125" s="65">
        <v>115561</v>
      </c>
      <c r="AK125" s="71">
        <v>2.1999999999999999E-2</v>
      </c>
      <c r="AL125" s="71"/>
    </row>
    <row r="126" spans="5:38" x14ac:dyDescent="0.2">
      <c r="E126" s="125"/>
      <c r="H126" s="65">
        <v>1804</v>
      </c>
      <c r="I126" s="65" t="s">
        <v>270</v>
      </c>
      <c r="J126" s="65">
        <v>303830</v>
      </c>
      <c r="K126" s="65">
        <v>93190.65</v>
      </c>
      <c r="O126" s="86" t="s">
        <v>659</v>
      </c>
      <c r="P126" s="83" t="s">
        <v>1229</v>
      </c>
      <c r="Q126" s="80">
        <f t="shared" si="6"/>
        <v>3</v>
      </c>
      <c r="R126" s="80" t="str">
        <f t="shared" si="7"/>
        <v>NO</v>
      </c>
      <c r="S126" s="97">
        <f t="shared" si="8"/>
        <v>2</v>
      </c>
      <c r="T126" s="80">
        <f t="shared" si="9"/>
        <v>106468.6667</v>
      </c>
      <c r="U126" s="98">
        <f t="shared" si="10"/>
        <v>1.7999999999999999E-2</v>
      </c>
      <c r="V126" s="65" t="s">
        <v>352</v>
      </c>
      <c r="Y126" s="65" t="s">
        <v>1341</v>
      </c>
      <c r="Z126" s="65" t="s">
        <v>554</v>
      </c>
      <c r="AA126" s="65" t="s">
        <v>1350</v>
      </c>
      <c r="AB126" s="65">
        <f>VLOOKUP(Z126,SABANA!$B$1:$AY$479,27,0)</f>
        <v>4</v>
      </c>
      <c r="AC126" s="65" t="str">
        <f>VLOOKUP(Z126,SABANA!$B$1:$AY$479,48,0)</f>
        <v>NO</v>
      </c>
      <c r="AD126" s="65">
        <f>VLOOKUP(Z126,SABANA!$B$1:$AY$479,41,0)</f>
        <v>2</v>
      </c>
      <c r="AE126" s="65">
        <v>6</v>
      </c>
      <c r="AF126" s="65">
        <v>59019</v>
      </c>
      <c r="AG126" s="65">
        <v>1967.3</v>
      </c>
      <c r="AH126" s="65">
        <v>185809569</v>
      </c>
      <c r="AI126" s="65">
        <v>11546580</v>
      </c>
      <c r="AJ126" s="65">
        <v>384886</v>
      </c>
      <c r="AK126" s="71">
        <v>6.2E-2</v>
      </c>
      <c r="AL126" s="71"/>
    </row>
    <row r="127" spans="5:38" x14ac:dyDescent="0.2">
      <c r="E127" s="125"/>
      <c r="H127" s="65">
        <v>1805</v>
      </c>
      <c r="I127" s="65" t="s">
        <v>271</v>
      </c>
      <c r="J127" s="65">
        <v>0</v>
      </c>
      <c r="K127" s="65">
        <v>2898</v>
      </c>
      <c r="O127" s="86" t="s">
        <v>840</v>
      </c>
      <c r="P127" s="83" t="s">
        <v>1230</v>
      </c>
      <c r="Q127" s="80">
        <f t="shared" si="6"/>
        <v>3</v>
      </c>
      <c r="R127" s="80" t="str">
        <f t="shared" si="7"/>
        <v>NO</v>
      </c>
      <c r="S127" s="97">
        <f t="shared" si="8"/>
        <v>2</v>
      </c>
      <c r="T127" s="80">
        <f t="shared" si="9"/>
        <v>85998</v>
      </c>
      <c r="U127" s="98">
        <f t="shared" si="10"/>
        <v>2.1000000000000001E-2</v>
      </c>
      <c r="V127" s="65" t="s">
        <v>355</v>
      </c>
      <c r="Y127" s="65" t="s">
        <v>1341</v>
      </c>
      <c r="Z127" s="65" t="s">
        <v>507</v>
      </c>
      <c r="AA127" s="65" t="s">
        <v>508</v>
      </c>
      <c r="AB127" s="65">
        <f>VLOOKUP(Z127,SABANA!$B$1:$AY$479,27,0)</f>
        <v>3</v>
      </c>
      <c r="AC127" s="65" t="str">
        <f>VLOOKUP(Z127,SABANA!$B$1:$AY$479,48,0)</f>
        <v>NO</v>
      </c>
      <c r="AD127" s="65">
        <f>VLOOKUP(Z127,SABANA!$B$1:$AY$479,41,0)</f>
        <v>2</v>
      </c>
      <c r="AE127" s="65">
        <v>6</v>
      </c>
      <c r="AF127" s="65">
        <v>70318</v>
      </c>
      <c r="AG127" s="65">
        <v>2343.9333329999999</v>
      </c>
      <c r="AH127" s="65">
        <v>177593954</v>
      </c>
      <c r="AI127" s="65">
        <v>3858960</v>
      </c>
      <c r="AJ127" s="65">
        <v>128632</v>
      </c>
      <c r="AK127" s="71">
        <v>2.1999999999999999E-2</v>
      </c>
      <c r="AL127" s="71"/>
    </row>
    <row r="128" spans="5:38" x14ac:dyDescent="0.2">
      <c r="E128" s="125"/>
      <c r="H128" s="65">
        <v>1806</v>
      </c>
      <c r="I128" s="65" t="s">
        <v>285</v>
      </c>
      <c r="J128" s="65">
        <v>727120</v>
      </c>
      <c r="K128" s="65">
        <v>108044.91</v>
      </c>
      <c r="Y128" s="65" t="s">
        <v>1341</v>
      </c>
      <c r="Z128" s="65" t="s">
        <v>711</v>
      </c>
      <c r="AA128" s="65" t="s">
        <v>712</v>
      </c>
      <c r="AB128" s="65">
        <f>VLOOKUP(Z128,SABANA!$B$1:$AY$479,27,0)</f>
        <v>2</v>
      </c>
      <c r="AC128" s="65" t="str">
        <f>VLOOKUP(Z128,SABANA!$B$1:$AY$479,48,0)</f>
        <v>NO</v>
      </c>
      <c r="AD128" s="65">
        <f>VLOOKUP(Z128,SABANA!$B$1:$AY$479,41,0)</f>
        <v>2</v>
      </c>
      <c r="AE128" s="65">
        <v>6</v>
      </c>
      <c r="AF128" s="65">
        <v>62764</v>
      </c>
      <c r="AG128" s="65">
        <v>2092.1333330000002</v>
      </c>
      <c r="AH128" s="65">
        <v>192228960</v>
      </c>
      <c r="AI128" s="65">
        <v>5426130</v>
      </c>
      <c r="AJ128" s="65">
        <v>180871</v>
      </c>
      <c r="AK128" s="71">
        <v>2.8000000000000001E-2</v>
      </c>
      <c r="AL128" s="71"/>
    </row>
    <row r="129" spans="5:38" x14ac:dyDescent="0.2">
      <c r="E129" s="125"/>
      <c r="H129" s="65">
        <v>1807</v>
      </c>
      <c r="I129" s="65" t="s">
        <v>273</v>
      </c>
      <c r="J129" s="65">
        <v>908310</v>
      </c>
      <c r="K129" s="65">
        <v>342900.27</v>
      </c>
      <c r="Y129" s="65" t="s">
        <v>1341</v>
      </c>
      <c r="Z129" s="65" t="s">
        <v>557</v>
      </c>
      <c r="AA129" s="65" t="s">
        <v>558</v>
      </c>
      <c r="AB129" s="65">
        <f>VLOOKUP(Z129,SABANA!$B$1:$AY$479,27,0)</f>
        <v>4</v>
      </c>
      <c r="AC129" s="65" t="str">
        <f>VLOOKUP(Z129,SABANA!$B$1:$AY$479,48,0)</f>
        <v>NO</v>
      </c>
      <c r="AD129" s="65">
        <f>VLOOKUP(Z129,SABANA!$B$1:$AY$479,41,0)</f>
        <v>2</v>
      </c>
      <c r="AE129" s="65">
        <v>6</v>
      </c>
      <c r="AF129" s="65">
        <v>51793</v>
      </c>
      <c r="AG129" s="65">
        <v>1726.4333329999999</v>
      </c>
      <c r="AH129" s="65">
        <v>165571817</v>
      </c>
      <c r="AI129" s="65">
        <v>8965740</v>
      </c>
      <c r="AJ129" s="65">
        <v>298858</v>
      </c>
      <c r="AK129" s="71">
        <v>5.3999999999999999E-2</v>
      </c>
      <c r="AL129" s="71"/>
    </row>
    <row r="130" spans="5:38" x14ac:dyDescent="0.2">
      <c r="E130" s="125"/>
      <c r="H130" s="65">
        <v>1812</v>
      </c>
      <c r="I130" s="65" t="s">
        <v>304</v>
      </c>
      <c r="J130" s="65">
        <v>570440</v>
      </c>
      <c r="K130" s="65">
        <v>78483.69</v>
      </c>
      <c r="Y130" s="65" t="s">
        <v>1341</v>
      </c>
      <c r="Z130" s="65" t="s">
        <v>559</v>
      </c>
      <c r="AA130" s="65" t="s">
        <v>560</v>
      </c>
      <c r="AB130" s="65">
        <f>VLOOKUP(Z130,SABANA!$B$1:$AY$479,27,0)</f>
        <v>3</v>
      </c>
      <c r="AC130" s="65" t="str">
        <f>VLOOKUP(Z130,SABANA!$B$1:$AY$479,48,0)</f>
        <v>NO</v>
      </c>
      <c r="AD130" s="65">
        <f>VLOOKUP(Z130,SABANA!$B$1:$AY$479,41,0)</f>
        <v>2</v>
      </c>
      <c r="AE130" s="65">
        <v>6</v>
      </c>
      <c r="AF130" s="65">
        <v>63211</v>
      </c>
      <c r="AG130" s="65">
        <v>2107.0333329999999</v>
      </c>
      <c r="AH130" s="65">
        <v>198917460</v>
      </c>
      <c r="AI130" s="65">
        <v>6371890</v>
      </c>
      <c r="AJ130" s="65">
        <v>212396.3333</v>
      </c>
      <c r="AK130" s="71">
        <v>3.2000000000000001E-2</v>
      </c>
      <c r="AL130" s="71"/>
    </row>
    <row r="131" spans="5:38" x14ac:dyDescent="0.2">
      <c r="E131" s="125"/>
      <c r="H131" s="65">
        <v>1813</v>
      </c>
      <c r="I131" s="65" t="s">
        <v>1267</v>
      </c>
      <c r="J131" s="65">
        <v>235620</v>
      </c>
      <c r="K131" s="65">
        <v>2800</v>
      </c>
      <c r="O131" s="74" t="s">
        <v>4</v>
      </c>
      <c r="P131" s="109" t="s">
        <v>101</v>
      </c>
      <c r="Q131" s="76" t="s">
        <v>197</v>
      </c>
      <c r="R131" s="76" t="s">
        <v>201</v>
      </c>
      <c r="S131" s="76" t="s">
        <v>204</v>
      </c>
      <c r="T131" s="76" t="s">
        <v>206</v>
      </c>
      <c r="U131" s="76" t="s">
        <v>1232</v>
      </c>
      <c r="V131" s="109" t="s">
        <v>207</v>
      </c>
      <c r="Y131" s="65" t="s">
        <v>1341</v>
      </c>
      <c r="Z131" s="65" t="s">
        <v>561</v>
      </c>
      <c r="AA131" s="65" t="s">
        <v>562</v>
      </c>
      <c r="AB131" s="65">
        <f>VLOOKUP(Z131,SABANA!$B$1:$AY$479,27,0)</f>
        <v>2</v>
      </c>
      <c r="AC131" s="65" t="str">
        <f>VLOOKUP(Z131,SABANA!$B$1:$AY$479,48,0)</f>
        <v>NO</v>
      </c>
      <c r="AD131" s="65">
        <f>VLOOKUP(Z131,SABANA!$B$1:$AY$479,41,0)</f>
        <v>2</v>
      </c>
      <c r="AE131" s="65">
        <v>6</v>
      </c>
      <c r="AF131" s="65">
        <v>54082</v>
      </c>
      <c r="AG131" s="65">
        <v>1802.7333329999999</v>
      </c>
      <c r="AH131" s="65">
        <v>167572839</v>
      </c>
      <c r="AI131" s="65">
        <v>6791070</v>
      </c>
      <c r="AJ131" s="65">
        <v>226369</v>
      </c>
      <c r="AK131" s="71">
        <v>4.1000000000000002E-2</v>
      </c>
      <c r="AL131" s="71"/>
    </row>
    <row r="132" spans="5:38" x14ac:dyDescent="0.2">
      <c r="E132" s="125"/>
      <c r="H132" s="65">
        <v>1816</v>
      </c>
      <c r="I132" s="65" t="s">
        <v>283</v>
      </c>
      <c r="J132" s="65">
        <v>438180</v>
      </c>
      <c r="K132" s="65">
        <v>80704.97</v>
      </c>
      <c r="O132" s="78" t="s">
        <v>885</v>
      </c>
      <c r="P132" s="110" t="s">
        <v>886</v>
      </c>
      <c r="Q132" s="80">
        <f t="shared" ref="Q132:Q152" si="11">VLOOKUP(O132,$Z$1:$AK$288,3,0)</f>
        <v>2</v>
      </c>
      <c r="R132" s="80" t="str">
        <f t="shared" ref="R132:R152" si="12">VLOOKUP(O132,$Z$1:$AK$288,4,0)</f>
        <v>NO</v>
      </c>
      <c r="S132" s="97">
        <f t="shared" ref="S132:S152" si="13">VLOOKUP(O132,$Z$1:$AK$288,5,0)</f>
        <v>1</v>
      </c>
      <c r="T132" s="80">
        <f t="shared" ref="T132:T152" si="14">VLOOKUP(O132,$Z$1:$AK$288,11,0)</f>
        <v>48301.666669999999</v>
      </c>
      <c r="U132" s="98">
        <f t="shared" ref="U132:U152" si="15">VLOOKUP(O132,$Z$1:$AK$288,12,0)</f>
        <v>8.9999999999999993E-3</v>
      </c>
      <c r="V132" s="111" t="s">
        <v>352</v>
      </c>
      <c r="Y132" s="65" t="s">
        <v>1341</v>
      </c>
      <c r="Z132" s="65" t="s">
        <v>713</v>
      </c>
      <c r="AA132" s="65" t="s">
        <v>714</v>
      </c>
      <c r="AB132" s="65">
        <f>VLOOKUP(Z132,SABANA!$B$1:$AY$479,27,0)</f>
        <v>3</v>
      </c>
      <c r="AC132" s="65" t="str">
        <f>VLOOKUP(Z132,SABANA!$B$1:$AY$479,48,0)</f>
        <v>NO</v>
      </c>
      <c r="AD132" s="65">
        <f>VLOOKUP(Z132,SABANA!$B$1:$AY$479,41,0)</f>
        <v>2</v>
      </c>
      <c r="AE132" s="65">
        <v>6</v>
      </c>
      <c r="AF132" s="65">
        <v>54779</v>
      </c>
      <c r="AG132" s="65">
        <v>1825.9666669999999</v>
      </c>
      <c r="AH132" s="65">
        <v>176534849</v>
      </c>
      <c r="AI132" s="65">
        <v>7361640</v>
      </c>
      <c r="AJ132" s="65">
        <v>245388</v>
      </c>
      <c r="AK132" s="71">
        <v>4.2000000000000003E-2</v>
      </c>
      <c r="AL132" s="71"/>
    </row>
    <row r="133" spans="5:38" x14ac:dyDescent="0.2">
      <c r="E133" s="125"/>
      <c r="H133" s="65">
        <v>1819</v>
      </c>
      <c r="I133" s="65" t="s">
        <v>233</v>
      </c>
      <c r="J133" s="65">
        <v>330260</v>
      </c>
      <c r="K133" s="65">
        <v>33929.72</v>
      </c>
      <c r="O133" s="78" t="s">
        <v>889</v>
      </c>
      <c r="P133" s="110" t="s">
        <v>890</v>
      </c>
      <c r="Q133" s="80">
        <f t="shared" si="11"/>
        <v>2</v>
      </c>
      <c r="R133" s="80" t="str">
        <f t="shared" si="12"/>
        <v>NO</v>
      </c>
      <c r="S133" s="97">
        <f t="shared" si="13"/>
        <v>3</v>
      </c>
      <c r="T133" s="80">
        <f t="shared" si="14"/>
        <v>106380</v>
      </c>
      <c r="U133" s="98">
        <f t="shared" si="15"/>
        <v>1.2E-2</v>
      </c>
      <c r="V133" s="111" t="s">
        <v>352</v>
      </c>
      <c r="Y133" s="65" t="s">
        <v>1341</v>
      </c>
      <c r="Z133" s="65" t="s">
        <v>715</v>
      </c>
      <c r="AA133" s="65" t="s">
        <v>716</v>
      </c>
      <c r="AB133" s="65">
        <f>VLOOKUP(Z133,SABANA!$B$1:$AY$479,27,0)</f>
        <v>2</v>
      </c>
      <c r="AC133" s="65" t="str">
        <f>VLOOKUP(Z133,SABANA!$B$1:$AY$479,48,0)</f>
        <v>NO</v>
      </c>
      <c r="AD133" s="65">
        <f>VLOOKUP(Z133,SABANA!$B$1:$AY$479,41,0)</f>
        <v>2</v>
      </c>
      <c r="AE133" s="65">
        <v>6</v>
      </c>
      <c r="AF133" s="65">
        <v>51202</v>
      </c>
      <c r="AG133" s="65">
        <v>1706.7333329999999</v>
      </c>
      <c r="AH133" s="65">
        <v>153585431</v>
      </c>
      <c r="AI133" s="65">
        <v>5139420</v>
      </c>
      <c r="AJ133" s="65">
        <v>171314</v>
      </c>
      <c r="AK133" s="71">
        <v>3.3000000000000002E-2</v>
      </c>
      <c r="AL133" s="71"/>
    </row>
    <row r="134" spans="5:38" x14ac:dyDescent="0.2">
      <c r="E134" s="125"/>
      <c r="H134" s="65">
        <v>1825</v>
      </c>
      <c r="I134" s="65" t="s">
        <v>1351</v>
      </c>
      <c r="J134" s="65">
        <v>0</v>
      </c>
      <c r="K134" s="65">
        <v>-7224</v>
      </c>
      <c r="O134" s="78" t="s">
        <v>1167</v>
      </c>
      <c r="P134" s="110" t="s">
        <v>1168</v>
      </c>
      <c r="Q134" s="80">
        <f t="shared" si="11"/>
        <v>2</v>
      </c>
      <c r="R134" s="80" t="str">
        <f t="shared" si="12"/>
        <v>NO</v>
      </c>
      <c r="S134" s="97">
        <f t="shared" si="13"/>
        <v>1</v>
      </c>
      <c r="T134" s="80">
        <f t="shared" si="14"/>
        <v>38636</v>
      </c>
      <c r="U134" s="98">
        <f t="shared" si="15"/>
        <v>1.0999999999999999E-2</v>
      </c>
      <c r="V134" s="111" t="s">
        <v>352</v>
      </c>
      <c r="Y134" s="65" t="s">
        <v>1341</v>
      </c>
      <c r="Z134" s="65" t="s">
        <v>563</v>
      </c>
      <c r="AA134" s="65" t="s">
        <v>564</v>
      </c>
      <c r="AB134" s="65">
        <f>VLOOKUP(Z134,SABANA!$B$1:$AY$479,27,0)</f>
        <v>3</v>
      </c>
      <c r="AC134" s="65" t="str">
        <f>VLOOKUP(Z134,SABANA!$B$1:$AY$479,48,0)</f>
        <v>NO</v>
      </c>
      <c r="AD134" s="65">
        <f>VLOOKUP(Z134,SABANA!$B$1:$AY$479,41,0)</f>
        <v>2</v>
      </c>
      <c r="AE134" s="65">
        <v>6</v>
      </c>
      <c r="AF134" s="65">
        <v>79900</v>
      </c>
      <c r="AG134" s="65">
        <v>2663.333333</v>
      </c>
      <c r="AH134" s="65">
        <v>243840225</v>
      </c>
      <c r="AI134" s="65">
        <v>7785320</v>
      </c>
      <c r="AJ134" s="65">
        <v>259510.6667</v>
      </c>
      <c r="AK134" s="71">
        <v>3.2000000000000001E-2</v>
      </c>
      <c r="AL134" s="71"/>
    </row>
    <row r="135" spans="5:38" x14ac:dyDescent="0.2">
      <c r="E135" s="125"/>
      <c r="H135" s="65">
        <v>1867</v>
      </c>
      <c r="I135" s="65" t="s">
        <v>294</v>
      </c>
      <c r="J135" s="65">
        <v>1147740</v>
      </c>
      <c r="K135" s="65">
        <v>81817.350000000006</v>
      </c>
      <c r="O135" s="78" t="s">
        <v>633</v>
      </c>
      <c r="P135" s="110" t="s">
        <v>634</v>
      </c>
      <c r="Q135" s="80">
        <f t="shared" si="11"/>
        <v>2</v>
      </c>
      <c r="R135" s="80" t="str">
        <f t="shared" si="12"/>
        <v>NO</v>
      </c>
      <c r="S135" s="97">
        <f t="shared" si="13"/>
        <v>2</v>
      </c>
      <c r="T135" s="80">
        <f t="shared" si="14"/>
        <v>116120.3333</v>
      </c>
      <c r="U135" s="98">
        <f t="shared" si="15"/>
        <v>1.2E-2</v>
      </c>
      <c r="V135" s="111" t="s">
        <v>352</v>
      </c>
      <c r="Y135" s="65" t="s">
        <v>1341</v>
      </c>
      <c r="Z135" s="65" t="s">
        <v>509</v>
      </c>
      <c r="AA135" s="65" t="s">
        <v>510</v>
      </c>
      <c r="AB135" s="65">
        <f>VLOOKUP(Z135,SABANA!$B$1:$AY$479,27,0)</f>
        <v>4</v>
      </c>
      <c r="AC135" s="65" t="str">
        <f>VLOOKUP(Z135,SABANA!$B$1:$AY$479,48,0)</f>
        <v>NO</v>
      </c>
      <c r="AD135" s="65">
        <f>VLOOKUP(Z135,SABANA!$B$1:$AY$479,41,0)</f>
        <v>1</v>
      </c>
      <c r="AE135" s="65">
        <v>6</v>
      </c>
      <c r="AF135" s="65">
        <v>57422</v>
      </c>
      <c r="AG135" s="65">
        <v>1914.0666670000001</v>
      </c>
      <c r="AH135" s="65">
        <v>183547265</v>
      </c>
      <c r="AI135" s="65">
        <v>6783580</v>
      </c>
      <c r="AJ135" s="65">
        <v>226119.3333</v>
      </c>
      <c r="AK135" s="71">
        <v>3.6999999999999998E-2</v>
      </c>
      <c r="AL135" s="71"/>
    </row>
    <row r="136" spans="5:38" x14ac:dyDescent="0.2">
      <c r="E136" s="125"/>
      <c r="H136" s="65">
        <v>1868</v>
      </c>
      <c r="I136" s="65" t="s">
        <v>1265</v>
      </c>
      <c r="J136" s="65">
        <v>55510</v>
      </c>
      <c r="K136" s="65">
        <v>69600</v>
      </c>
      <c r="O136" s="78" t="s">
        <v>873</v>
      </c>
      <c r="P136" s="110" t="s">
        <v>874</v>
      </c>
      <c r="Q136" s="80">
        <f t="shared" si="11"/>
        <v>3</v>
      </c>
      <c r="R136" s="80" t="str">
        <f t="shared" si="12"/>
        <v>NO</v>
      </c>
      <c r="S136" s="97">
        <f t="shared" si="13"/>
        <v>1</v>
      </c>
      <c r="T136" s="80">
        <f t="shared" si="14"/>
        <v>120238.6667</v>
      </c>
      <c r="U136" s="98">
        <f t="shared" si="15"/>
        <v>1.2999999999999999E-2</v>
      </c>
      <c r="V136" s="111" t="s">
        <v>352</v>
      </c>
      <c r="Y136" s="65" t="s">
        <v>1341</v>
      </c>
      <c r="Z136" s="65" t="s">
        <v>565</v>
      </c>
      <c r="AA136" s="65" t="s">
        <v>566</v>
      </c>
      <c r="AB136" s="65">
        <f>VLOOKUP(Z136,SABANA!$B$1:$AY$479,27,0)</f>
        <v>3</v>
      </c>
      <c r="AC136" s="65" t="str">
        <f>VLOOKUP(Z136,SABANA!$B$1:$AY$479,48,0)</f>
        <v>NO</v>
      </c>
      <c r="AD136" s="65">
        <f>VLOOKUP(Z136,SABANA!$B$1:$AY$479,41,0)</f>
        <v>2</v>
      </c>
      <c r="AE136" s="65">
        <v>6</v>
      </c>
      <c r="AF136" s="65">
        <v>99753</v>
      </c>
      <c r="AG136" s="65">
        <v>3325.1</v>
      </c>
      <c r="AH136" s="65">
        <v>312616236</v>
      </c>
      <c r="AI136" s="65">
        <v>10017800</v>
      </c>
      <c r="AJ136" s="65">
        <v>333926.6667</v>
      </c>
      <c r="AK136" s="71">
        <v>3.2000000000000001E-2</v>
      </c>
      <c r="AL136" s="71"/>
    </row>
    <row r="137" spans="5:38" x14ac:dyDescent="0.2">
      <c r="E137" s="125"/>
      <c r="H137" s="65">
        <v>2001</v>
      </c>
      <c r="I137" s="65" t="s">
        <v>296</v>
      </c>
      <c r="J137" s="65">
        <v>427480</v>
      </c>
      <c r="K137" s="65">
        <v>50585.279999999999</v>
      </c>
      <c r="O137" s="78" t="s">
        <v>875</v>
      </c>
      <c r="P137" s="110" t="s">
        <v>876</v>
      </c>
      <c r="Q137" s="80">
        <f t="shared" si="11"/>
        <v>2</v>
      </c>
      <c r="R137" s="80" t="str">
        <f t="shared" si="12"/>
        <v>NO</v>
      </c>
      <c r="S137" s="97">
        <f t="shared" si="13"/>
        <v>1</v>
      </c>
      <c r="T137" s="80">
        <f t="shared" si="14"/>
        <v>75298.333329999994</v>
      </c>
      <c r="U137" s="98">
        <f t="shared" si="15"/>
        <v>0.01</v>
      </c>
      <c r="V137" s="111" t="s">
        <v>352</v>
      </c>
      <c r="Y137" s="65" t="s">
        <v>1341</v>
      </c>
      <c r="Z137" s="65" t="s">
        <v>568</v>
      </c>
      <c r="AA137" s="65" t="s">
        <v>569</v>
      </c>
      <c r="AB137" s="65">
        <f>VLOOKUP(Z137,SABANA!$B$1:$AY$479,27,0)</f>
        <v>2</v>
      </c>
      <c r="AC137" s="65" t="str">
        <f>VLOOKUP(Z137,SABANA!$B$1:$AY$479,48,0)</f>
        <v>NO</v>
      </c>
      <c r="AD137" s="65">
        <f>VLOOKUP(Z137,SABANA!$B$1:$AY$479,41,0)</f>
        <v>2</v>
      </c>
      <c r="AE137" s="65">
        <v>6</v>
      </c>
      <c r="AF137" s="65">
        <v>54188</v>
      </c>
      <c r="AG137" s="65">
        <v>1806.2666670000001</v>
      </c>
      <c r="AH137" s="65">
        <v>155280469</v>
      </c>
      <c r="AI137" s="65">
        <v>4969410</v>
      </c>
      <c r="AJ137" s="65">
        <v>165647</v>
      </c>
      <c r="AK137" s="71">
        <v>3.2000000000000001E-2</v>
      </c>
      <c r="AL137" s="71"/>
    </row>
    <row r="138" spans="5:38" x14ac:dyDescent="0.2">
      <c r="E138" s="125"/>
      <c r="H138" s="65">
        <v>2050</v>
      </c>
      <c r="I138" s="65" t="s">
        <v>284</v>
      </c>
      <c r="J138" s="65">
        <v>5505110</v>
      </c>
      <c r="K138" s="65">
        <v>317730.18</v>
      </c>
      <c r="O138" s="78" t="s">
        <v>828</v>
      </c>
      <c r="P138" s="110" t="s">
        <v>829</v>
      </c>
      <c r="Q138" s="80">
        <f t="shared" si="11"/>
        <v>2</v>
      </c>
      <c r="R138" s="80" t="str">
        <f t="shared" si="12"/>
        <v>NO</v>
      </c>
      <c r="S138" s="97">
        <f t="shared" si="13"/>
        <v>2</v>
      </c>
      <c r="T138" s="80">
        <f t="shared" si="14"/>
        <v>57127</v>
      </c>
      <c r="U138" s="98">
        <f t="shared" si="15"/>
        <v>1.2E-2</v>
      </c>
      <c r="V138" s="111" t="s">
        <v>352</v>
      </c>
      <c r="Y138" s="65" t="s">
        <v>1341</v>
      </c>
      <c r="Z138" s="65" t="s">
        <v>570</v>
      </c>
      <c r="AA138" s="65" t="s">
        <v>571</v>
      </c>
      <c r="AB138" s="65">
        <f>VLOOKUP(Z138,SABANA!$B$1:$AY$479,27,0)</f>
        <v>5</v>
      </c>
      <c r="AC138" s="65" t="str">
        <f>VLOOKUP(Z138,SABANA!$B$1:$AY$479,48,0)</f>
        <v>NO</v>
      </c>
      <c r="AD138" s="65">
        <f>VLOOKUP(Z138,SABANA!$B$1:$AY$479,41,0)</f>
        <v>2</v>
      </c>
      <c r="AE138" s="65">
        <v>6</v>
      </c>
      <c r="AF138" s="65">
        <v>80309</v>
      </c>
      <c r="AG138" s="65">
        <v>2676.9666670000001</v>
      </c>
      <c r="AH138" s="65">
        <v>239480861</v>
      </c>
      <c r="AI138" s="65">
        <v>8914330</v>
      </c>
      <c r="AJ138" s="65">
        <v>297144.3333</v>
      </c>
      <c r="AK138" s="71">
        <v>3.6999999999999998E-2</v>
      </c>
      <c r="AL138" s="71"/>
    </row>
    <row r="139" spans="5:38" x14ac:dyDescent="0.2">
      <c r="E139" s="125"/>
      <c r="H139" s="65">
        <v>2052</v>
      </c>
      <c r="I139" s="65" t="s">
        <v>251</v>
      </c>
      <c r="J139" s="65">
        <v>771260</v>
      </c>
      <c r="K139" s="65">
        <v>82832.3</v>
      </c>
      <c r="O139" s="78" t="s">
        <v>869</v>
      </c>
      <c r="P139" s="110" t="s">
        <v>1241</v>
      </c>
      <c r="Q139" s="80">
        <f t="shared" si="11"/>
        <v>2</v>
      </c>
      <c r="R139" s="80" t="str">
        <f t="shared" si="12"/>
        <v>NO</v>
      </c>
      <c r="S139" s="97">
        <f t="shared" si="13"/>
        <v>2</v>
      </c>
      <c r="T139" s="80">
        <f t="shared" si="14"/>
        <v>63760.333330000001</v>
      </c>
      <c r="U139" s="98">
        <f t="shared" si="15"/>
        <v>0.01</v>
      </c>
      <c r="V139" s="111" t="s">
        <v>352</v>
      </c>
      <c r="Y139" s="65" t="s">
        <v>1341</v>
      </c>
      <c r="Z139" s="65" t="s">
        <v>573</v>
      </c>
      <c r="AA139" s="65" t="s">
        <v>574</v>
      </c>
      <c r="AB139" s="65">
        <f>VLOOKUP(Z139,SABANA!$B$1:$AY$479,27,0)</f>
        <v>3</v>
      </c>
      <c r="AC139" s="65" t="str">
        <f>VLOOKUP(Z139,SABANA!$B$1:$AY$479,48,0)</f>
        <v>NO</v>
      </c>
      <c r="AD139" s="65">
        <f>VLOOKUP(Z139,SABANA!$B$1:$AY$479,41,0)</f>
        <v>2</v>
      </c>
      <c r="AE139" s="65">
        <v>6</v>
      </c>
      <c r="AF139" s="65">
        <v>66126</v>
      </c>
      <c r="AG139" s="65">
        <v>2204.1999999999998</v>
      </c>
      <c r="AH139" s="65">
        <v>213588836</v>
      </c>
      <c r="AI139" s="65">
        <v>8870520</v>
      </c>
      <c r="AJ139" s="65">
        <v>295684</v>
      </c>
      <c r="AK139" s="71">
        <v>4.2000000000000003E-2</v>
      </c>
      <c r="AL139" s="71"/>
    </row>
    <row r="140" spans="5:38" x14ac:dyDescent="0.2">
      <c r="E140" s="125"/>
      <c r="H140" s="65">
        <v>217</v>
      </c>
      <c r="I140" s="65" t="s">
        <v>1289</v>
      </c>
      <c r="J140" s="65">
        <v>0</v>
      </c>
      <c r="K140" s="65">
        <v>0</v>
      </c>
      <c r="O140" s="78" t="s">
        <v>830</v>
      </c>
      <c r="P140" s="110" t="s">
        <v>831</v>
      </c>
      <c r="Q140" s="80">
        <f t="shared" si="11"/>
        <v>2</v>
      </c>
      <c r="R140" s="80" t="str">
        <f t="shared" si="12"/>
        <v>NO</v>
      </c>
      <c r="S140" s="97">
        <f t="shared" si="13"/>
        <v>2</v>
      </c>
      <c r="T140" s="80">
        <f t="shared" si="14"/>
        <v>104822</v>
      </c>
      <c r="U140" s="98">
        <f t="shared" si="15"/>
        <v>1.2999999999999999E-2</v>
      </c>
      <c r="V140" s="111" t="s">
        <v>352</v>
      </c>
      <c r="Y140" s="65" t="s">
        <v>1341</v>
      </c>
      <c r="Z140" s="65" t="s">
        <v>717</v>
      </c>
      <c r="AA140" s="65" t="s">
        <v>1352</v>
      </c>
      <c r="AB140" s="65">
        <f>VLOOKUP(Z140,SABANA!$B$1:$AY$479,27,0)</f>
        <v>6</v>
      </c>
      <c r="AC140" s="65" t="str">
        <f>VLOOKUP(Z140,SABANA!$B$1:$AY$479,48,0)</f>
        <v>SI</v>
      </c>
      <c r="AD140" s="65">
        <f>VLOOKUP(Z140,SABANA!$B$1:$AY$479,41,0)</f>
        <v>2</v>
      </c>
      <c r="AE140" s="65">
        <v>6</v>
      </c>
      <c r="AF140" s="65">
        <v>33726</v>
      </c>
      <c r="AG140" s="65">
        <v>1124.2</v>
      </c>
      <c r="AH140" s="65">
        <v>107176998</v>
      </c>
      <c r="AI140" s="65">
        <v>7900390</v>
      </c>
      <c r="AJ140" s="65">
        <v>263346.3333</v>
      </c>
      <c r="AK140" s="71">
        <v>7.3999999999999996E-2</v>
      </c>
      <c r="AL140" s="71"/>
    </row>
    <row r="141" spans="5:38" x14ac:dyDescent="0.2">
      <c r="E141" s="125"/>
      <c r="H141" s="65">
        <v>222</v>
      </c>
      <c r="I141" s="65" t="s">
        <v>1353</v>
      </c>
      <c r="J141" s="65">
        <v>0</v>
      </c>
      <c r="K141" s="65">
        <v>0</v>
      </c>
      <c r="O141" s="78" t="s">
        <v>832</v>
      </c>
      <c r="P141" s="110" t="s">
        <v>833</v>
      </c>
      <c r="Q141" s="80">
        <f t="shared" si="11"/>
        <v>2</v>
      </c>
      <c r="R141" s="80" t="str">
        <f t="shared" si="12"/>
        <v>NO</v>
      </c>
      <c r="S141" s="97">
        <f t="shared" si="13"/>
        <v>1</v>
      </c>
      <c r="T141" s="80">
        <f t="shared" si="14"/>
        <v>98708.333329999994</v>
      </c>
      <c r="U141" s="98">
        <f t="shared" si="15"/>
        <v>1.2E-2</v>
      </c>
      <c r="V141" s="111" t="s">
        <v>352</v>
      </c>
      <c r="Y141" s="65" t="s">
        <v>1341</v>
      </c>
      <c r="Z141" s="65" t="s">
        <v>575</v>
      </c>
      <c r="AA141" s="65" t="s">
        <v>576</v>
      </c>
      <c r="AB141" s="65">
        <f>VLOOKUP(Z141,SABANA!$B$1:$AY$479,27,0)</f>
        <v>4</v>
      </c>
      <c r="AC141" s="65" t="str">
        <f>VLOOKUP(Z141,SABANA!$B$1:$AY$479,48,0)</f>
        <v>NO</v>
      </c>
      <c r="AD141" s="65">
        <f>VLOOKUP(Z141,SABANA!$B$1:$AY$479,41,0)</f>
        <v>2</v>
      </c>
      <c r="AE141" s="65">
        <v>6</v>
      </c>
      <c r="AF141" s="65">
        <v>43081</v>
      </c>
      <c r="AG141" s="65">
        <v>1436.0333330000001</v>
      </c>
      <c r="AH141" s="65">
        <v>126815503</v>
      </c>
      <c r="AI141" s="65">
        <v>5406510</v>
      </c>
      <c r="AJ141" s="65">
        <v>180217</v>
      </c>
      <c r="AK141" s="71">
        <v>4.2999999999999997E-2</v>
      </c>
      <c r="AL141" s="71"/>
    </row>
    <row r="142" spans="5:38" x14ac:dyDescent="0.2">
      <c r="E142" s="125"/>
      <c r="H142" s="65">
        <v>223</v>
      </c>
      <c r="I142" s="65" t="s">
        <v>1290</v>
      </c>
      <c r="J142" s="65">
        <v>0</v>
      </c>
      <c r="K142" s="65">
        <v>0</v>
      </c>
      <c r="O142" s="78" t="s">
        <v>637</v>
      </c>
      <c r="P142" s="110" t="s">
        <v>638</v>
      </c>
      <c r="Q142" s="80">
        <f t="shared" si="11"/>
        <v>2</v>
      </c>
      <c r="R142" s="80" t="str">
        <f t="shared" si="12"/>
        <v>NO</v>
      </c>
      <c r="S142" s="97">
        <f t="shared" si="13"/>
        <v>1</v>
      </c>
      <c r="T142" s="80">
        <f t="shared" si="14"/>
        <v>74513</v>
      </c>
      <c r="U142" s="98">
        <f t="shared" si="15"/>
        <v>1.4E-2</v>
      </c>
      <c r="V142" s="111" t="s">
        <v>352</v>
      </c>
      <c r="Y142" s="65" t="s">
        <v>1341</v>
      </c>
      <c r="Z142" s="65" t="s">
        <v>719</v>
      </c>
      <c r="AA142" s="65" t="s">
        <v>720</v>
      </c>
      <c r="AB142" s="65">
        <f>VLOOKUP(Z142,SABANA!$B$1:$AY$479,27,0)</f>
        <v>2</v>
      </c>
      <c r="AC142" s="65" t="str">
        <f>VLOOKUP(Z142,SABANA!$B$1:$AY$479,48,0)</f>
        <v>NO</v>
      </c>
      <c r="AD142" s="65">
        <f>VLOOKUP(Z142,SABANA!$B$1:$AY$479,41,0)</f>
        <v>2</v>
      </c>
      <c r="AE142" s="65">
        <v>6</v>
      </c>
      <c r="AF142" s="65">
        <v>60328</v>
      </c>
      <c r="AG142" s="65">
        <v>2010.9333329999999</v>
      </c>
      <c r="AH142" s="65">
        <v>183545531</v>
      </c>
      <c r="AI142" s="65">
        <v>4675890</v>
      </c>
      <c r="AJ142" s="65">
        <v>155863</v>
      </c>
      <c r="AK142" s="71">
        <v>2.5000000000000001E-2</v>
      </c>
      <c r="AL142" s="71"/>
    </row>
    <row r="143" spans="5:38" x14ac:dyDescent="0.2">
      <c r="E143" s="125"/>
      <c r="H143" s="65">
        <v>2242</v>
      </c>
      <c r="I143" s="65" t="s">
        <v>308</v>
      </c>
      <c r="J143" s="65">
        <v>21540</v>
      </c>
      <c r="K143" s="65">
        <v>-22668.66</v>
      </c>
      <c r="O143" s="78" t="s">
        <v>824</v>
      </c>
      <c r="P143" s="110" t="s">
        <v>825</v>
      </c>
      <c r="Q143" s="80">
        <f t="shared" si="11"/>
        <v>2</v>
      </c>
      <c r="R143" s="80" t="str">
        <f t="shared" si="12"/>
        <v>NO</v>
      </c>
      <c r="S143" s="97">
        <f t="shared" si="13"/>
        <v>2</v>
      </c>
      <c r="T143" s="80">
        <f t="shared" si="14"/>
        <v>81491</v>
      </c>
      <c r="U143" s="98">
        <f t="shared" si="15"/>
        <v>1.6E-2</v>
      </c>
      <c r="V143" s="111" t="s">
        <v>352</v>
      </c>
      <c r="Y143" s="65" t="s">
        <v>1341</v>
      </c>
      <c r="Z143" s="65" t="s">
        <v>511</v>
      </c>
      <c r="AA143" s="65" t="s">
        <v>1354</v>
      </c>
      <c r="AB143" s="65">
        <f>VLOOKUP(Z143,SABANA!$B$1:$AY$479,27,0)</f>
        <v>3</v>
      </c>
      <c r="AC143" s="65" t="str">
        <f>VLOOKUP(Z143,SABANA!$B$1:$AY$479,48,0)</f>
        <v>NO</v>
      </c>
      <c r="AD143" s="65">
        <f>VLOOKUP(Z143,SABANA!$B$1:$AY$479,41,0)</f>
        <v>2</v>
      </c>
      <c r="AE143" s="65">
        <v>6</v>
      </c>
      <c r="AF143" s="65">
        <v>97250</v>
      </c>
      <c r="AG143" s="65">
        <v>3241.666667</v>
      </c>
      <c r="AH143" s="65">
        <v>295172993</v>
      </c>
      <c r="AI143" s="65">
        <v>13348550</v>
      </c>
      <c r="AJ143" s="65">
        <v>444951.6667</v>
      </c>
      <c r="AK143" s="71">
        <v>4.4999999999999998E-2</v>
      </c>
      <c r="AL143" s="71"/>
    </row>
    <row r="144" spans="5:38" x14ac:dyDescent="0.2">
      <c r="E144" s="125"/>
      <c r="H144" s="65">
        <v>2243</v>
      </c>
      <c r="I144" s="65" t="s">
        <v>279</v>
      </c>
      <c r="J144" s="65">
        <v>16904630</v>
      </c>
      <c r="K144" s="65">
        <v>759895.04000000004</v>
      </c>
      <c r="O144" s="78" t="s">
        <v>834</v>
      </c>
      <c r="P144" s="110" t="s">
        <v>835</v>
      </c>
      <c r="Q144" s="80">
        <f t="shared" si="11"/>
        <v>2</v>
      </c>
      <c r="R144" s="80" t="str">
        <f t="shared" si="12"/>
        <v>NO</v>
      </c>
      <c r="S144" s="97">
        <f t="shared" si="13"/>
        <v>1</v>
      </c>
      <c r="T144" s="80">
        <f t="shared" si="14"/>
        <v>101737</v>
      </c>
      <c r="U144" s="98">
        <f t="shared" si="15"/>
        <v>1.6E-2</v>
      </c>
      <c r="V144" s="111" t="s">
        <v>352</v>
      </c>
      <c r="Y144" s="65" t="s">
        <v>1341</v>
      </c>
      <c r="Z144" s="65" t="s">
        <v>699</v>
      </c>
      <c r="AA144" s="65" t="s">
        <v>700</v>
      </c>
      <c r="AB144" s="65">
        <f>VLOOKUP(Z144,SABANA!$B$1:$AY$479,27,0)</f>
        <v>2</v>
      </c>
      <c r="AC144" s="65" t="str">
        <f>VLOOKUP(Z144,SABANA!$B$1:$AY$479,48,0)</f>
        <v>NO</v>
      </c>
      <c r="AD144" s="65">
        <f>VLOOKUP(Z144,SABANA!$B$1:$AY$479,41,0)</f>
        <v>2</v>
      </c>
      <c r="AE144" s="65">
        <v>6</v>
      </c>
      <c r="AF144" s="65">
        <v>48219</v>
      </c>
      <c r="AG144" s="65">
        <v>1607.3</v>
      </c>
      <c r="AH144" s="65">
        <v>151752311</v>
      </c>
      <c r="AI144" s="65">
        <v>5710560</v>
      </c>
      <c r="AJ144" s="65">
        <v>190352</v>
      </c>
      <c r="AK144" s="71">
        <v>3.7999999999999999E-2</v>
      </c>
      <c r="AL144" s="71"/>
    </row>
    <row r="145" spans="5:38" x14ac:dyDescent="0.2">
      <c r="E145" s="125"/>
      <c r="H145" s="65">
        <v>2244</v>
      </c>
      <c r="I145" s="65" t="s">
        <v>280</v>
      </c>
      <c r="J145" s="65">
        <v>7667360</v>
      </c>
      <c r="K145" s="65">
        <v>643517.02</v>
      </c>
      <c r="O145" s="78" t="s">
        <v>764</v>
      </c>
      <c r="P145" s="110" t="s">
        <v>765</v>
      </c>
      <c r="Q145" s="80">
        <f t="shared" si="11"/>
        <v>5</v>
      </c>
      <c r="R145" s="80" t="str">
        <f t="shared" si="12"/>
        <v>NO</v>
      </c>
      <c r="S145" s="97">
        <f t="shared" si="13"/>
        <v>1</v>
      </c>
      <c r="T145" s="80">
        <f t="shared" si="14"/>
        <v>119923.6667</v>
      </c>
      <c r="U145" s="98">
        <f t="shared" si="15"/>
        <v>0.02</v>
      </c>
      <c r="V145" s="111" t="s">
        <v>352</v>
      </c>
      <c r="Y145" s="65" t="s">
        <v>1341</v>
      </c>
      <c r="Z145" s="65" t="s">
        <v>513</v>
      </c>
      <c r="AA145" s="65" t="s">
        <v>514</v>
      </c>
      <c r="AB145" s="65">
        <f>VLOOKUP(Z145,SABANA!$B$1:$AY$479,27,0)</f>
        <v>5</v>
      </c>
      <c r="AC145" s="65" t="str">
        <f>VLOOKUP(Z145,SABANA!$B$1:$AY$479,48,0)</f>
        <v>NO</v>
      </c>
      <c r="AD145" s="65">
        <f>VLOOKUP(Z145,SABANA!$B$1:$AY$479,41,0)</f>
        <v>2</v>
      </c>
      <c r="AE145" s="65">
        <v>6</v>
      </c>
      <c r="AF145" s="65">
        <v>41047</v>
      </c>
      <c r="AG145" s="65">
        <v>1368.2333329999999</v>
      </c>
      <c r="AH145" s="65">
        <v>125626271</v>
      </c>
      <c r="AI145" s="65">
        <v>5870950</v>
      </c>
      <c r="AJ145" s="65">
        <v>195698.3333</v>
      </c>
      <c r="AK145" s="71">
        <v>4.7E-2</v>
      </c>
      <c r="AL145" s="71"/>
    </row>
    <row r="146" spans="5:38" x14ac:dyDescent="0.2">
      <c r="E146" s="125"/>
      <c r="H146" s="65">
        <v>2291</v>
      </c>
      <c r="I146" s="65" t="s">
        <v>1273</v>
      </c>
      <c r="J146" s="65">
        <v>6180</v>
      </c>
      <c r="K146" s="65">
        <v>-6432.1</v>
      </c>
      <c r="O146" s="78" t="s">
        <v>826</v>
      </c>
      <c r="P146" s="110" t="s">
        <v>827</v>
      </c>
      <c r="Q146" s="80">
        <f t="shared" si="11"/>
        <v>3</v>
      </c>
      <c r="R146" s="80" t="str">
        <f t="shared" si="12"/>
        <v>NO</v>
      </c>
      <c r="S146" s="97">
        <f t="shared" si="13"/>
        <v>1</v>
      </c>
      <c r="T146" s="80">
        <f t="shared" si="14"/>
        <v>81859.333329999994</v>
      </c>
      <c r="U146" s="98">
        <f t="shared" si="15"/>
        <v>1.4E-2</v>
      </c>
      <c r="V146" s="111" t="s">
        <v>352</v>
      </c>
      <c r="Y146" s="65" t="s">
        <v>1341</v>
      </c>
      <c r="Z146" s="65" t="s">
        <v>515</v>
      </c>
      <c r="AA146" s="65" t="s">
        <v>516</v>
      </c>
      <c r="AB146" s="65">
        <f>VLOOKUP(Z146,SABANA!$B$1:$AY$479,27,0)</f>
        <v>4</v>
      </c>
      <c r="AC146" s="65" t="str">
        <f>VLOOKUP(Z146,SABANA!$B$1:$AY$479,48,0)</f>
        <v>NO</v>
      </c>
      <c r="AD146" s="65">
        <f>VLOOKUP(Z146,SABANA!$B$1:$AY$479,41,0)</f>
        <v>2</v>
      </c>
      <c r="AE146" s="65">
        <v>6</v>
      </c>
      <c r="AF146" s="65">
        <v>92438</v>
      </c>
      <c r="AG146" s="65">
        <v>3081.2666669999999</v>
      </c>
      <c r="AH146" s="65">
        <v>296797719</v>
      </c>
      <c r="AI146" s="65">
        <v>13060930</v>
      </c>
      <c r="AJ146" s="65">
        <v>435364.3333</v>
      </c>
      <c r="AK146" s="71">
        <v>4.3999999999999997E-2</v>
      </c>
      <c r="AL146" s="71"/>
    </row>
    <row r="147" spans="5:38" x14ac:dyDescent="0.2">
      <c r="E147" s="125"/>
      <c r="H147" s="65">
        <v>2295</v>
      </c>
      <c r="I147" s="65" t="s">
        <v>1271</v>
      </c>
      <c r="J147" s="65">
        <v>900</v>
      </c>
      <c r="K147" s="65">
        <v>-980</v>
      </c>
      <c r="O147" s="78" t="s">
        <v>883</v>
      </c>
      <c r="P147" s="110" t="s">
        <v>884</v>
      </c>
      <c r="Q147" s="80">
        <f t="shared" si="11"/>
        <v>3</v>
      </c>
      <c r="R147" s="80" t="str">
        <f t="shared" si="12"/>
        <v>NO</v>
      </c>
      <c r="S147" s="97">
        <f t="shared" si="13"/>
        <v>2</v>
      </c>
      <c r="T147" s="80">
        <f t="shared" si="14"/>
        <v>98185.666670000006</v>
      </c>
      <c r="U147" s="98">
        <f t="shared" si="15"/>
        <v>1.7000000000000001E-2</v>
      </c>
      <c r="V147" s="111" t="s">
        <v>352</v>
      </c>
      <c r="Y147" s="65" t="s">
        <v>1341</v>
      </c>
      <c r="Z147" s="65" t="s">
        <v>517</v>
      </c>
      <c r="AA147" s="65" t="s">
        <v>1355</v>
      </c>
      <c r="AB147" s="65">
        <f>VLOOKUP(Z147,SABANA!$B$1:$AY$479,27,0)</f>
        <v>2</v>
      </c>
      <c r="AC147" s="65" t="str">
        <f>VLOOKUP(Z147,SABANA!$B$1:$AY$479,48,0)</f>
        <v>NO</v>
      </c>
      <c r="AD147" s="65">
        <f>VLOOKUP(Z147,SABANA!$B$1:$AY$479,41,0)</f>
        <v>2</v>
      </c>
      <c r="AE147" s="65">
        <v>6</v>
      </c>
      <c r="AF147" s="65">
        <v>51538</v>
      </c>
      <c r="AG147" s="65">
        <v>1717.9333329999999</v>
      </c>
      <c r="AH147" s="65">
        <v>157585314</v>
      </c>
      <c r="AI147" s="65">
        <v>4057540</v>
      </c>
      <c r="AJ147" s="65">
        <v>135251.3333</v>
      </c>
      <c r="AK147" s="71">
        <v>2.5999999999999999E-2</v>
      </c>
      <c r="AL147" s="71"/>
    </row>
    <row r="148" spans="5:38" x14ac:dyDescent="0.2">
      <c r="E148" s="125"/>
      <c r="H148" s="65">
        <v>2296</v>
      </c>
      <c r="I148" s="65" t="s">
        <v>1270</v>
      </c>
      <c r="J148" s="65">
        <v>1350</v>
      </c>
      <c r="K148" s="65">
        <v>-1950</v>
      </c>
      <c r="O148" s="78" t="s">
        <v>881</v>
      </c>
      <c r="P148" s="110" t="s">
        <v>882</v>
      </c>
      <c r="Q148" s="80">
        <f t="shared" si="11"/>
        <v>2</v>
      </c>
      <c r="R148" s="80" t="str">
        <f t="shared" si="12"/>
        <v>NO</v>
      </c>
      <c r="S148" s="97">
        <f t="shared" si="13"/>
        <v>2</v>
      </c>
      <c r="T148" s="80">
        <f t="shared" si="14"/>
        <v>148413.3333</v>
      </c>
      <c r="U148" s="98">
        <f t="shared" si="15"/>
        <v>1.6E-2</v>
      </c>
      <c r="V148" s="112" t="s">
        <v>355</v>
      </c>
      <c r="Y148" s="65" t="s">
        <v>1341</v>
      </c>
      <c r="Z148" s="65" t="s">
        <v>519</v>
      </c>
      <c r="AA148" s="65" t="s">
        <v>1356</v>
      </c>
      <c r="AB148" s="65">
        <f>VLOOKUP(Z148,SABANA!$B$1:$AY$479,27,0)</f>
        <v>4</v>
      </c>
      <c r="AC148" s="65" t="str">
        <f>VLOOKUP(Z148,SABANA!$B$1:$AY$479,48,0)</f>
        <v>NO</v>
      </c>
      <c r="AD148" s="65">
        <f>VLOOKUP(Z148,SABANA!$B$1:$AY$479,41,0)</f>
        <v>2</v>
      </c>
      <c r="AE148" s="65">
        <v>6</v>
      </c>
      <c r="AF148" s="65">
        <v>50340</v>
      </c>
      <c r="AG148" s="65">
        <v>1678</v>
      </c>
      <c r="AH148" s="65">
        <v>163988422</v>
      </c>
      <c r="AI148" s="65">
        <v>8291900</v>
      </c>
      <c r="AJ148" s="65">
        <v>276396.6667</v>
      </c>
      <c r="AK148" s="71">
        <v>5.0999999999999997E-2</v>
      </c>
      <c r="AL148" s="71"/>
    </row>
    <row r="149" spans="5:38" x14ac:dyDescent="0.2">
      <c r="E149" s="125"/>
      <c r="H149" s="65">
        <v>231</v>
      </c>
      <c r="I149" s="65" t="s">
        <v>289</v>
      </c>
      <c r="J149" s="65">
        <v>0</v>
      </c>
      <c r="K149" s="65">
        <v>0</v>
      </c>
      <c r="O149" s="78" t="s">
        <v>844</v>
      </c>
      <c r="P149" s="110" t="s">
        <v>845</v>
      </c>
      <c r="Q149" s="80">
        <f t="shared" si="11"/>
        <v>2</v>
      </c>
      <c r="R149" s="80" t="str">
        <f t="shared" si="12"/>
        <v>NO</v>
      </c>
      <c r="S149" s="97">
        <f t="shared" si="13"/>
        <v>1</v>
      </c>
      <c r="T149" s="80">
        <f t="shared" si="14"/>
        <v>227813.3333</v>
      </c>
      <c r="U149" s="98">
        <f t="shared" si="15"/>
        <v>2.4E-2</v>
      </c>
      <c r="V149" s="112" t="s">
        <v>355</v>
      </c>
      <c r="Y149" s="65" t="s">
        <v>1341</v>
      </c>
      <c r="Z149" s="65" t="s">
        <v>701</v>
      </c>
      <c r="AA149" s="65" t="s">
        <v>1357</v>
      </c>
      <c r="AB149" s="65">
        <f>VLOOKUP(Z149,SABANA!$B$1:$AY$479,27,0)</f>
        <v>3</v>
      </c>
      <c r="AC149" s="65" t="str">
        <f>VLOOKUP(Z149,SABANA!$B$1:$AY$479,48,0)</f>
        <v>NO</v>
      </c>
      <c r="AD149" s="65">
        <f>VLOOKUP(Z149,SABANA!$B$1:$AY$479,41,0)</f>
        <v>2</v>
      </c>
      <c r="AE149" s="65">
        <v>6</v>
      </c>
      <c r="AF149" s="65">
        <v>54346</v>
      </c>
      <c r="AG149" s="65">
        <v>1811.5333330000001</v>
      </c>
      <c r="AH149" s="65">
        <v>175850248</v>
      </c>
      <c r="AI149" s="65">
        <v>7293670</v>
      </c>
      <c r="AJ149" s="65">
        <v>243122.3333</v>
      </c>
      <c r="AK149" s="71">
        <v>4.1000000000000002E-2</v>
      </c>
      <c r="AL149" s="71"/>
    </row>
    <row r="150" spans="5:38" x14ac:dyDescent="0.2">
      <c r="E150" s="125"/>
      <c r="H150" s="65">
        <v>233</v>
      </c>
      <c r="I150" s="65" t="s">
        <v>298</v>
      </c>
      <c r="J150" s="65">
        <v>4315120</v>
      </c>
      <c r="K150" s="65">
        <v>560817.78</v>
      </c>
      <c r="O150" s="78" t="s">
        <v>754</v>
      </c>
      <c r="P150" s="110" t="s">
        <v>755</v>
      </c>
      <c r="Q150" s="80">
        <f t="shared" si="11"/>
        <v>3</v>
      </c>
      <c r="R150" s="80" t="str">
        <f t="shared" si="12"/>
        <v>NO</v>
      </c>
      <c r="S150" s="97">
        <f t="shared" si="13"/>
        <v>1</v>
      </c>
      <c r="T150" s="80">
        <f t="shared" si="14"/>
        <v>145931</v>
      </c>
      <c r="U150" s="98">
        <f t="shared" si="15"/>
        <v>1.9E-2</v>
      </c>
      <c r="V150" s="112" t="s">
        <v>355</v>
      </c>
      <c r="Y150" s="65" t="s">
        <v>1341</v>
      </c>
      <c r="Z150" s="65" t="s">
        <v>522</v>
      </c>
      <c r="AA150" s="65" t="s">
        <v>523</v>
      </c>
      <c r="AB150" s="65">
        <f>VLOOKUP(Z150,SABANA!$B$1:$AY$479,27,0)</f>
        <v>3</v>
      </c>
      <c r="AC150" s="65" t="str">
        <f>VLOOKUP(Z150,SABANA!$B$1:$AY$479,48,0)</f>
        <v>NO</v>
      </c>
      <c r="AD150" s="65">
        <f>VLOOKUP(Z150,SABANA!$B$1:$AY$479,41,0)</f>
        <v>2</v>
      </c>
      <c r="AE150" s="65">
        <v>6</v>
      </c>
      <c r="AF150" s="65">
        <v>63104</v>
      </c>
      <c r="AG150" s="65">
        <v>2103.4666670000001</v>
      </c>
      <c r="AH150" s="65">
        <v>192300403</v>
      </c>
      <c r="AI150" s="65">
        <v>9411170</v>
      </c>
      <c r="AJ150" s="65">
        <v>313705.6667</v>
      </c>
      <c r="AK150" s="71">
        <v>4.9000000000000002E-2</v>
      </c>
      <c r="AL150" s="71"/>
    </row>
    <row r="151" spans="5:38" x14ac:dyDescent="0.2">
      <c r="E151" s="125"/>
      <c r="H151" s="65">
        <v>235</v>
      </c>
      <c r="I151" s="65" t="s">
        <v>309</v>
      </c>
      <c r="J151" s="65">
        <v>5852230</v>
      </c>
      <c r="K151" s="65">
        <v>1788410.99</v>
      </c>
      <c r="O151" s="78" t="s">
        <v>846</v>
      </c>
      <c r="P151" s="110" t="s">
        <v>847</v>
      </c>
      <c r="Q151" s="80">
        <f t="shared" si="11"/>
        <v>2</v>
      </c>
      <c r="R151" s="80" t="str">
        <f t="shared" si="12"/>
        <v>NO</v>
      </c>
      <c r="S151" s="97">
        <f t="shared" si="13"/>
        <v>1</v>
      </c>
      <c r="T151" s="80">
        <f t="shared" si="14"/>
        <v>145535.6667</v>
      </c>
      <c r="U151" s="98">
        <f t="shared" si="15"/>
        <v>1.7000000000000001E-2</v>
      </c>
      <c r="V151" s="112" t="s">
        <v>355</v>
      </c>
      <c r="Y151" s="65" t="s">
        <v>1341</v>
      </c>
      <c r="Z151" s="65" t="s">
        <v>721</v>
      </c>
      <c r="AA151" s="65" t="s">
        <v>722</v>
      </c>
      <c r="AB151" s="65">
        <f>VLOOKUP(Z151,SABANA!$B$1:$AY$479,27,0)</f>
        <v>2</v>
      </c>
      <c r="AC151" s="65" t="str">
        <f>VLOOKUP(Z151,SABANA!$B$1:$AY$479,48,0)</f>
        <v>SI</v>
      </c>
      <c r="AD151" s="65">
        <f>VLOOKUP(Z151,SABANA!$B$1:$AY$479,41,0)</f>
        <v>4</v>
      </c>
      <c r="AE151" s="65">
        <v>6</v>
      </c>
      <c r="AF151" s="65">
        <v>111203</v>
      </c>
      <c r="AG151" s="65">
        <v>3706.7666669999999</v>
      </c>
      <c r="AH151" s="65">
        <v>389233225</v>
      </c>
      <c r="AI151" s="65">
        <v>20730810</v>
      </c>
      <c r="AJ151" s="65">
        <v>691027</v>
      </c>
      <c r="AK151" s="71">
        <v>5.2999999999999999E-2</v>
      </c>
      <c r="AL151" s="71"/>
    </row>
    <row r="152" spans="5:38" x14ac:dyDescent="0.2">
      <c r="E152" s="125"/>
      <c r="H152" s="65">
        <v>238</v>
      </c>
      <c r="I152" s="65" t="s">
        <v>315</v>
      </c>
      <c r="J152" s="65">
        <v>1821160</v>
      </c>
      <c r="K152" s="65">
        <v>362956.2</v>
      </c>
      <c r="O152" s="78" t="s">
        <v>635</v>
      </c>
      <c r="P152" s="110" t="s">
        <v>636</v>
      </c>
      <c r="Q152" s="80">
        <f t="shared" si="11"/>
        <v>2</v>
      </c>
      <c r="R152" s="80" t="str">
        <f t="shared" si="12"/>
        <v>NO</v>
      </c>
      <c r="S152" s="97">
        <f t="shared" si="13"/>
        <v>1</v>
      </c>
      <c r="T152" s="80">
        <f t="shared" si="14"/>
        <v>235811</v>
      </c>
      <c r="U152" s="98">
        <f t="shared" si="15"/>
        <v>0.03</v>
      </c>
      <c r="V152" s="112" t="s">
        <v>355</v>
      </c>
      <c r="Y152" s="65" t="s">
        <v>1341</v>
      </c>
      <c r="Z152" s="65" t="s">
        <v>703</v>
      </c>
      <c r="AA152" s="65" t="s">
        <v>704</v>
      </c>
      <c r="AB152" s="65">
        <f>VLOOKUP(Z152,SABANA!$B$1:$AY$479,27,0)</f>
        <v>3</v>
      </c>
      <c r="AC152" s="65" t="str">
        <f>VLOOKUP(Z152,SABANA!$B$1:$AY$479,48,0)</f>
        <v>NO</v>
      </c>
      <c r="AD152" s="65">
        <f>VLOOKUP(Z152,SABANA!$B$1:$AY$479,41,0)</f>
        <v>2</v>
      </c>
      <c r="AE152" s="65">
        <v>6</v>
      </c>
      <c r="AF152" s="65">
        <v>55766</v>
      </c>
      <c r="AG152" s="65">
        <v>1858.866667</v>
      </c>
      <c r="AH152" s="65">
        <v>169643562</v>
      </c>
      <c r="AI152" s="65">
        <v>6572670</v>
      </c>
      <c r="AJ152" s="65">
        <v>219089</v>
      </c>
      <c r="AK152" s="71">
        <v>3.9E-2</v>
      </c>
      <c r="AL152" s="71"/>
    </row>
    <row r="153" spans="5:38" x14ac:dyDescent="0.2">
      <c r="E153" s="125"/>
      <c r="H153" s="65">
        <v>883</v>
      </c>
      <c r="I153" s="65" t="s">
        <v>297</v>
      </c>
      <c r="J153" s="65">
        <v>990800</v>
      </c>
      <c r="K153" s="65">
        <v>129366.67</v>
      </c>
      <c r="Y153" s="65" t="s">
        <v>1341</v>
      </c>
      <c r="Z153" s="65" t="s">
        <v>723</v>
      </c>
      <c r="AA153" s="65" t="s">
        <v>724</v>
      </c>
      <c r="AB153" s="65">
        <f>VLOOKUP(Z153,SABANA!$B$1:$AY$479,27,0)</f>
        <v>4</v>
      </c>
      <c r="AC153" s="65" t="str">
        <f>VLOOKUP(Z153,SABANA!$B$1:$AY$479,48,0)</f>
        <v>NO</v>
      </c>
      <c r="AD153" s="65">
        <f>VLOOKUP(Z153,SABANA!$B$1:$AY$479,41,0)</f>
        <v>2</v>
      </c>
      <c r="AE153" s="65">
        <v>6</v>
      </c>
      <c r="AF153" s="65">
        <v>67545</v>
      </c>
      <c r="AG153" s="65">
        <v>2251.5</v>
      </c>
      <c r="AH153" s="65">
        <v>226945924</v>
      </c>
      <c r="AI153" s="65">
        <v>13228250</v>
      </c>
      <c r="AJ153" s="65">
        <v>440941.6667</v>
      </c>
      <c r="AK153" s="71">
        <v>5.8000000000000003E-2</v>
      </c>
      <c r="AL153" s="71"/>
    </row>
    <row r="154" spans="5:38" x14ac:dyDescent="0.2">
      <c r="E154" s="125"/>
      <c r="H154" s="65">
        <v>963</v>
      </c>
      <c r="I154" s="65" t="s">
        <v>1292</v>
      </c>
      <c r="J154" s="65">
        <v>0</v>
      </c>
      <c r="K154" s="65">
        <v>0</v>
      </c>
      <c r="Y154" s="65" t="s">
        <v>1341</v>
      </c>
      <c r="Z154" s="65" t="s">
        <v>798</v>
      </c>
      <c r="AA154" s="65" t="s">
        <v>799</v>
      </c>
      <c r="AB154" s="65">
        <f>VLOOKUP(Z154,SABANA!$B$1:$AY$479,27,0)</f>
        <v>4</v>
      </c>
      <c r="AC154" s="65" t="str">
        <f>VLOOKUP(Z154,SABANA!$B$1:$AY$479,48,0)</f>
        <v>SI</v>
      </c>
      <c r="AD154" s="65">
        <f>VLOOKUP(Z154,SABANA!$B$1:$AY$479,41,0)</f>
        <v>4</v>
      </c>
      <c r="AE154" s="65">
        <v>6</v>
      </c>
      <c r="AF154" s="65">
        <v>80613</v>
      </c>
      <c r="AG154" s="65">
        <v>2687.1</v>
      </c>
      <c r="AH154" s="65">
        <v>285368648</v>
      </c>
      <c r="AI154" s="65">
        <v>23543350</v>
      </c>
      <c r="AJ154" s="65">
        <v>784778.33330000006</v>
      </c>
      <c r="AK154" s="71">
        <v>8.3000000000000004E-2</v>
      </c>
      <c r="AL154" s="71"/>
    </row>
    <row r="155" spans="5:38" x14ac:dyDescent="0.2">
      <c r="E155" s="125"/>
      <c r="H155" s="65">
        <v>965</v>
      </c>
      <c r="I155" s="65" t="s">
        <v>268</v>
      </c>
      <c r="J155" s="65">
        <v>1434600</v>
      </c>
      <c r="K155" s="65">
        <v>468136.21</v>
      </c>
      <c r="Y155" s="65" t="s">
        <v>1341</v>
      </c>
      <c r="Z155" s="65" t="s">
        <v>800</v>
      </c>
      <c r="AA155" s="65" t="s">
        <v>801</v>
      </c>
      <c r="AB155" s="65">
        <f>VLOOKUP(Z155,SABANA!$B$1:$AY$479,27,0)</f>
        <v>2</v>
      </c>
      <c r="AC155" s="65" t="str">
        <f>VLOOKUP(Z155,SABANA!$B$1:$AY$479,48,0)</f>
        <v>SI</v>
      </c>
      <c r="AD155" s="65">
        <f>VLOOKUP(Z155,SABANA!$B$1:$AY$479,41,0)</f>
        <v>5</v>
      </c>
      <c r="AE155" s="65">
        <v>6</v>
      </c>
      <c r="AF155" s="65">
        <v>62281</v>
      </c>
      <c r="AG155" s="65">
        <v>2076.0333329999999</v>
      </c>
      <c r="AH155" s="65">
        <v>200751745</v>
      </c>
      <c r="AI155" s="65">
        <v>11193820</v>
      </c>
      <c r="AJ155" s="65">
        <v>373127.3333</v>
      </c>
      <c r="AK155" s="71">
        <v>5.6000000000000001E-2</v>
      </c>
      <c r="AL155" s="71"/>
    </row>
    <row r="156" spans="5:38" x14ac:dyDescent="0.2">
      <c r="E156" s="125"/>
      <c r="H156" s="65" t="s">
        <v>1245</v>
      </c>
      <c r="J156" s="65">
        <v>122200590</v>
      </c>
      <c r="K156" s="65">
        <v>17258801.850000001</v>
      </c>
      <c r="Y156" s="65" t="s">
        <v>1341</v>
      </c>
      <c r="Z156" s="65" t="s">
        <v>725</v>
      </c>
      <c r="AA156" s="65" t="s">
        <v>1358</v>
      </c>
      <c r="AB156" s="65">
        <f>VLOOKUP(Z156,SABANA!$B$1:$AY$479,27,0)</f>
        <v>4</v>
      </c>
      <c r="AC156" s="65" t="str">
        <f>VLOOKUP(Z156,SABANA!$B$1:$AY$479,48,0)</f>
        <v>SI</v>
      </c>
      <c r="AD156" s="65">
        <f>VLOOKUP(Z156,SABANA!$B$1:$AY$479,41,0)</f>
        <v>5</v>
      </c>
      <c r="AE156" s="65">
        <v>6</v>
      </c>
      <c r="AF156" s="65">
        <v>36762</v>
      </c>
      <c r="AG156" s="65">
        <v>1225.4000000000001</v>
      </c>
      <c r="AH156" s="65">
        <v>123695739</v>
      </c>
      <c r="AI156" s="65">
        <v>11048830</v>
      </c>
      <c r="AJ156" s="65">
        <v>368294.3333</v>
      </c>
      <c r="AK156" s="71">
        <v>8.8999999999999996E-2</v>
      </c>
      <c r="AL156" s="71"/>
    </row>
    <row r="157" spans="5:38" x14ac:dyDescent="0.2">
      <c r="E157" s="125"/>
      <c r="Y157" s="65" t="s">
        <v>1341</v>
      </c>
      <c r="Z157" s="65" t="s">
        <v>727</v>
      </c>
      <c r="AA157" s="65" t="s">
        <v>1359</v>
      </c>
      <c r="AB157" s="65">
        <f>VLOOKUP(Z157,SABANA!$B$1:$AY$479,27,0)</f>
        <v>2</v>
      </c>
      <c r="AC157" s="65" t="str">
        <f>VLOOKUP(Z157,SABANA!$B$1:$AY$479,48,0)</f>
        <v>NO</v>
      </c>
      <c r="AD157" s="65">
        <f>VLOOKUP(Z157,SABANA!$B$1:$AY$479,41,0)</f>
        <v>5</v>
      </c>
      <c r="AE157" s="65">
        <v>6</v>
      </c>
      <c r="AF157" s="65">
        <v>56631</v>
      </c>
      <c r="AG157" s="65">
        <v>1887.7</v>
      </c>
      <c r="AH157" s="65">
        <v>172179652</v>
      </c>
      <c r="AI157" s="65">
        <v>5887030</v>
      </c>
      <c r="AJ157" s="65">
        <v>196234.3333</v>
      </c>
      <c r="AK157" s="71">
        <v>3.4000000000000002E-2</v>
      </c>
      <c r="AL157" s="71"/>
    </row>
    <row r="158" spans="5:38" x14ac:dyDescent="0.2">
      <c r="E158" s="125"/>
      <c r="Y158" s="65" t="s">
        <v>1341</v>
      </c>
      <c r="Z158" s="65" t="s">
        <v>877</v>
      </c>
      <c r="AA158" s="65" t="s">
        <v>878</v>
      </c>
      <c r="AB158" s="65">
        <f>VLOOKUP(Z158,SABANA!$B$1:$AY$479,27,0)</f>
        <v>2</v>
      </c>
      <c r="AC158" s="65" t="str">
        <f>VLOOKUP(Z158,SABANA!$B$1:$AY$479,48,0)</f>
        <v>SI</v>
      </c>
      <c r="AD158" s="65">
        <f>VLOOKUP(Z158,SABANA!$B$1:$AY$479,41,0)</f>
        <v>5</v>
      </c>
      <c r="AE158" s="65">
        <v>6</v>
      </c>
      <c r="AF158" s="65">
        <v>70931</v>
      </c>
      <c r="AG158" s="65">
        <v>2364.3666669999998</v>
      </c>
      <c r="AH158" s="65">
        <v>227481397</v>
      </c>
      <c r="AI158" s="65">
        <v>8721730</v>
      </c>
      <c r="AJ158" s="65">
        <v>290724.3333</v>
      </c>
      <c r="AK158" s="71">
        <v>3.7999999999999999E-2</v>
      </c>
      <c r="AL158" s="71"/>
    </row>
    <row r="159" spans="5:38" x14ac:dyDescent="0.2">
      <c r="E159" s="125"/>
      <c r="H159" s="65" t="s">
        <v>1360</v>
      </c>
      <c r="Y159" s="65" t="s">
        <v>1341</v>
      </c>
      <c r="Z159" s="65" t="s">
        <v>802</v>
      </c>
      <c r="AA159" s="65" t="s">
        <v>1361</v>
      </c>
      <c r="AB159" s="65">
        <f>VLOOKUP(Z159,SABANA!$B$1:$AY$479,27,0)</f>
        <v>2</v>
      </c>
      <c r="AC159" s="65" t="str">
        <f>VLOOKUP(Z159,SABANA!$B$1:$AY$479,48,0)</f>
        <v>NO</v>
      </c>
      <c r="AD159" s="65">
        <f>VLOOKUP(Z159,SABANA!$B$1:$AY$479,41,0)</f>
        <v>5</v>
      </c>
      <c r="AE159" s="65">
        <v>6</v>
      </c>
      <c r="AF159" s="65">
        <v>47038</v>
      </c>
      <c r="AG159" s="65">
        <v>1567.9333329999999</v>
      </c>
      <c r="AH159" s="65">
        <v>130798977</v>
      </c>
      <c r="AI159" s="65">
        <v>5374510</v>
      </c>
      <c r="AJ159" s="65">
        <v>179150.3333</v>
      </c>
      <c r="AK159" s="71">
        <v>4.1000000000000002E-2</v>
      </c>
      <c r="AL159" s="71"/>
    </row>
    <row r="160" spans="5:38" x14ac:dyDescent="0.2">
      <c r="E160" s="125"/>
      <c r="H160" s="65" t="s">
        <v>1256</v>
      </c>
      <c r="I160" s="65" t="s">
        <v>1257</v>
      </c>
      <c r="J160" s="65" t="s">
        <v>1296</v>
      </c>
      <c r="K160" s="65" t="s">
        <v>1297</v>
      </c>
      <c r="Y160" s="65" t="s">
        <v>1341</v>
      </c>
      <c r="Z160" s="65" t="s">
        <v>858</v>
      </c>
      <c r="AA160" s="65" t="s">
        <v>859</v>
      </c>
      <c r="AB160" s="65">
        <f>VLOOKUP(Z160,SABANA!$B$1:$AY$479,27,0)</f>
        <v>3</v>
      </c>
      <c r="AC160" s="65" t="str">
        <f>VLOOKUP(Z160,SABANA!$B$1:$AY$479,48,0)</f>
        <v>SI</v>
      </c>
      <c r="AD160" s="65">
        <f>VLOOKUP(Z160,SABANA!$B$1:$AY$479,41,0)</f>
        <v>5</v>
      </c>
      <c r="AE160" s="65">
        <v>6</v>
      </c>
      <c r="AF160" s="65">
        <v>59421</v>
      </c>
      <c r="AG160" s="65">
        <v>1980.7</v>
      </c>
      <c r="AH160" s="65">
        <v>194412940</v>
      </c>
      <c r="AI160" s="65">
        <v>12213290</v>
      </c>
      <c r="AJ160" s="65">
        <v>407109.6667</v>
      </c>
      <c r="AK160" s="71">
        <v>6.3E-2</v>
      </c>
      <c r="AL160" s="71"/>
    </row>
    <row r="161" spans="5:38" x14ac:dyDescent="0.2">
      <c r="E161" s="125"/>
      <c r="H161" s="65">
        <v>1069</v>
      </c>
      <c r="I161" s="65" t="s">
        <v>1286</v>
      </c>
      <c r="J161" s="65">
        <v>10740</v>
      </c>
      <c r="K161" s="65">
        <v>-10512.5</v>
      </c>
      <c r="Y161" s="65" t="s">
        <v>1341</v>
      </c>
      <c r="Z161" s="65" t="s">
        <v>804</v>
      </c>
      <c r="AA161" s="65" t="s">
        <v>805</v>
      </c>
      <c r="AB161" s="65">
        <f>VLOOKUP(Z161,SABANA!$B$1:$AY$479,27,0)</f>
        <v>2</v>
      </c>
      <c r="AC161" s="65" t="str">
        <f>VLOOKUP(Z161,SABANA!$B$1:$AY$479,48,0)</f>
        <v>NO</v>
      </c>
      <c r="AD161" s="65">
        <f>VLOOKUP(Z161,SABANA!$B$1:$AY$479,41,0)</f>
        <v>4</v>
      </c>
      <c r="AE161" s="65">
        <v>6</v>
      </c>
      <c r="AF161" s="65">
        <v>62879</v>
      </c>
      <c r="AG161" s="65">
        <v>2095.9666670000001</v>
      </c>
      <c r="AH161" s="65">
        <v>184393027</v>
      </c>
      <c r="AI161" s="65">
        <v>7718230</v>
      </c>
      <c r="AJ161" s="65">
        <v>257274.3333</v>
      </c>
      <c r="AK161" s="71">
        <v>4.2000000000000003E-2</v>
      </c>
      <c r="AL161" s="71"/>
    </row>
    <row r="162" spans="5:38" x14ac:dyDescent="0.2">
      <c r="E162" s="125"/>
      <c r="H162" s="65">
        <v>1074</v>
      </c>
      <c r="I162" s="65" t="s">
        <v>230</v>
      </c>
      <c r="J162" s="65">
        <v>1411310</v>
      </c>
      <c r="K162" s="65">
        <v>96766.63</v>
      </c>
      <c r="Y162" s="65" t="s">
        <v>1341</v>
      </c>
      <c r="Z162" s="65" t="s">
        <v>860</v>
      </c>
      <c r="AA162" s="65" t="s">
        <v>1362</v>
      </c>
      <c r="AB162" s="65">
        <f>VLOOKUP(Z162,SABANA!$B$1:$AY$479,27,0)</f>
        <v>2</v>
      </c>
      <c r="AC162" s="65" t="str">
        <f>VLOOKUP(Z162,SABANA!$B$1:$AY$479,48,0)</f>
        <v>NO</v>
      </c>
      <c r="AD162" s="65">
        <f>VLOOKUP(Z162,SABANA!$B$1:$AY$479,41,0)</f>
        <v>5</v>
      </c>
      <c r="AE162" s="65">
        <v>6</v>
      </c>
      <c r="AF162" s="65">
        <v>58569</v>
      </c>
      <c r="AG162" s="65">
        <v>1952.3</v>
      </c>
      <c r="AH162" s="65">
        <v>182643933</v>
      </c>
      <c r="AI162" s="65">
        <v>7149090</v>
      </c>
      <c r="AJ162" s="65">
        <v>238303</v>
      </c>
      <c r="AK162" s="71">
        <v>3.9E-2</v>
      </c>
      <c r="AL162" s="71"/>
    </row>
    <row r="163" spans="5:38" x14ac:dyDescent="0.2">
      <c r="E163" s="125"/>
      <c r="H163" s="65">
        <v>1076</v>
      </c>
      <c r="I163" s="65" t="s">
        <v>291</v>
      </c>
      <c r="J163" s="65">
        <v>680250</v>
      </c>
      <c r="K163" s="65">
        <v>148800.31</v>
      </c>
      <c r="Y163" s="65" t="s">
        <v>1341</v>
      </c>
      <c r="Z163" s="65" t="s">
        <v>806</v>
      </c>
      <c r="AA163" s="65" t="s">
        <v>807</v>
      </c>
      <c r="AB163" s="65">
        <f>VLOOKUP(Z163,SABANA!$B$1:$AY$479,27,0)</f>
        <v>3</v>
      </c>
      <c r="AC163" s="65" t="str">
        <f>VLOOKUP(Z163,SABANA!$B$1:$AY$479,48,0)</f>
        <v>SI</v>
      </c>
      <c r="AD163" s="65">
        <f>VLOOKUP(Z163,SABANA!$B$1:$AY$479,41,0)</f>
        <v>5</v>
      </c>
      <c r="AE163" s="65">
        <v>6</v>
      </c>
      <c r="AF163" s="65">
        <v>52976</v>
      </c>
      <c r="AG163" s="65">
        <v>1765.866667</v>
      </c>
      <c r="AH163" s="65">
        <v>165310986</v>
      </c>
      <c r="AI163" s="65">
        <v>9584480</v>
      </c>
      <c r="AJ163" s="65">
        <v>319482.6667</v>
      </c>
      <c r="AK163" s="71">
        <v>5.8000000000000003E-2</v>
      </c>
      <c r="AL163" s="71"/>
    </row>
    <row r="164" spans="5:38" x14ac:dyDescent="0.2">
      <c r="E164" s="125"/>
      <c r="H164" s="65">
        <v>1082</v>
      </c>
      <c r="I164" s="65" t="s">
        <v>1239</v>
      </c>
      <c r="J164" s="65">
        <v>263340</v>
      </c>
      <c r="K164" s="65">
        <v>178924.6</v>
      </c>
      <c r="Y164" s="65" t="s">
        <v>1341</v>
      </c>
      <c r="Z164" s="65" t="s">
        <v>729</v>
      </c>
      <c r="AA164" s="65" t="s">
        <v>730</v>
      </c>
      <c r="AB164" s="65">
        <f>VLOOKUP(Z164,SABANA!$B$1:$AY$479,27,0)</f>
        <v>4</v>
      </c>
      <c r="AC164" s="65" t="str">
        <f>VLOOKUP(Z164,SABANA!$B$1:$AY$479,48,0)</f>
        <v>SI</v>
      </c>
      <c r="AD164" s="65">
        <f>VLOOKUP(Z164,SABANA!$B$1:$AY$479,41,0)</f>
        <v>4</v>
      </c>
      <c r="AE164" s="65">
        <v>6</v>
      </c>
      <c r="AF164" s="65">
        <v>65358</v>
      </c>
      <c r="AG164" s="65">
        <v>2178.6</v>
      </c>
      <c r="AH164" s="65">
        <v>232291272</v>
      </c>
      <c r="AI164" s="65">
        <v>17941610</v>
      </c>
      <c r="AJ164" s="65">
        <v>598053.66669999994</v>
      </c>
      <c r="AK164" s="71">
        <v>7.6999999999999999E-2</v>
      </c>
      <c r="AL164" s="71"/>
    </row>
    <row r="165" spans="5:38" x14ac:dyDescent="0.2">
      <c r="E165" s="125"/>
      <c r="H165" s="65">
        <v>1210</v>
      </c>
      <c r="I165" s="65" t="s">
        <v>245</v>
      </c>
      <c r="J165" s="65">
        <v>4842950</v>
      </c>
      <c r="K165" s="65">
        <v>1010425.07</v>
      </c>
      <c r="Y165" s="65" t="s">
        <v>1341</v>
      </c>
      <c r="Z165" s="65" t="s">
        <v>808</v>
      </c>
      <c r="AA165" s="65" t="s">
        <v>741</v>
      </c>
      <c r="AB165" s="65">
        <f>VLOOKUP(Z165,SABANA!$B$1:$AY$479,27,0)</f>
        <v>2</v>
      </c>
      <c r="AC165" s="65" t="str">
        <f>VLOOKUP(Z165,SABANA!$B$1:$AY$479,48,0)</f>
        <v>NO</v>
      </c>
      <c r="AD165" s="65">
        <f>VLOOKUP(Z165,SABANA!$B$1:$AY$479,41,0)</f>
        <v>3</v>
      </c>
      <c r="AE165" s="65">
        <v>6</v>
      </c>
      <c r="AF165" s="65">
        <v>45220</v>
      </c>
      <c r="AG165" s="65">
        <v>1507.333333</v>
      </c>
      <c r="AH165" s="65">
        <v>132750816</v>
      </c>
      <c r="AI165" s="65">
        <v>3533540</v>
      </c>
      <c r="AJ165" s="65">
        <v>117784.6667</v>
      </c>
      <c r="AK165" s="71">
        <v>2.7E-2</v>
      </c>
      <c r="AL165" s="71"/>
    </row>
    <row r="166" spans="5:38" x14ac:dyDescent="0.2">
      <c r="E166" s="125"/>
      <c r="H166" s="65">
        <v>1510</v>
      </c>
      <c r="I166" s="65" t="s">
        <v>313</v>
      </c>
      <c r="J166" s="65">
        <v>3195910</v>
      </c>
      <c r="K166" s="65">
        <v>182165.67</v>
      </c>
      <c r="Y166" s="65" t="s">
        <v>1341</v>
      </c>
      <c r="Z166" s="65" t="s">
        <v>810</v>
      </c>
      <c r="AA166" s="65" t="s">
        <v>811</v>
      </c>
      <c r="AB166" s="65">
        <f>VLOOKUP(Z166,SABANA!$B$1:$AY$479,27,0)</f>
        <v>4</v>
      </c>
      <c r="AC166" s="65" t="str">
        <f>VLOOKUP(Z166,SABANA!$B$1:$AY$479,48,0)</f>
        <v>SI</v>
      </c>
      <c r="AD166" s="65">
        <f>VLOOKUP(Z166,SABANA!$B$1:$AY$479,41,0)</f>
        <v>3</v>
      </c>
      <c r="AE166" s="65">
        <v>6</v>
      </c>
      <c r="AF166" s="65">
        <v>80213</v>
      </c>
      <c r="AG166" s="65">
        <v>2673.7666669999999</v>
      </c>
      <c r="AH166" s="65">
        <v>262319617</v>
      </c>
      <c r="AI166" s="65">
        <v>17377540</v>
      </c>
      <c r="AJ166" s="65">
        <v>579251.33330000006</v>
      </c>
      <c r="AK166" s="71">
        <v>6.6000000000000003E-2</v>
      </c>
      <c r="AL166" s="71"/>
    </row>
    <row r="167" spans="5:38" x14ac:dyDescent="0.2">
      <c r="E167" s="125"/>
      <c r="H167" s="65">
        <v>154</v>
      </c>
      <c r="I167" s="65" t="s">
        <v>1287</v>
      </c>
      <c r="J167" s="65">
        <v>0</v>
      </c>
      <c r="K167" s="65">
        <v>0</v>
      </c>
      <c r="Y167" s="65" t="s">
        <v>1341</v>
      </c>
      <c r="Z167" s="65" t="s">
        <v>862</v>
      </c>
      <c r="AA167" s="65" t="s">
        <v>1363</v>
      </c>
      <c r="AB167" s="65">
        <f>VLOOKUP(Z167,SABANA!$B$1:$AY$479,27,0)</f>
        <v>2</v>
      </c>
      <c r="AC167" s="65" t="str">
        <f>VLOOKUP(Z167,SABANA!$B$1:$AY$479,48,0)</f>
        <v>NO</v>
      </c>
      <c r="AD167" s="65">
        <f>VLOOKUP(Z167,SABANA!$B$1:$AY$479,41,0)</f>
        <v>3</v>
      </c>
      <c r="AE167" s="65">
        <v>6</v>
      </c>
      <c r="AF167" s="65">
        <v>54261</v>
      </c>
      <c r="AG167" s="65">
        <v>1808.7</v>
      </c>
      <c r="AH167" s="65">
        <v>175868753</v>
      </c>
      <c r="AI167" s="65">
        <v>5481180</v>
      </c>
      <c r="AJ167" s="65">
        <v>182706</v>
      </c>
      <c r="AK167" s="71">
        <v>3.1E-2</v>
      </c>
      <c r="AL167" s="71"/>
    </row>
    <row r="168" spans="5:38" x14ac:dyDescent="0.2">
      <c r="E168" s="125"/>
      <c r="H168" s="65">
        <v>155</v>
      </c>
      <c r="I168" s="65" t="s">
        <v>234</v>
      </c>
      <c r="J168" s="65">
        <v>2354510</v>
      </c>
      <c r="K168" s="65">
        <v>65838.89</v>
      </c>
      <c r="Y168" s="65" t="s">
        <v>1341</v>
      </c>
      <c r="Z168" s="65" t="s">
        <v>812</v>
      </c>
      <c r="AA168" s="65" t="s">
        <v>813</v>
      </c>
      <c r="AB168" s="65">
        <f>VLOOKUP(Z168,SABANA!$B$1:$AY$479,27,0)</f>
        <v>2</v>
      </c>
      <c r="AC168" s="65" t="str">
        <f>VLOOKUP(Z168,SABANA!$B$1:$AY$479,48,0)</f>
        <v>NO</v>
      </c>
      <c r="AD168" s="65">
        <f>VLOOKUP(Z168,SABANA!$B$1:$AY$479,41,0)</f>
        <v>3</v>
      </c>
      <c r="AE168" s="65">
        <v>6</v>
      </c>
      <c r="AF168" s="65">
        <v>30577</v>
      </c>
      <c r="AG168" s="65">
        <v>1019.233333</v>
      </c>
      <c r="AH168" s="65">
        <v>97422163</v>
      </c>
      <c r="AI168" s="65">
        <v>4237620</v>
      </c>
      <c r="AJ168" s="65">
        <v>141254</v>
      </c>
      <c r="AK168" s="71">
        <v>4.2999999999999997E-2</v>
      </c>
      <c r="AL168" s="71"/>
    </row>
    <row r="169" spans="5:38" x14ac:dyDescent="0.2">
      <c r="E169" s="125"/>
      <c r="H169" s="65">
        <v>1559</v>
      </c>
      <c r="I169" s="65" t="s">
        <v>1268</v>
      </c>
      <c r="J169" s="65">
        <v>9210</v>
      </c>
      <c r="K169" s="65">
        <v>-8132</v>
      </c>
      <c r="Y169" s="65" t="s">
        <v>1341</v>
      </c>
      <c r="Z169" s="65" t="s">
        <v>864</v>
      </c>
      <c r="AA169" s="65" t="s">
        <v>865</v>
      </c>
      <c r="AB169" s="65">
        <f>VLOOKUP(Z169,SABANA!$B$1:$AY$479,27,0)</f>
        <v>2</v>
      </c>
      <c r="AC169" s="65" t="str">
        <f>VLOOKUP(Z169,SABANA!$B$1:$AY$479,48,0)</f>
        <v>NO</v>
      </c>
      <c r="AD169" s="65">
        <f>VLOOKUP(Z169,SABANA!$B$1:$AY$479,41,0)</f>
        <v>3</v>
      </c>
      <c r="AE169" s="65">
        <v>6</v>
      </c>
      <c r="AF169" s="65">
        <v>48016</v>
      </c>
      <c r="AG169" s="65">
        <v>1600.5333330000001</v>
      </c>
      <c r="AH169" s="65">
        <v>150777949</v>
      </c>
      <c r="AI169" s="65">
        <v>6503550</v>
      </c>
      <c r="AJ169" s="65">
        <v>216785</v>
      </c>
      <c r="AK169" s="71">
        <v>4.2999999999999997E-2</v>
      </c>
      <c r="AL169" s="71"/>
    </row>
    <row r="170" spans="5:38" x14ac:dyDescent="0.2">
      <c r="E170" s="125"/>
      <c r="H170" s="65">
        <v>1560</v>
      </c>
      <c r="I170" s="65" t="s">
        <v>1269</v>
      </c>
      <c r="J170" s="65">
        <v>3250</v>
      </c>
      <c r="K170" s="65">
        <v>-7615.66</v>
      </c>
      <c r="Y170" s="65" t="s">
        <v>1341</v>
      </c>
      <c r="Z170" s="65" t="s">
        <v>731</v>
      </c>
      <c r="AA170" s="65" t="s">
        <v>1364</v>
      </c>
      <c r="AB170" s="65">
        <f>VLOOKUP(Z170,SABANA!$B$1:$AY$479,27,0)</f>
        <v>2</v>
      </c>
      <c r="AC170" s="65" t="str">
        <f>VLOOKUP(Z170,SABANA!$B$1:$AY$479,48,0)</f>
        <v>NO</v>
      </c>
      <c r="AD170" s="65">
        <f>VLOOKUP(Z170,SABANA!$B$1:$AY$479,41,0)</f>
        <v>3</v>
      </c>
      <c r="AE170" s="65">
        <v>6</v>
      </c>
      <c r="AF170" s="65">
        <v>42279</v>
      </c>
      <c r="AG170" s="65">
        <v>1409.3</v>
      </c>
      <c r="AH170" s="65">
        <v>141445254</v>
      </c>
      <c r="AI170" s="65">
        <v>4980060</v>
      </c>
      <c r="AJ170" s="65">
        <v>166002</v>
      </c>
      <c r="AK170" s="71">
        <v>3.5000000000000003E-2</v>
      </c>
      <c r="AL170" s="71"/>
    </row>
    <row r="171" spans="5:38" x14ac:dyDescent="0.2">
      <c r="E171" s="125"/>
      <c r="H171" s="65">
        <v>1561</v>
      </c>
      <c r="I171" s="65" t="s">
        <v>224</v>
      </c>
      <c r="J171" s="65">
        <v>5090260</v>
      </c>
      <c r="K171" s="65">
        <v>972543.57</v>
      </c>
      <c r="Y171" s="65" t="s">
        <v>1341</v>
      </c>
      <c r="Z171" s="65" t="s">
        <v>733</v>
      </c>
      <c r="AA171" s="65" t="s">
        <v>734</v>
      </c>
      <c r="AB171" s="65">
        <f>VLOOKUP(Z171,SABANA!$B$1:$AY$479,27,0)</f>
        <v>2</v>
      </c>
      <c r="AC171" s="65" t="str">
        <f>VLOOKUP(Z171,SABANA!$B$1:$AY$479,48,0)</f>
        <v>NO</v>
      </c>
      <c r="AD171" s="65">
        <f>VLOOKUP(Z171,SABANA!$B$1:$AY$479,41,0)</f>
        <v>3</v>
      </c>
      <c r="AE171" s="65">
        <v>6</v>
      </c>
      <c r="AF171" s="65">
        <v>62236</v>
      </c>
      <c r="AG171" s="65">
        <v>2074.5333329999999</v>
      </c>
      <c r="AH171" s="65">
        <v>208004303</v>
      </c>
      <c r="AI171" s="65">
        <v>7431140</v>
      </c>
      <c r="AJ171" s="65">
        <v>247704.6667</v>
      </c>
      <c r="AK171" s="71">
        <v>3.5999999999999997E-2</v>
      </c>
      <c r="AL171" s="71"/>
    </row>
    <row r="172" spans="5:38" x14ac:dyDescent="0.2">
      <c r="E172" s="125"/>
      <c r="H172" s="65">
        <v>157</v>
      </c>
      <c r="I172" s="65" t="s">
        <v>240</v>
      </c>
      <c r="J172" s="65">
        <v>6924190</v>
      </c>
      <c r="K172" s="65">
        <v>568369.1</v>
      </c>
      <c r="Y172" s="65" t="s">
        <v>1341</v>
      </c>
      <c r="Z172" s="65" t="s">
        <v>814</v>
      </c>
      <c r="AA172" s="65" t="s">
        <v>1365</v>
      </c>
      <c r="AB172" s="65">
        <f>VLOOKUP(Z172,SABANA!$B$1:$AY$479,27,0)</f>
        <v>2</v>
      </c>
      <c r="AC172" s="65" t="str">
        <f>VLOOKUP(Z172,SABANA!$B$1:$AY$479,48,0)</f>
        <v>NO</v>
      </c>
      <c r="AD172" s="65">
        <f>VLOOKUP(Z172,SABANA!$B$1:$AY$479,41,0)</f>
        <v>3</v>
      </c>
      <c r="AE172" s="65">
        <v>6</v>
      </c>
      <c r="AF172" s="65">
        <v>62115</v>
      </c>
      <c r="AG172" s="65">
        <v>2070.5</v>
      </c>
      <c r="AH172" s="65">
        <v>220204279</v>
      </c>
      <c r="AI172" s="65">
        <v>8108490</v>
      </c>
      <c r="AJ172" s="65">
        <v>270283</v>
      </c>
      <c r="AK172" s="71">
        <v>3.6999999999999998E-2</v>
      </c>
      <c r="AL172" s="71"/>
    </row>
    <row r="173" spans="5:38" x14ac:dyDescent="0.2">
      <c r="E173" s="125"/>
      <c r="H173" s="65">
        <v>1601</v>
      </c>
      <c r="I173" s="65" t="s">
        <v>299</v>
      </c>
      <c r="J173" s="65">
        <v>3777080</v>
      </c>
      <c r="K173" s="65">
        <v>406000</v>
      </c>
      <c r="Y173" s="65" t="s">
        <v>1366</v>
      </c>
      <c r="Z173" s="65" t="s">
        <v>625</v>
      </c>
      <c r="AA173" s="65" t="s">
        <v>626</v>
      </c>
      <c r="AB173" s="65">
        <f>VLOOKUP(Z173,SABANA!$B$1:$AY$479,27,0)</f>
        <v>3</v>
      </c>
      <c r="AC173" s="65" t="str">
        <f>VLOOKUP(Z173,SABANA!$B$1:$AY$479,48,0)</f>
        <v>NO</v>
      </c>
      <c r="AD173" s="65">
        <f>VLOOKUP(Z173,SABANA!$B$1:$AY$479,41,0)</f>
        <v>2</v>
      </c>
      <c r="AE173" s="65">
        <v>6</v>
      </c>
      <c r="AF173" s="65">
        <v>51876</v>
      </c>
      <c r="AG173" s="65">
        <v>1729.2</v>
      </c>
      <c r="AH173" s="65">
        <v>155670331</v>
      </c>
      <c r="AI173" s="65">
        <v>2708890</v>
      </c>
      <c r="AJ173" s="65">
        <v>90296.333329999994</v>
      </c>
      <c r="AK173" s="71">
        <v>1.7000000000000001E-2</v>
      </c>
      <c r="AL173" s="71"/>
    </row>
    <row r="174" spans="5:38" x14ac:dyDescent="0.2">
      <c r="E174" s="125"/>
      <c r="H174" s="65">
        <v>1623</v>
      </c>
      <c r="I174" s="65" t="s">
        <v>293</v>
      </c>
      <c r="J174" s="65">
        <v>162980</v>
      </c>
      <c r="K174" s="65">
        <v>129309.18</v>
      </c>
      <c r="Y174" s="65" t="s">
        <v>1366</v>
      </c>
      <c r="Z174" s="65" t="s">
        <v>756</v>
      </c>
      <c r="AA174" s="65" t="s">
        <v>757</v>
      </c>
      <c r="AB174" s="65">
        <f>VLOOKUP(Z174,SABANA!$B$1:$AY$479,27,0)</f>
        <v>3</v>
      </c>
      <c r="AC174" s="65" t="str">
        <f>VLOOKUP(Z174,SABANA!$B$1:$AY$479,48,0)</f>
        <v>NO</v>
      </c>
      <c r="AD174" s="65">
        <f>VLOOKUP(Z174,SABANA!$B$1:$AY$479,41,0)</f>
        <v>2</v>
      </c>
      <c r="AE174" s="65">
        <v>6</v>
      </c>
      <c r="AF174" s="65">
        <v>106433</v>
      </c>
      <c r="AG174" s="65">
        <v>3547.7666669999999</v>
      </c>
      <c r="AH174" s="65">
        <v>349889612</v>
      </c>
      <c r="AI174" s="65">
        <v>6841910</v>
      </c>
      <c r="AJ174" s="65">
        <v>228063.6667</v>
      </c>
      <c r="AK174" s="71">
        <v>0.02</v>
      </c>
      <c r="AL174" s="71"/>
    </row>
    <row r="175" spans="5:38" x14ac:dyDescent="0.2">
      <c r="E175" s="125"/>
      <c r="H175" s="65">
        <v>1632</v>
      </c>
      <c r="I175" s="65" t="s">
        <v>1276</v>
      </c>
      <c r="J175" s="65">
        <v>0</v>
      </c>
      <c r="K175" s="65">
        <v>0</v>
      </c>
      <c r="Y175" s="65" t="s">
        <v>1367</v>
      </c>
      <c r="Z175" s="65" t="s">
        <v>5</v>
      </c>
      <c r="AA175" s="65" t="s">
        <v>102</v>
      </c>
      <c r="AB175" s="65">
        <f>VLOOKUP(Z175,SABANA!$B$1:$AY$479,27,0)</f>
        <v>3</v>
      </c>
      <c r="AC175" s="65" t="str">
        <f>VLOOKUP(Z175,SABANA!$B$1:$AY$479,48,0)</f>
        <v>NO</v>
      </c>
      <c r="AD175" s="65">
        <f>VLOOKUP(Z175,SABANA!$B$1:$AY$479,41,0)</f>
        <v>2</v>
      </c>
      <c r="AE175" s="65">
        <v>6</v>
      </c>
      <c r="AF175" s="65">
        <v>53749</v>
      </c>
      <c r="AG175" s="65">
        <v>1791.633333</v>
      </c>
      <c r="AH175" s="65">
        <v>180112102</v>
      </c>
      <c r="AI175" s="65">
        <v>3857910</v>
      </c>
      <c r="AJ175" s="65">
        <v>128597</v>
      </c>
      <c r="AK175" s="71">
        <v>2.1000000000000001E-2</v>
      </c>
      <c r="AL175" s="71"/>
    </row>
    <row r="176" spans="5:38" x14ac:dyDescent="0.2">
      <c r="E176" s="125"/>
      <c r="H176" s="65">
        <v>1671</v>
      </c>
      <c r="I176" s="65" t="s">
        <v>277</v>
      </c>
      <c r="J176" s="65">
        <v>5006350</v>
      </c>
      <c r="K176" s="65">
        <v>401219.16</v>
      </c>
      <c r="Y176" s="65" t="s">
        <v>1367</v>
      </c>
      <c r="Z176" s="65" t="s">
        <v>35</v>
      </c>
      <c r="AA176" s="65" t="s">
        <v>132</v>
      </c>
      <c r="AB176" s="65">
        <f>VLOOKUP(Z176,SABANA!$B$1:$AY$479,27,0)</f>
        <v>2</v>
      </c>
      <c r="AC176" s="65" t="str">
        <f>VLOOKUP(Z176,SABANA!$B$1:$AY$479,48,0)</f>
        <v>NO</v>
      </c>
      <c r="AD176" s="65">
        <f>VLOOKUP(Z176,SABANA!$B$1:$AY$479,41,0)</f>
        <v>2</v>
      </c>
      <c r="AE176" s="65">
        <v>6</v>
      </c>
      <c r="AF176" s="65">
        <v>62396</v>
      </c>
      <c r="AG176" s="65">
        <v>2079.8666669999998</v>
      </c>
      <c r="AH176" s="65">
        <v>197152354</v>
      </c>
      <c r="AI176" s="65">
        <v>5267500</v>
      </c>
      <c r="AJ176" s="65">
        <v>175583.3333</v>
      </c>
      <c r="AK176" s="71">
        <v>2.7E-2</v>
      </c>
      <c r="AL176" s="71"/>
    </row>
    <row r="177" spans="5:38" x14ac:dyDescent="0.2">
      <c r="E177" s="125"/>
      <c r="H177" s="65">
        <v>1673</v>
      </c>
      <c r="I177" s="65" t="s">
        <v>281</v>
      </c>
      <c r="J177" s="65">
        <v>3646650</v>
      </c>
      <c r="K177" s="65">
        <v>434377.38</v>
      </c>
      <c r="Y177" s="65" t="s">
        <v>1367</v>
      </c>
      <c r="Z177" s="65" t="s">
        <v>366</v>
      </c>
      <c r="AA177" s="65" t="s">
        <v>367</v>
      </c>
      <c r="AB177" s="65">
        <f>VLOOKUP(Z177,SABANA!$B$1:$AY$479,27,0)</f>
        <v>3</v>
      </c>
      <c r="AC177" s="65" t="str">
        <f>VLOOKUP(Z177,SABANA!$B$1:$AY$479,48,0)</f>
        <v>NO</v>
      </c>
      <c r="AD177" s="65">
        <f>VLOOKUP(Z177,SABANA!$B$1:$AY$479,41,0)</f>
        <v>2</v>
      </c>
      <c r="AE177" s="65">
        <v>6</v>
      </c>
      <c r="AF177" s="65">
        <v>28520</v>
      </c>
      <c r="AG177" s="65">
        <v>950.66666669999995</v>
      </c>
      <c r="AH177" s="65">
        <v>96238242</v>
      </c>
      <c r="AI177" s="65">
        <v>2545430</v>
      </c>
      <c r="AJ177" s="65">
        <v>84847.666670000006</v>
      </c>
      <c r="AK177" s="71">
        <v>2.5999999999999999E-2</v>
      </c>
      <c r="AL177" s="71"/>
    </row>
    <row r="178" spans="5:38" x14ac:dyDescent="0.2">
      <c r="E178" s="125"/>
      <c r="H178" s="65">
        <v>1675</v>
      </c>
      <c r="I178" s="65" t="s">
        <v>288</v>
      </c>
      <c r="J178" s="65">
        <v>7980</v>
      </c>
      <c r="K178" s="65">
        <v>-6200.1</v>
      </c>
      <c r="Y178" s="65" t="s">
        <v>1367</v>
      </c>
      <c r="Z178" s="65" t="s">
        <v>66</v>
      </c>
      <c r="AA178" s="65" t="s">
        <v>163</v>
      </c>
      <c r="AB178" s="65">
        <f>VLOOKUP(Z178,SABANA!$B$1:$AY$479,27,0)</f>
        <v>5</v>
      </c>
      <c r="AC178" s="65" t="str">
        <f>VLOOKUP(Z178,SABANA!$B$1:$AY$479,48,0)</f>
        <v>SI</v>
      </c>
      <c r="AD178" s="65">
        <f>VLOOKUP(Z178,SABANA!$B$1:$AY$479,41,0)</f>
        <v>4</v>
      </c>
      <c r="AE178" s="65">
        <v>6</v>
      </c>
      <c r="AF178" s="65">
        <v>85827</v>
      </c>
      <c r="AG178" s="65">
        <v>2860.9</v>
      </c>
      <c r="AH178" s="65">
        <v>314085261</v>
      </c>
      <c r="AI178" s="65">
        <v>27473590</v>
      </c>
      <c r="AJ178" s="65">
        <v>915786.33330000006</v>
      </c>
      <c r="AK178" s="71">
        <v>8.6999999999999994E-2</v>
      </c>
      <c r="AL178" s="71"/>
    </row>
    <row r="179" spans="5:38" x14ac:dyDescent="0.2">
      <c r="E179" s="125"/>
      <c r="H179" s="65">
        <v>175</v>
      </c>
      <c r="I179" s="65" t="s">
        <v>250</v>
      </c>
      <c r="J179" s="65">
        <v>1440550</v>
      </c>
      <c r="K179" s="65">
        <v>68854.899999999994</v>
      </c>
      <c r="Y179" s="65" t="s">
        <v>1367</v>
      </c>
      <c r="Z179" s="65" t="s">
        <v>67</v>
      </c>
      <c r="AA179" s="65" t="s">
        <v>164</v>
      </c>
      <c r="AB179" s="65">
        <f>VLOOKUP(Z179,SABANA!$B$1:$AY$479,27,0)</f>
        <v>4</v>
      </c>
      <c r="AC179" s="65" t="str">
        <f>VLOOKUP(Z179,SABANA!$B$1:$AY$479,48,0)</f>
        <v>SI</v>
      </c>
      <c r="AD179" s="65">
        <f>VLOOKUP(Z179,SABANA!$B$1:$AY$479,41,0)</f>
        <v>4</v>
      </c>
      <c r="AE179" s="65">
        <v>6</v>
      </c>
      <c r="AF179" s="65">
        <v>83330</v>
      </c>
      <c r="AG179" s="65">
        <v>2777.666667</v>
      </c>
      <c r="AH179" s="65">
        <v>298347516</v>
      </c>
      <c r="AI179" s="65">
        <v>22251020</v>
      </c>
      <c r="AJ179" s="65">
        <v>741700.66669999994</v>
      </c>
      <c r="AK179" s="71">
        <v>7.4999999999999997E-2</v>
      </c>
      <c r="AL179" s="71"/>
    </row>
    <row r="180" spans="5:38" x14ac:dyDescent="0.2">
      <c r="E180" s="125"/>
      <c r="H180" s="65">
        <v>1800</v>
      </c>
      <c r="I180" s="65" t="s">
        <v>262</v>
      </c>
      <c r="J180" s="65">
        <v>377460</v>
      </c>
      <c r="K180" s="65">
        <v>33500</v>
      </c>
      <c r="Y180" s="65" t="s">
        <v>1367</v>
      </c>
      <c r="Z180" s="65" t="s">
        <v>368</v>
      </c>
      <c r="AA180" s="65" t="s">
        <v>369</v>
      </c>
      <c r="AB180" s="65">
        <f>VLOOKUP(Z180,SABANA!$B$1:$AY$479,27,0)</f>
        <v>3</v>
      </c>
      <c r="AC180" s="65" t="str">
        <f>VLOOKUP(Z180,SABANA!$B$1:$AY$479,48,0)</f>
        <v>NO</v>
      </c>
      <c r="AD180" s="65">
        <f>VLOOKUP(Z180,SABANA!$B$1:$AY$479,41,0)</f>
        <v>2</v>
      </c>
      <c r="AE180" s="65">
        <v>6</v>
      </c>
      <c r="AF180" s="65">
        <v>29363</v>
      </c>
      <c r="AG180" s="65">
        <v>978.76666669999997</v>
      </c>
      <c r="AH180" s="65">
        <v>101305934</v>
      </c>
      <c r="AI180" s="65">
        <v>3514730</v>
      </c>
      <c r="AJ180" s="65">
        <v>117157.6667</v>
      </c>
      <c r="AK180" s="71">
        <v>3.5000000000000003E-2</v>
      </c>
      <c r="AL180" s="71"/>
    </row>
    <row r="181" spans="5:38" x14ac:dyDescent="0.2">
      <c r="E181" s="125"/>
      <c r="H181" s="65">
        <v>1803</v>
      </c>
      <c r="I181" s="65" t="s">
        <v>265</v>
      </c>
      <c r="J181" s="65">
        <v>795900</v>
      </c>
      <c r="K181" s="65">
        <v>22925.45</v>
      </c>
      <c r="Y181" s="65" t="s">
        <v>1367</v>
      </c>
      <c r="Z181" s="65" t="s">
        <v>68</v>
      </c>
      <c r="AA181" s="65" t="s">
        <v>165</v>
      </c>
      <c r="AB181" s="65">
        <f>VLOOKUP(Z181,SABANA!$B$1:$AY$479,27,0)</f>
        <v>4</v>
      </c>
      <c r="AC181" s="65" t="str">
        <f>VLOOKUP(Z181,SABANA!$B$1:$AY$479,48,0)</f>
        <v>SI</v>
      </c>
      <c r="AD181" s="65">
        <f>VLOOKUP(Z181,SABANA!$B$1:$AY$479,41,0)</f>
        <v>4</v>
      </c>
      <c r="AE181" s="65">
        <v>6</v>
      </c>
      <c r="AF181" s="65">
        <v>60610</v>
      </c>
      <c r="AG181" s="65">
        <v>2020.333333</v>
      </c>
      <c r="AH181" s="65">
        <v>211738190</v>
      </c>
      <c r="AI181" s="65">
        <v>17056120</v>
      </c>
      <c r="AJ181" s="65">
        <v>568537.33330000006</v>
      </c>
      <c r="AK181" s="71">
        <v>8.1000000000000003E-2</v>
      </c>
      <c r="AL181" s="71"/>
    </row>
    <row r="182" spans="5:38" x14ac:dyDescent="0.2">
      <c r="E182" s="125"/>
      <c r="H182" s="65">
        <v>1804</v>
      </c>
      <c r="I182" s="65" t="s">
        <v>270</v>
      </c>
      <c r="J182" s="65">
        <v>4990</v>
      </c>
      <c r="K182" s="65">
        <v>33560.68</v>
      </c>
      <c r="Y182" s="65" t="s">
        <v>1367</v>
      </c>
      <c r="Z182" s="65" t="s">
        <v>6</v>
      </c>
      <c r="AA182" s="65" t="s">
        <v>103</v>
      </c>
      <c r="AB182" s="65">
        <f>VLOOKUP(Z182,SABANA!$B$1:$AY$479,27,0)</f>
        <v>3</v>
      </c>
      <c r="AC182" s="65" t="str">
        <f>VLOOKUP(Z182,SABANA!$B$1:$AY$479,48,0)</f>
        <v>NO</v>
      </c>
      <c r="AD182" s="65">
        <f>VLOOKUP(Z182,SABANA!$B$1:$AY$479,41,0)</f>
        <v>4</v>
      </c>
      <c r="AE182" s="65">
        <v>6</v>
      </c>
      <c r="AF182" s="65">
        <v>46269</v>
      </c>
      <c r="AG182" s="65">
        <v>1542.3</v>
      </c>
      <c r="AH182" s="65">
        <v>147113440</v>
      </c>
      <c r="AI182" s="65">
        <v>4122060</v>
      </c>
      <c r="AJ182" s="65">
        <v>137402</v>
      </c>
      <c r="AK182" s="71">
        <v>2.8000000000000001E-2</v>
      </c>
      <c r="AL182" s="71"/>
    </row>
    <row r="183" spans="5:38" x14ac:dyDescent="0.2">
      <c r="E183" s="125"/>
      <c r="H183" s="65">
        <v>1806</v>
      </c>
      <c r="I183" s="65" t="s">
        <v>285</v>
      </c>
      <c r="J183" s="65">
        <v>525930</v>
      </c>
      <c r="K183" s="65">
        <v>127698.75</v>
      </c>
      <c r="Y183" s="65" t="s">
        <v>1367</v>
      </c>
      <c r="Z183" s="65" t="s">
        <v>372</v>
      </c>
      <c r="AA183" s="65" t="s">
        <v>373</v>
      </c>
      <c r="AB183" s="65">
        <f>VLOOKUP(Z183,SABANA!$B$1:$AY$479,27,0)</f>
        <v>3</v>
      </c>
      <c r="AC183" s="65" t="str">
        <f>VLOOKUP(Z183,SABANA!$B$1:$AY$479,48,0)</f>
        <v>NO</v>
      </c>
      <c r="AD183" s="65">
        <f>VLOOKUP(Z183,SABANA!$B$1:$AY$479,41,0)</f>
        <v>2</v>
      </c>
      <c r="AE183" s="65">
        <v>6</v>
      </c>
      <c r="AF183" s="65">
        <v>39615</v>
      </c>
      <c r="AG183" s="65">
        <v>1320.5</v>
      </c>
      <c r="AH183" s="65">
        <v>129422065</v>
      </c>
      <c r="AI183" s="65">
        <v>2959600</v>
      </c>
      <c r="AJ183" s="65">
        <v>98653.333329999994</v>
      </c>
      <c r="AK183" s="71">
        <v>2.3E-2</v>
      </c>
      <c r="AL183" s="71"/>
    </row>
    <row r="184" spans="5:38" x14ac:dyDescent="0.2">
      <c r="E184" s="125"/>
      <c r="H184" s="65">
        <v>1807</v>
      </c>
      <c r="I184" s="65" t="s">
        <v>273</v>
      </c>
      <c r="J184" s="65">
        <v>1040890</v>
      </c>
      <c r="K184" s="65">
        <v>69591.509999999995</v>
      </c>
      <c r="Y184" s="65" t="s">
        <v>1367</v>
      </c>
      <c r="Z184" s="65" t="s">
        <v>7</v>
      </c>
      <c r="AA184" s="65" t="s">
        <v>104</v>
      </c>
      <c r="AB184" s="65">
        <f>VLOOKUP(Z184,SABANA!$B$1:$AY$479,27,0)</f>
        <v>2</v>
      </c>
      <c r="AC184" s="65" t="str">
        <f>VLOOKUP(Z184,SABANA!$B$1:$AY$479,48,0)</f>
        <v>NO</v>
      </c>
      <c r="AD184" s="65">
        <f>VLOOKUP(Z184,SABANA!$B$1:$AY$479,41,0)</f>
        <v>2</v>
      </c>
      <c r="AE184" s="65">
        <v>6</v>
      </c>
      <c r="AF184" s="65">
        <v>46786</v>
      </c>
      <c r="AG184" s="65">
        <v>1559.5333330000001</v>
      </c>
      <c r="AH184" s="65">
        <v>153038646</v>
      </c>
      <c r="AI184" s="65">
        <v>3757190</v>
      </c>
      <c r="AJ184" s="65">
        <v>125239.6667</v>
      </c>
      <c r="AK184" s="71">
        <v>2.5000000000000001E-2</v>
      </c>
      <c r="AL184" s="71"/>
    </row>
    <row r="185" spans="5:38" x14ac:dyDescent="0.2">
      <c r="E185" s="125"/>
      <c r="H185" s="65">
        <v>1812</v>
      </c>
      <c r="I185" s="65" t="s">
        <v>304</v>
      </c>
      <c r="J185" s="65">
        <v>598400</v>
      </c>
      <c r="K185" s="65">
        <v>60539.1</v>
      </c>
      <c r="Y185" s="65" t="s">
        <v>1367</v>
      </c>
      <c r="Z185" s="65" t="s">
        <v>69</v>
      </c>
      <c r="AA185" s="65" t="s">
        <v>166</v>
      </c>
      <c r="AB185" s="65">
        <f>VLOOKUP(Z185,SABANA!$B$1:$AY$479,27,0)</f>
        <v>4</v>
      </c>
      <c r="AC185" s="65" t="str">
        <f>VLOOKUP(Z185,SABANA!$B$1:$AY$479,48,0)</f>
        <v>SI</v>
      </c>
      <c r="AD185" s="65">
        <f>VLOOKUP(Z185,SABANA!$B$1:$AY$479,41,0)</f>
        <v>2</v>
      </c>
      <c r="AE185" s="65">
        <v>6</v>
      </c>
      <c r="AF185" s="65">
        <v>64164</v>
      </c>
      <c r="AG185" s="65">
        <v>2138.8000000000002</v>
      </c>
      <c r="AH185" s="65">
        <v>215047849</v>
      </c>
      <c r="AI185" s="65">
        <v>14642470</v>
      </c>
      <c r="AJ185" s="65">
        <v>488082.3333</v>
      </c>
      <c r="AK185" s="71">
        <v>6.8000000000000005E-2</v>
      </c>
      <c r="AL185" s="71"/>
    </row>
    <row r="186" spans="5:38" x14ac:dyDescent="0.2">
      <c r="E186" s="125"/>
      <c r="H186" s="65">
        <v>1813</v>
      </c>
      <c r="I186" s="65" t="s">
        <v>1267</v>
      </c>
      <c r="J186" s="65">
        <v>29610</v>
      </c>
      <c r="K186" s="65">
        <v>16800</v>
      </c>
      <c r="Y186" s="65" t="s">
        <v>1367</v>
      </c>
      <c r="Z186" s="65" t="s">
        <v>36</v>
      </c>
      <c r="AA186" s="65" t="s">
        <v>133</v>
      </c>
      <c r="AB186" s="65">
        <f>VLOOKUP(Z186,SABANA!$B$1:$AY$479,27,0)</f>
        <v>3</v>
      </c>
      <c r="AC186" s="65" t="str">
        <f>VLOOKUP(Z186,SABANA!$B$1:$AY$479,48,0)</f>
        <v>NO</v>
      </c>
      <c r="AD186" s="65">
        <f>VLOOKUP(Z186,SABANA!$B$1:$AY$479,41,0)</f>
        <v>2</v>
      </c>
      <c r="AE186" s="65">
        <v>6</v>
      </c>
      <c r="AF186" s="65">
        <v>51841</v>
      </c>
      <c r="AG186" s="65">
        <v>1728.0333330000001</v>
      </c>
      <c r="AH186" s="65">
        <v>167484146</v>
      </c>
      <c r="AI186" s="65">
        <v>6091760</v>
      </c>
      <c r="AJ186" s="65">
        <v>203058.6667</v>
      </c>
      <c r="AK186" s="71">
        <v>3.5999999999999997E-2</v>
      </c>
      <c r="AL186" s="71"/>
    </row>
    <row r="187" spans="5:38" x14ac:dyDescent="0.2">
      <c r="E187" s="125"/>
      <c r="H187" s="65">
        <v>1819</v>
      </c>
      <c r="I187" s="65" t="s">
        <v>233</v>
      </c>
      <c r="J187" s="65">
        <v>192850</v>
      </c>
      <c r="K187" s="65">
        <v>57654.9</v>
      </c>
      <c r="Y187" s="65" t="s">
        <v>1367</v>
      </c>
      <c r="Z187" s="65" t="s">
        <v>37</v>
      </c>
      <c r="AA187" s="65" t="s">
        <v>134</v>
      </c>
      <c r="AB187" s="65">
        <f>VLOOKUP(Z187,SABANA!$B$1:$AY$479,27,0)</f>
        <v>3</v>
      </c>
      <c r="AC187" s="65" t="str">
        <f>VLOOKUP(Z187,SABANA!$B$1:$AY$479,48,0)</f>
        <v>NO</v>
      </c>
      <c r="AD187" s="65">
        <f>VLOOKUP(Z187,SABANA!$B$1:$AY$479,41,0)</f>
        <v>4</v>
      </c>
      <c r="AE187" s="65">
        <v>6</v>
      </c>
      <c r="AF187" s="65">
        <v>50683</v>
      </c>
      <c r="AG187" s="65">
        <v>1689.4333329999999</v>
      </c>
      <c r="AH187" s="65">
        <v>174628209</v>
      </c>
      <c r="AI187" s="65">
        <v>6338430</v>
      </c>
      <c r="AJ187" s="65">
        <v>211281</v>
      </c>
      <c r="AK187" s="71">
        <v>3.5999999999999997E-2</v>
      </c>
      <c r="AL187" s="71"/>
    </row>
    <row r="188" spans="5:38" x14ac:dyDescent="0.2">
      <c r="E188" s="125"/>
      <c r="H188" s="65">
        <v>1867</v>
      </c>
      <c r="I188" s="65" t="s">
        <v>294</v>
      </c>
      <c r="J188" s="65">
        <v>486240</v>
      </c>
      <c r="K188" s="65">
        <v>30185.68</v>
      </c>
      <c r="Y188" s="65" t="s">
        <v>1367</v>
      </c>
      <c r="Z188" s="65" t="s">
        <v>70</v>
      </c>
      <c r="AA188" s="65" t="s">
        <v>167</v>
      </c>
      <c r="AB188" s="65">
        <f>VLOOKUP(Z188,SABANA!$B$1:$AY$479,27,0)</f>
        <v>4</v>
      </c>
      <c r="AC188" s="65" t="str">
        <f>VLOOKUP(Z188,SABANA!$B$1:$AY$479,48,0)</f>
        <v>SI</v>
      </c>
      <c r="AD188" s="65">
        <f>VLOOKUP(Z188,SABANA!$B$1:$AY$479,41,0)</f>
        <v>2</v>
      </c>
      <c r="AE188" s="65">
        <v>6</v>
      </c>
      <c r="AF188" s="65">
        <v>60467</v>
      </c>
      <c r="AG188" s="65">
        <v>2015.5666670000001</v>
      </c>
      <c r="AH188" s="65">
        <v>195398367</v>
      </c>
      <c r="AI188" s="65">
        <v>20001580</v>
      </c>
      <c r="AJ188" s="65">
        <v>666719.33330000006</v>
      </c>
      <c r="AK188" s="71">
        <v>0.10199999999999999</v>
      </c>
      <c r="AL188" s="71"/>
    </row>
    <row r="189" spans="5:38" x14ac:dyDescent="0.2">
      <c r="E189" s="125"/>
      <c r="H189" s="65">
        <v>1868</v>
      </c>
      <c r="I189" s="65" t="s">
        <v>1265</v>
      </c>
      <c r="J189" s="65">
        <v>2737690</v>
      </c>
      <c r="K189" s="65">
        <v>73398.929999999993</v>
      </c>
      <c r="Y189" s="65" t="s">
        <v>1367</v>
      </c>
      <c r="Z189" s="65" t="s">
        <v>71</v>
      </c>
      <c r="AA189" s="65" t="s">
        <v>168</v>
      </c>
      <c r="AB189" s="65">
        <f>VLOOKUP(Z189,SABANA!$B$1:$AY$479,27,0)</f>
        <v>3</v>
      </c>
      <c r="AC189" s="65" t="str">
        <f>VLOOKUP(Z189,SABANA!$B$1:$AY$479,48,0)</f>
        <v>SI</v>
      </c>
      <c r="AD189" s="65">
        <f>VLOOKUP(Z189,SABANA!$B$1:$AY$479,41,0)</f>
        <v>2</v>
      </c>
      <c r="AE189" s="65">
        <v>6</v>
      </c>
      <c r="AF189" s="65">
        <v>67417</v>
      </c>
      <c r="AG189" s="65">
        <v>2247.2333330000001</v>
      </c>
      <c r="AH189" s="65">
        <v>218224427</v>
      </c>
      <c r="AI189" s="65">
        <v>16686810</v>
      </c>
      <c r="AJ189" s="65">
        <v>556227</v>
      </c>
      <c r="AK189" s="71">
        <v>7.5999999999999998E-2</v>
      </c>
      <c r="AL189" s="71"/>
    </row>
    <row r="190" spans="5:38" x14ac:dyDescent="0.2">
      <c r="E190" s="125"/>
      <c r="H190" s="65">
        <v>2001</v>
      </c>
      <c r="I190" s="65" t="s">
        <v>296</v>
      </c>
      <c r="J190" s="65">
        <v>0</v>
      </c>
      <c r="K190" s="65">
        <v>-4200</v>
      </c>
      <c r="Y190" s="65" t="s">
        <v>1367</v>
      </c>
      <c r="Z190" s="65" t="s">
        <v>8</v>
      </c>
      <c r="AA190" s="65" t="s">
        <v>105</v>
      </c>
      <c r="AB190" s="65">
        <f>VLOOKUP(Z190,SABANA!$B$1:$AY$479,27,0)</f>
        <v>2</v>
      </c>
      <c r="AC190" s="65" t="str">
        <f>VLOOKUP(Z190,SABANA!$B$1:$AY$479,48,0)</f>
        <v>NO</v>
      </c>
      <c r="AD190" s="65">
        <f>VLOOKUP(Z190,SABANA!$B$1:$AY$479,41,0)</f>
        <v>2</v>
      </c>
      <c r="AE190" s="65">
        <v>6</v>
      </c>
      <c r="AF190" s="65">
        <v>49475</v>
      </c>
      <c r="AG190" s="65">
        <v>1649.166667</v>
      </c>
      <c r="AH190" s="65">
        <v>173747254</v>
      </c>
      <c r="AI190" s="65">
        <v>2904960</v>
      </c>
      <c r="AJ190" s="65">
        <v>96832</v>
      </c>
      <c r="AK190" s="71">
        <v>1.7000000000000001E-2</v>
      </c>
      <c r="AL190" s="71"/>
    </row>
    <row r="191" spans="5:38" x14ac:dyDescent="0.2">
      <c r="E191" s="125"/>
      <c r="H191" s="65">
        <v>2050</v>
      </c>
      <c r="I191" s="65" t="s">
        <v>284</v>
      </c>
      <c r="J191" s="65">
        <v>3827210</v>
      </c>
      <c r="K191" s="65">
        <v>101029.78</v>
      </c>
      <c r="Y191" s="65" t="s">
        <v>1367</v>
      </c>
      <c r="Z191" s="65" t="s">
        <v>9</v>
      </c>
      <c r="AA191" s="65" t="s">
        <v>106</v>
      </c>
      <c r="AB191" s="65">
        <f>VLOOKUP(Z191,SABANA!$B$1:$AY$479,27,0)</f>
        <v>2</v>
      </c>
      <c r="AC191" s="65" t="str">
        <f>VLOOKUP(Z191,SABANA!$B$1:$AY$479,48,0)</f>
        <v>NO</v>
      </c>
      <c r="AD191" s="65">
        <f>VLOOKUP(Z191,SABANA!$B$1:$AY$479,41,0)</f>
        <v>2</v>
      </c>
      <c r="AE191" s="65">
        <v>6</v>
      </c>
      <c r="AF191" s="65">
        <v>47061</v>
      </c>
      <c r="AG191" s="65">
        <v>1568.7</v>
      </c>
      <c r="AH191" s="65">
        <v>165815548</v>
      </c>
      <c r="AI191" s="65">
        <v>2698260</v>
      </c>
      <c r="AJ191" s="65">
        <v>89942</v>
      </c>
      <c r="AK191" s="71">
        <v>1.6E-2</v>
      </c>
      <c r="AL191" s="71"/>
    </row>
    <row r="192" spans="5:38" x14ac:dyDescent="0.2">
      <c r="E192" s="125"/>
      <c r="H192" s="65">
        <v>2052</v>
      </c>
      <c r="I192" s="65" t="s">
        <v>251</v>
      </c>
      <c r="J192" s="65">
        <v>173380</v>
      </c>
      <c r="K192" s="65">
        <v>65992.81</v>
      </c>
      <c r="Y192" s="65" t="s">
        <v>1367</v>
      </c>
      <c r="Z192" s="65" t="s">
        <v>38</v>
      </c>
      <c r="AA192" s="65" t="s">
        <v>135</v>
      </c>
      <c r="AB192" s="65">
        <f>VLOOKUP(Z192,SABANA!$B$1:$AY$479,27,0)</f>
        <v>2</v>
      </c>
      <c r="AC192" s="65" t="str">
        <f>VLOOKUP(Z192,SABANA!$B$1:$AY$479,48,0)</f>
        <v>NO</v>
      </c>
      <c r="AD192" s="65">
        <f>VLOOKUP(Z192,SABANA!$B$1:$AY$479,41,0)</f>
        <v>2</v>
      </c>
      <c r="AE192" s="65">
        <v>6</v>
      </c>
      <c r="AF192" s="65">
        <v>57904</v>
      </c>
      <c r="AG192" s="65">
        <v>1930.133333</v>
      </c>
      <c r="AH192" s="65">
        <v>203362212</v>
      </c>
      <c r="AI192" s="65">
        <v>4878600</v>
      </c>
      <c r="AJ192" s="65">
        <v>162620</v>
      </c>
      <c r="AK192" s="71">
        <v>2.4E-2</v>
      </c>
      <c r="AL192" s="71"/>
    </row>
    <row r="193" spans="5:38" x14ac:dyDescent="0.2">
      <c r="E193" s="125"/>
      <c r="H193" s="65">
        <v>217</v>
      </c>
      <c r="I193" s="65" t="s">
        <v>1289</v>
      </c>
      <c r="J193" s="65">
        <v>0</v>
      </c>
      <c r="K193" s="65">
        <v>0</v>
      </c>
      <c r="Y193" s="65" t="s">
        <v>1367</v>
      </c>
      <c r="Z193" s="65" t="s">
        <v>39</v>
      </c>
      <c r="AA193" s="65" t="s">
        <v>136</v>
      </c>
      <c r="AB193" s="65">
        <f>VLOOKUP(Z193,SABANA!$B$1:$AY$479,27,0)</f>
        <v>3</v>
      </c>
      <c r="AC193" s="65" t="str">
        <f>VLOOKUP(Z193,SABANA!$B$1:$AY$479,48,0)</f>
        <v>NO</v>
      </c>
      <c r="AD193" s="65">
        <f>VLOOKUP(Z193,SABANA!$B$1:$AY$479,41,0)</f>
        <v>2</v>
      </c>
      <c r="AE193" s="65">
        <v>6</v>
      </c>
      <c r="AF193" s="65">
        <v>78236</v>
      </c>
      <c r="AG193" s="65">
        <v>2607.8666669999998</v>
      </c>
      <c r="AH193" s="65">
        <v>267467293</v>
      </c>
      <c r="AI193" s="65">
        <v>6690990</v>
      </c>
      <c r="AJ193" s="65">
        <v>223033</v>
      </c>
      <c r="AK193" s="71">
        <v>2.5000000000000001E-2</v>
      </c>
      <c r="AL193" s="71"/>
    </row>
    <row r="194" spans="5:38" x14ac:dyDescent="0.2">
      <c r="E194" s="125"/>
      <c r="H194" s="65">
        <v>223</v>
      </c>
      <c r="I194" s="65" t="s">
        <v>1290</v>
      </c>
      <c r="J194" s="65">
        <v>0</v>
      </c>
      <c r="K194" s="65">
        <v>0</v>
      </c>
      <c r="Y194" s="65" t="s">
        <v>1367</v>
      </c>
      <c r="Z194" s="65" t="s">
        <v>40</v>
      </c>
      <c r="AA194" s="65" t="s">
        <v>137</v>
      </c>
      <c r="AB194" s="65">
        <f>VLOOKUP(Z194,SABANA!$B$1:$AY$479,27,0)</f>
        <v>2</v>
      </c>
      <c r="AC194" s="65" t="str">
        <f>VLOOKUP(Z194,SABANA!$B$1:$AY$479,48,0)</f>
        <v>SI</v>
      </c>
      <c r="AD194" s="65">
        <f>VLOOKUP(Z194,SABANA!$B$1:$AY$479,41,0)</f>
        <v>4</v>
      </c>
      <c r="AE194" s="65">
        <v>6</v>
      </c>
      <c r="AF194" s="65">
        <v>69619</v>
      </c>
      <c r="AG194" s="65">
        <v>2320.6333330000002</v>
      </c>
      <c r="AH194" s="65">
        <v>243505620</v>
      </c>
      <c r="AI194" s="65">
        <v>9690540</v>
      </c>
      <c r="AJ194" s="65">
        <v>323018</v>
      </c>
      <c r="AK194" s="71">
        <v>0.04</v>
      </c>
      <c r="AL194" s="71"/>
    </row>
    <row r="195" spans="5:38" x14ac:dyDescent="0.2">
      <c r="E195" s="125"/>
      <c r="H195" s="65">
        <v>2243</v>
      </c>
      <c r="I195" s="65" t="s">
        <v>279</v>
      </c>
      <c r="J195" s="65">
        <v>8005970</v>
      </c>
      <c r="K195" s="65">
        <v>80322.289999999994</v>
      </c>
      <c r="Y195" s="65" t="s">
        <v>1367</v>
      </c>
      <c r="Z195" s="65" t="s">
        <v>72</v>
      </c>
      <c r="AA195" s="65" t="s">
        <v>169</v>
      </c>
      <c r="AB195" s="65">
        <f>VLOOKUP(Z195,SABANA!$B$1:$AY$479,27,0)</f>
        <v>2</v>
      </c>
      <c r="AC195" s="65" t="str">
        <f>VLOOKUP(Z195,SABANA!$B$1:$AY$479,48,0)</f>
        <v>SI</v>
      </c>
      <c r="AD195" s="65">
        <f>VLOOKUP(Z195,SABANA!$B$1:$AY$479,41,0)</f>
        <v>2</v>
      </c>
      <c r="AE195" s="65">
        <v>6</v>
      </c>
      <c r="AF195" s="65">
        <v>75685</v>
      </c>
      <c r="AG195" s="65">
        <v>2522.833333</v>
      </c>
      <c r="AH195" s="65">
        <v>274528006</v>
      </c>
      <c r="AI195" s="65">
        <v>9689060</v>
      </c>
      <c r="AJ195" s="65">
        <v>322968.6667</v>
      </c>
      <c r="AK195" s="71">
        <v>3.5000000000000003E-2</v>
      </c>
      <c r="AL195" s="71"/>
    </row>
    <row r="196" spans="5:38" x14ac:dyDescent="0.2">
      <c r="E196" s="125"/>
      <c r="H196" s="65">
        <v>2244</v>
      </c>
      <c r="I196" s="65" t="s">
        <v>280</v>
      </c>
      <c r="J196" s="65">
        <v>4425480</v>
      </c>
      <c r="K196" s="65">
        <v>327871.21999999997</v>
      </c>
      <c r="Y196" s="65" t="s">
        <v>1367</v>
      </c>
      <c r="Z196" s="65" t="s">
        <v>10</v>
      </c>
      <c r="AA196" s="65" t="s">
        <v>107</v>
      </c>
      <c r="AB196" s="65">
        <f>VLOOKUP(Z196,SABANA!$B$1:$AY$479,27,0)</f>
        <v>2</v>
      </c>
      <c r="AC196" s="65" t="str">
        <f>VLOOKUP(Z196,SABANA!$B$1:$AY$479,48,0)</f>
        <v>NO</v>
      </c>
      <c r="AD196" s="65">
        <f>VLOOKUP(Z196,SABANA!$B$1:$AY$479,41,0)</f>
        <v>2</v>
      </c>
      <c r="AE196" s="65">
        <v>6</v>
      </c>
      <c r="AF196" s="65">
        <v>62288</v>
      </c>
      <c r="AG196" s="65">
        <v>2076.2666669999999</v>
      </c>
      <c r="AH196" s="65">
        <v>220010802</v>
      </c>
      <c r="AI196" s="65">
        <v>3854070</v>
      </c>
      <c r="AJ196" s="65">
        <v>128469</v>
      </c>
      <c r="AK196" s="71">
        <v>1.7999999999999999E-2</v>
      </c>
      <c r="AL196" s="71"/>
    </row>
    <row r="197" spans="5:38" x14ac:dyDescent="0.2">
      <c r="E197" s="125"/>
      <c r="H197" s="65">
        <v>2291</v>
      </c>
      <c r="I197" s="65" t="s">
        <v>1273</v>
      </c>
      <c r="J197" s="65">
        <v>2950</v>
      </c>
      <c r="K197" s="65">
        <v>-2750</v>
      </c>
      <c r="Y197" s="65" t="s">
        <v>1367</v>
      </c>
      <c r="Z197" s="65" t="s">
        <v>11</v>
      </c>
      <c r="AA197" s="65" t="s">
        <v>108</v>
      </c>
      <c r="AB197" s="65">
        <f>VLOOKUP(Z197,SABANA!$B$1:$AY$479,27,0)</f>
        <v>3</v>
      </c>
      <c r="AC197" s="65" t="str">
        <f>VLOOKUP(Z197,SABANA!$B$1:$AY$479,48,0)</f>
        <v>NO</v>
      </c>
      <c r="AD197" s="65">
        <f>VLOOKUP(Z197,SABANA!$B$1:$AY$479,41,0)</f>
        <v>2</v>
      </c>
      <c r="AE197" s="65">
        <v>6</v>
      </c>
      <c r="AF197" s="65">
        <v>50856</v>
      </c>
      <c r="AG197" s="65">
        <v>1695.2</v>
      </c>
      <c r="AH197" s="65">
        <v>176971250</v>
      </c>
      <c r="AI197" s="65">
        <v>2552260</v>
      </c>
      <c r="AJ197" s="65">
        <v>85075.333329999994</v>
      </c>
      <c r="AK197" s="71">
        <v>1.4E-2</v>
      </c>
      <c r="AL197" s="71"/>
    </row>
    <row r="198" spans="5:38" x14ac:dyDescent="0.2">
      <c r="E198" s="125"/>
      <c r="H198" s="65">
        <v>2296</v>
      </c>
      <c r="I198" s="65" t="s">
        <v>1270</v>
      </c>
      <c r="J198" s="65">
        <v>870</v>
      </c>
      <c r="K198" s="65">
        <v>-870</v>
      </c>
      <c r="Y198" s="65" t="s">
        <v>1367</v>
      </c>
      <c r="Z198" s="65" t="s">
        <v>41</v>
      </c>
      <c r="AA198" s="65" t="s">
        <v>138</v>
      </c>
      <c r="AB198" s="65">
        <f>VLOOKUP(Z198,SABANA!$B$1:$AY$479,27,0)</f>
        <v>3</v>
      </c>
      <c r="AC198" s="65" t="str">
        <f>VLOOKUP(Z198,SABANA!$B$1:$AY$479,48,0)</f>
        <v>NO</v>
      </c>
      <c r="AD198" s="65">
        <f>VLOOKUP(Z198,SABANA!$B$1:$AY$479,41,0)</f>
        <v>4</v>
      </c>
      <c r="AE198" s="65">
        <v>6</v>
      </c>
      <c r="AF198" s="65">
        <v>47500</v>
      </c>
      <c r="AG198" s="65">
        <v>1583.333333</v>
      </c>
      <c r="AH198" s="65">
        <v>154481197</v>
      </c>
      <c r="AI198" s="65">
        <v>3191960</v>
      </c>
      <c r="AJ198" s="65">
        <v>106398.6667</v>
      </c>
      <c r="AK198" s="71">
        <v>2.1000000000000001E-2</v>
      </c>
      <c r="AL198" s="71"/>
    </row>
    <row r="199" spans="5:38" x14ac:dyDescent="0.2">
      <c r="E199" s="125"/>
      <c r="H199" s="65">
        <v>233</v>
      </c>
      <c r="I199" s="65" t="s">
        <v>298</v>
      </c>
      <c r="J199" s="65">
        <v>2110200</v>
      </c>
      <c r="K199" s="65">
        <v>368742.07</v>
      </c>
      <c r="Y199" s="65" t="s">
        <v>1367</v>
      </c>
      <c r="Z199" s="65" t="s">
        <v>73</v>
      </c>
      <c r="AA199" s="65" t="s">
        <v>170</v>
      </c>
      <c r="AB199" s="65">
        <f>VLOOKUP(Z199,SABANA!$B$1:$AY$479,27,0)</f>
        <v>4</v>
      </c>
      <c r="AC199" s="65" t="str">
        <f>VLOOKUP(Z199,SABANA!$B$1:$AY$479,48,0)</f>
        <v>SI</v>
      </c>
      <c r="AD199" s="65">
        <f>VLOOKUP(Z199,SABANA!$B$1:$AY$479,41,0)</f>
        <v>2</v>
      </c>
      <c r="AE199" s="65">
        <v>6</v>
      </c>
      <c r="AF199" s="65">
        <v>82181</v>
      </c>
      <c r="AG199" s="65">
        <v>2739.3666669999998</v>
      </c>
      <c r="AH199" s="65">
        <v>283933790</v>
      </c>
      <c r="AI199" s="65">
        <v>28553960</v>
      </c>
      <c r="AJ199" s="65">
        <v>951798.66669999994</v>
      </c>
      <c r="AK199" s="71">
        <v>0.10100000000000001</v>
      </c>
      <c r="AL199" s="71"/>
    </row>
    <row r="200" spans="5:38" x14ac:dyDescent="0.2">
      <c r="E200" s="125"/>
      <c r="H200" s="65">
        <v>235</v>
      </c>
      <c r="I200" s="65" t="s">
        <v>309</v>
      </c>
      <c r="J200" s="65">
        <v>2362840</v>
      </c>
      <c r="K200" s="65">
        <v>392912.38</v>
      </c>
      <c r="Y200" s="65" t="s">
        <v>1367</v>
      </c>
      <c r="Z200" s="65" t="s">
        <v>74</v>
      </c>
      <c r="AA200" s="65" t="s">
        <v>171</v>
      </c>
      <c r="AB200" s="65">
        <f>VLOOKUP(Z200,SABANA!$B$1:$AY$479,27,0)</f>
        <v>3</v>
      </c>
      <c r="AC200" s="65" t="str">
        <f>VLOOKUP(Z200,SABANA!$B$1:$AY$479,48,0)</f>
        <v>SI</v>
      </c>
      <c r="AD200" s="65">
        <f>VLOOKUP(Z200,SABANA!$B$1:$AY$479,41,0)</f>
        <v>2</v>
      </c>
      <c r="AE200" s="65">
        <v>6</v>
      </c>
      <c r="AF200" s="65">
        <v>66642</v>
      </c>
      <c r="AG200" s="65">
        <v>2221.4</v>
      </c>
      <c r="AH200" s="65">
        <v>212087519</v>
      </c>
      <c r="AI200" s="65">
        <v>9445780</v>
      </c>
      <c r="AJ200" s="65">
        <v>314859.3333</v>
      </c>
      <c r="AK200" s="71">
        <v>4.4999999999999998E-2</v>
      </c>
      <c r="AL200" s="71"/>
    </row>
    <row r="201" spans="5:38" x14ac:dyDescent="0.2">
      <c r="E201" s="125"/>
      <c r="H201" s="65">
        <v>238</v>
      </c>
      <c r="I201" s="65" t="s">
        <v>315</v>
      </c>
      <c r="J201" s="65">
        <v>482820</v>
      </c>
      <c r="K201" s="65">
        <v>267363.90999999997</v>
      </c>
      <c r="Y201" s="65" t="s">
        <v>1367</v>
      </c>
      <c r="Z201" s="65" t="s">
        <v>75</v>
      </c>
      <c r="AA201" s="65" t="s">
        <v>172</v>
      </c>
      <c r="AB201" s="65">
        <f>VLOOKUP(Z201,SABANA!$B$1:$AY$479,27,0)</f>
        <v>3</v>
      </c>
      <c r="AC201" s="65" t="str">
        <f>VLOOKUP(Z201,SABANA!$B$1:$AY$479,48,0)</f>
        <v>SI</v>
      </c>
      <c r="AD201" s="65">
        <f>VLOOKUP(Z201,SABANA!$B$1:$AY$479,41,0)</f>
        <v>4</v>
      </c>
      <c r="AE201" s="65">
        <v>6</v>
      </c>
      <c r="AF201" s="65">
        <v>73388</v>
      </c>
      <c r="AG201" s="65">
        <v>2446.2666669999999</v>
      </c>
      <c r="AH201" s="65">
        <v>234494312</v>
      </c>
      <c r="AI201" s="65">
        <v>9357900</v>
      </c>
      <c r="AJ201" s="65">
        <v>311930</v>
      </c>
      <c r="AK201" s="71">
        <v>0.04</v>
      </c>
      <c r="AL201" s="71"/>
    </row>
    <row r="202" spans="5:38" x14ac:dyDescent="0.2">
      <c r="E202" s="125"/>
      <c r="H202" s="65">
        <v>883</v>
      </c>
      <c r="I202" s="65" t="s">
        <v>297</v>
      </c>
      <c r="J202" s="65">
        <v>781440</v>
      </c>
      <c r="K202" s="65">
        <v>138600</v>
      </c>
      <c r="Y202" s="65" t="s">
        <v>1367</v>
      </c>
      <c r="Z202" s="65" t="s">
        <v>12</v>
      </c>
      <c r="AA202" s="65" t="s">
        <v>109</v>
      </c>
      <c r="AB202" s="65">
        <f>VLOOKUP(Z202,SABANA!$B$1:$AY$479,27,0)</f>
        <v>2</v>
      </c>
      <c r="AC202" s="65" t="str">
        <f>VLOOKUP(Z202,SABANA!$B$1:$AY$479,48,0)</f>
        <v>NO</v>
      </c>
      <c r="AD202" s="65">
        <f>VLOOKUP(Z202,SABANA!$B$1:$AY$479,41,0)</f>
        <v>2</v>
      </c>
      <c r="AE202" s="65">
        <v>6</v>
      </c>
      <c r="AF202" s="65">
        <v>54555</v>
      </c>
      <c r="AG202" s="65">
        <v>1818.5</v>
      </c>
      <c r="AH202" s="65">
        <v>186172267</v>
      </c>
      <c r="AI202" s="65">
        <v>4059810</v>
      </c>
      <c r="AJ202" s="65">
        <v>135327</v>
      </c>
      <c r="AK202" s="71">
        <v>2.1999999999999999E-2</v>
      </c>
      <c r="AL202" s="71"/>
    </row>
    <row r="203" spans="5:38" x14ac:dyDescent="0.2">
      <c r="E203" s="125"/>
      <c r="H203" s="65">
        <v>963</v>
      </c>
      <c r="I203" s="65" t="s">
        <v>1292</v>
      </c>
      <c r="J203" s="65">
        <v>0</v>
      </c>
      <c r="K203" s="65">
        <v>0</v>
      </c>
      <c r="Y203" s="65" t="s">
        <v>1367</v>
      </c>
      <c r="Z203" s="65" t="s">
        <v>42</v>
      </c>
      <c r="AA203" s="65" t="s">
        <v>139</v>
      </c>
      <c r="AB203" s="65">
        <f>VLOOKUP(Z203,SABANA!$B$1:$AY$479,27,0)</f>
        <v>3</v>
      </c>
      <c r="AC203" s="65" t="str">
        <f>VLOOKUP(Z203,SABANA!$B$1:$AY$479,48,0)</f>
        <v>NO</v>
      </c>
      <c r="AD203" s="65">
        <f>VLOOKUP(Z203,SABANA!$B$1:$AY$479,41,0)</f>
        <v>2</v>
      </c>
      <c r="AE203" s="65">
        <v>6</v>
      </c>
      <c r="AF203" s="65">
        <v>41410</v>
      </c>
      <c r="AG203" s="65">
        <v>1380.333333</v>
      </c>
      <c r="AH203" s="65">
        <v>134480279</v>
      </c>
      <c r="AI203" s="65">
        <v>4270290</v>
      </c>
      <c r="AJ203" s="65">
        <v>142343</v>
      </c>
      <c r="AK203" s="71">
        <v>3.2000000000000001E-2</v>
      </c>
      <c r="AL203" s="71"/>
    </row>
    <row r="204" spans="5:38" x14ac:dyDescent="0.2">
      <c r="E204" s="125"/>
      <c r="H204" s="65">
        <v>964</v>
      </c>
      <c r="I204" s="65" t="s">
        <v>1294</v>
      </c>
      <c r="J204" s="65">
        <v>0</v>
      </c>
      <c r="K204" s="65">
        <v>0</v>
      </c>
      <c r="Y204" s="65" t="s">
        <v>1367</v>
      </c>
      <c r="Z204" s="65" t="s">
        <v>13</v>
      </c>
      <c r="AA204" s="65" t="s">
        <v>110</v>
      </c>
      <c r="AB204" s="65">
        <f>VLOOKUP(Z204,SABANA!$B$1:$AY$479,27,0)</f>
        <v>2</v>
      </c>
      <c r="AC204" s="65" t="str">
        <f>VLOOKUP(Z204,SABANA!$B$1:$AY$479,48,0)</f>
        <v>NO</v>
      </c>
      <c r="AD204" s="65">
        <f>VLOOKUP(Z204,SABANA!$B$1:$AY$479,41,0)</f>
        <v>2</v>
      </c>
      <c r="AE204" s="65">
        <v>6</v>
      </c>
      <c r="AF204" s="65">
        <v>65373</v>
      </c>
      <c r="AG204" s="65">
        <v>2179.1</v>
      </c>
      <c r="AH204" s="65">
        <v>214466337</v>
      </c>
      <c r="AI204" s="65">
        <v>4862950</v>
      </c>
      <c r="AJ204" s="65">
        <v>162098.3333</v>
      </c>
      <c r="AK204" s="71">
        <v>2.3E-2</v>
      </c>
      <c r="AL204" s="71"/>
    </row>
    <row r="205" spans="5:38" x14ac:dyDescent="0.2">
      <c r="E205" s="125"/>
      <c r="H205" s="65">
        <v>965</v>
      </c>
      <c r="I205" s="65" t="s">
        <v>268</v>
      </c>
      <c r="J205" s="65">
        <v>927570</v>
      </c>
      <c r="K205" s="65">
        <v>291280.13</v>
      </c>
      <c r="Y205" s="65" t="s">
        <v>1367</v>
      </c>
      <c r="Z205" s="65" t="s">
        <v>76</v>
      </c>
      <c r="AA205" s="65" t="s">
        <v>173</v>
      </c>
      <c r="AB205" s="65">
        <f>VLOOKUP(Z205,SABANA!$B$1:$AY$479,27,0)</f>
        <v>3</v>
      </c>
      <c r="AC205" s="65" t="str">
        <f>VLOOKUP(Z205,SABANA!$B$1:$AY$479,48,0)</f>
        <v>SI</v>
      </c>
      <c r="AD205" s="65">
        <f>VLOOKUP(Z205,SABANA!$B$1:$AY$479,41,0)</f>
        <v>4</v>
      </c>
      <c r="AE205" s="65">
        <v>6</v>
      </c>
      <c r="AF205" s="65">
        <v>58302</v>
      </c>
      <c r="AG205" s="65">
        <v>1943.4</v>
      </c>
      <c r="AH205" s="65">
        <v>195351186</v>
      </c>
      <c r="AI205" s="65">
        <v>9183340</v>
      </c>
      <c r="AJ205" s="65">
        <v>306111.3333</v>
      </c>
      <c r="AK205" s="71">
        <v>4.7E-2</v>
      </c>
      <c r="AL205" s="71"/>
    </row>
    <row r="206" spans="5:38" x14ac:dyDescent="0.2">
      <c r="E206" s="125"/>
      <c r="H206" s="65" t="s">
        <v>1245</v>
      </c>
      <c r="J206" s="65">
        <v>68718200</v>
      </c>
      <c r="K206" s="65">
        <v>7183283.79</v>
      </c>
      <c r="Y206" s="65" t="s">
        <v>1367</v>
      </c>
      <c r="Z206" s="65" t="s">
        <v>43</v>
      </c>
      <c r="AA206" s="65" t="s">
        <v>140</v>
      </c>
      <c r="AB206" s="65">
        <f>VLOOKUP(Z206,SABANA!$B$1:$AY$479,27,0)</f>
        <v>3</v>
      </c>
      <c r="AC206" s="65" t="str">
        <f>VLOOKUP(Z206,SABANA!$B$1:$AY$479,48,0)</f>
        <v>NO</v>
      </c>
      <c r="AD206" s="65">
        <f>VLOOKUP(Z206,SABANA!$B$1:$AY$479,41,0)</f>
        <v>2</v>
      </c>
      <c r="AE206" s="65">
        <v>6</v>
      </c>
      <c r="AF206" s="65">
        <v>47092</v>
      </c>
      <c r="AG206" s="65">
        <v>1569.7333329999999</v>
      </c>
      <c r="AH206" s="65">
        <v>157227822</v>
      </c>
      <c r="AI206" s="65">
        <v>4745310</v>
      </c>
      <c r="AJ206" s="65">
        <v>158177</v>
      </c>
      <c r="AK206" s="71">
        <v>0.03</v>
      </c>
      <c r="AL206" s="71"/>
    </row>
    <row r="207" spans="5:38" x14ac:dyDescent="0.2">
      <c r="E207" s="125"/>
      <c r="Y207" s="65" t="s">
        <v>1367</v>
      </c>
      <c r="Z207" s="65" t="s">
        <v>77</v>
      </c>
      <c r="AA207" s="65" t="s">
        <v>174</v>
      </c>
      <c r="AB207" s="65">
        <f>VLOOKUP(Z207,SABANA!$B$1:$AY$479,27,0)</f>
        <v>5</v>
      </c>
      <c r="AC207" s="65" t="str">
        <f>VLOOKUP(Z207,SABANA!$B$1:$AY$479,48,0)</f>
        <v>SI</v>
      </c>
      <c r="AD207" s="65">
        <f>VLOOKUP(Z207,SABANA!$B$1:$AY$479,41,0)</f>
        <v>2</v>
      </c>
      <c r="AE207" s="65">
        <v>6</v>
      </c>
      <c r="AF207" s="65">
        <v>44996</v>
      </c>
      <c r="AG207" s="65">
        <v>1499.866667</v>
      </c>
      <c r="AH207" s="65">
        <v>168078173</v>
      </c>
      <c r="AI207" s="65">
        <v>10919800</v>
      </c>
      <c r="AJ207" s="65">
        <v>363993.3333</v>
      </c>
      <c r="AK207" s="71">
        <v>6.5000000000000002E-2</v>
      </c>
      <c r="AL207" s="71"/>
    </row>
    <row r="208" spans="5:38" x14ac:dyDescent="0.2">
      <c r="E208" s="125"/>
      <c r="Y208" s="65" t="s">
        <v>1367</v>
      </c>
      <c r="Z208" s="65" t="s">
        <v>14</v>
      </c>
      <c r="AA208" s="65" t="s">
        <v>111</v>
      </c>
      <c r="AB208" s="65">
        <f>VLOOKUP(Z208,SABANA!$B$1:$AY$479,27,0)</f>
        <v>2</v>
      </c>
      <c r="AC208" s="65" t="str">
        <f>VLOOKUP(Z208,SABANA!$B$1:$AY$479,48,0)</f>
        <v>NO</v>
      </c>
      <c r="AD208" s="65">
        <f>VLOOKUP(Z208,SABANA!$B$1:$AY$479,41,0)</f>
        <v>2</v>
      </c>
      <c r="AE208" s="65">
        <v>6</v>
      </c>
      <c r="AF208" s="65">
        <v>38788</v>
      </c>
      <c r="AG208" s="65">
        <v>1292.9333329999999</v>
      </c>
      <c r="AH208" s="65">
        <v>129347969</v>
      </c>
      <c r="AI208" s="65">
        <v>2803260</v>
      </c>
      <c r="AJ208" s="65">
        <v>93442</v>
      </c>
      <c r="AK208" s="71">
        <v>2.1999999999999999E-2</v>
      </c>
      <c r="AL208" s="71"/>
    </row>
    <row r="209" spans="5:38" x14ac:dyDescent="0.2">
      <c r="E209" s="125"/>
      <c r="Y209" s="65" t="s">
        <v>1367</v>
      </c>
      <c r="Z209" s="65" t="s">
        <v>78</v>
      </c>
      <c r="AA209" s="65" t="s">
        <v>175</v>
      </c>
      <c r="AB209" s="65">
        <f>VLOOKUP(Z209,SABANA!$B$1:$AY$479,27,0)</f>
        <v>3</v>
      </c>
      <c r="AC209" s="65" t="str">
        <f>VLOOKUP(Z209,SABANA!$B$1:$AY$479,48,0)</f>
        <v>SI</v>
      </c>
      <c r="AD209" s="65">
        <f>VLOOKUP(Z209,SABANA!$B$1:$AY$479,41,0)</f>
        <v>2</v>
      </c>
      <c r="AE209" s="65">
        <v>6</v>
      </c>
      <c r="AF209" s="65">
        <v>123015</v>
      </c>
      <c r="AG209" s="65">
        <v>4100.5</v>
      </c>
      <c r="AH209" s="65">
        <v>421513687</v>
      </c>
      <c r="AI209" s="65">
        <v>14042430</v>
      </c>
      <c r="AJ209" s="65">
        <v>468081</v>
      </c>
      <c r="AK209" s="71">
        <v>3.3000000000000002E-2</v>
      </c>
      <c r="AL209" s="71"/>
    </row>
    <row r="210" spans="5:38" x14ac:dyDescent="0.2">
      <c r="E210" s="125"/>
      <c r="Y210" s="65" t="s">
        <v>1367</v>
      </c>
      <c r="Z210" s="65" t="s">
        <v>15</v>
      </c>
      <c r="AA210" s="65" t="s">
        <v>112</v>
      </c>
      <c r="AB210" s="65">
        <f>VLOOKUP(Z210,SABANA!$B$1:$AY$479,27,0)</f>
        <v>2</v>
      </c>
      <c r="AC210" s="65" t="str">
        <f>VLOOKUP(Z210,SABANA!$B$1:$AY$479,48,0)</f>
        <v>NO</v>
      </c>
      <c r="AD210" s="65">
        <f>VLOOKUP(Z210,SABANA!$B$1:$AY$479,41,0)</f>
        <v>2</v>
      </c>
      <c r="AE210" s="65">
        <v>6</v>
      </c>
      <c r="AF210" s="65">
        <v>68293</v>
      </c>
      <c r="AG210" s="65">
        <v>2276.4333329999999</v>
      </c>
      <c r="AH210" s="65">
        <v>240803728</v>
      </c>
      <c r="AI210" s="65">
        <v>5798510</v>
      </c>
      <c r="AJ210" s="65">
        <v>193283.6667</v>
      </c>
      <c r="AK210" s="71">
        <v>2.4E-2</v>
      </c>
      <c r="AL210" s="71"/>
    </row>
    <row r="211" spans="5:38" x14ac:dyDescent="0.2">
      <c r="E211" s="125"/>
      <c r="Y211" s="65" t="s">
        <v>1367</v>
      </c>
      <c r="Z211" s="65" t="s">
        <v>80</v>
      </c>
      <c r="AA211" s="65" t="s">
        <v>332</v>
      </c>
      <c r="AB211" s="65">
        <f>VLOOKUP(Z211,SABANA!$B$1:$AY$479,27,0)</f>
        <v>2</v>
      </c>
      <c r="AC211" s="65" t="str">
        <f>VLOOKUP(Z211,SABANA!$B$1:$AY$479,48,0)</f>
        <v>SI</v>
      </c>
      <c r="AD211" s="65">
        <f>VLOOKUP(Z211,SABANA!$B$1:$AY$479,41,0)</f>
        <v>2</v>
      </c>
      <c r="AE211" s="65">
        <v>6</v>
      </c>
      <c r="AF211" s="65">
        <v>68185</v>
      </c>
      <c r="AG211" s="65">
        <v>2272.833333</v>
      </c>
      <c r="AH211" s="65">
        <v>226317958</v>
      </c>
      <c r="AI211" s="65">
        <v>8913180</v>
      </c>
      <c r="AJ211" s="65">
        <v>297106</v>
      </c>
      <c r="AK211" s="71">
        <v>3.9E-2</v>
      </c>
      <c r="AL211" s="71"/>
    </row>
    <row r="212" spans="5:38" x14ac:dyDescent="0.2">
      <c r="E212" s="125"/>
      <c r="Y212" s="65" t="s">
        <v>1367</v>
      </c>
      <c r="Z212" s="65" t="s">
        <v>44</v>
      </c>
      <c r="AA212" s="65" t="s">
        <v>141</v>
      </c>
      <c r="AB212" s="65">
        <f>VLOOKUP(Z212,SABANA!$B$1:$AY$479,27,0)</f>
        <v>2</v>
      </c>
      <c r="AC212" s="65" t="str">
        <f>VLOOKUP(Z212,SABANA!$B$1:$AY$479,48,0)</f>
        <v>SI</v>
      </c>
      <c r="AD212" s="65">
        <f>VLOOKUP(Z212,SABANA!$B$1:$AY$479,41,0)</f>
        <v>4</v>
      </c>
      <c r="AE212" s="65">
        <v>6</v>
      </c>
      <c r="AF212" s="65">
        <v>65985</v>
      </c>
      <c r="AG212" s="65">
        <v>2199.5</v>
      </c>
      <c r="AH212" s="65">
        <v>204072006</v>
      </c>
      <c r="AI212" s="65">
        <v>7385560</v>
      </c>
      <c r="AJ212" s="65">
        <v>246185.3333</v>
      </c>
      <c r="AK212" s="71">
        <v>3.5999999999999997E-2</v>
      </c>
      <c r="AL212" s="71"/>
    </row>
    <row r="213" spans="5:38" x14ac:dyDescent="0.2">
      <c r="E213" s="125"/>
      <c r="Y213" s="65" t="s">
        <v>1367</v>
      </c>
      <c r="Z213" s="65" t="s">
        <v>45</v>
      </c>
      <c r="AA213" s="65" t="s">
        <v>142</v>
      </c>
      <c r="AB213" s="65">
        <f>VLOOKUP(Z213,SABANA!$B$1:$AY$479,27,0)</f>
        <v>3</v>
      </c>
      <c r="AC213" s="65" t="str">
        <f>VLOOKUP(Z213,SABANA!$B$1:$AY$479,48,0)</f>
        <v>SI</v>
      </c>
      <c r="AD213" s="65">
        <f>VLOOKUP(Z213,SABANA!$B$1:$AY$479,41,0)</f>
        <v>2</v>
      </c>
      <c r="AE213" s="65">
        <v>6</v>
      </c>
      <c r="AF213" s="65">
        <v>42047</v>
      </c>
      <c r="AG213" s="65">
        <v>1401.5666670000001</v>
      </c>
      <c r="AH213" s="65">
        <v>137923489</v>
      </c>
      <c r="AI213" s="65">
        <v>7145770</v>
      </c>
      <c r="AJ213" s="65">
        <v>238192.3333</v>
      </c>
      <c r="AK213" s="71">
        <v>5.1999999999999998E-2</v>
      </c>
      <c r="AL213" s="71"/>
    </row>
    <row r="214" spans="5:38" x14ac:dyDescent="0.2">
      <c r="E214" s="125"/>
      <c r="Y214" s="65" t="s">
        <v>1367</v>
      </c>
      <c r="Z214" s="65" t="s">
        <v>46</v>
      </c>
      <c r="AA214" s="65" t="s">
        <v>143</v>
      </c>
      <c r="AB214" s="65">
        <f>VLOOKUP(Z214,SABANA!$B$1:$AY$479,27,0)</f>
        <v>2</v>
      </c>
      <c r="AC214" s="65" t="str">
        <f>VLOOKUP(Z214,SABANA!$B$1:$AY$479,48,0)</f>
        <v>NO</v>
      </c>
      <c r="AD214" s="65">
        <f>VLOOKUP(Z214,SABANA!$B$1:$AY$479,41,0)</f>
        <v>2</v>
      </c>
      <c r="AE214" s="65">
        <v>6</v>
      </c>
      <c r="AF214" s="65">
        <v>53486</v>
      </c>
      <c r="AG214" s="65">
        <v>1782.866667</v>
      </c>
      <c r="AH214" s="65">
        <v>189991076</v>
      </c>
      <c r="AI214" s="65">
        <v>4496930</v>
      </c>
      <c r="AJ214" s="65">
        <v>149897.6667</v>
      </c>
      <c r="AK214" s="71">
        <v>2.4E-2</v>
      </c>
      <c r="AL214" s="71"/>
    </row>
    <row r="215" spans="5:38" x14ac:dyDescent="0.2">
      <c r="E215" s="125"/>
      <c r="Y215" s="65" t="s">
        <v>1367</v>
      </c>
      <c r="Z215" s="65" t="s">
        <v>47</v>
      </c>
      <c r="AA215" s="65" t="s">
        <v>144</v>
      </c>
      <c r="AB215" s="65">
        <f>VLOOKUP(Z215,SABANA!$B$1:$AY$479,27,0)</f>
        <v>3</v>
      </c>
      <c r="AC215" s="65" t="str">
        <f>VLOOKUP(Z215,SABANA!$B$1:$AY$479,48,0)</f>
        <v>NO</v>
      </c>
      <c r="AD215" s="65">
        <f>VLOOKUP(Z215,SABANA!$B$1:$AY$479,41,0)</f>
        <v>2</v>
      </c>
      <c r="AE215" s="65">
        <v>6</v>
      </c>
      <c r="AF215" s="65">
        <v>75845</v>
      </c>
      <c r="AG215" s="65">
        <v>2528.166667</v>
      </c>
      <c r="AH215" s="65">
        <v>242907946</v>
      </c>
      <c r="AI215" s="65">
        <v>6859050</v>
      </c>
      <c r="AJ215" s="65">
        <v>228635</v>
      </c>
      <c r="AK215" s="71">
        <v>2.8000000000000001E-2</v>
      </c>
      <c r="AL215" s="71"/>
    </row>
    <row r="216" spans="5:38" x14ac:dyDescent="0.2">
      <c r="E216" s="125"/>
      <c r="Y216" s="65" t="s">
        <v>1367</v>
      </c>
      <c r="Z216" s="65" t="s">
        <v>48</v>
      </c>
      <c r="AA216" s="65" t="s">
        <v>145</v>
      </c>
      <c r="AB216" s="65">
        <f>VLOOKUP(Z216,SABANA!$B$1:$AY$479,27,0)</f>
        <v>3</v>
      </c>
      <c r="AC216" s="65" t="str">
        <f>VLOOKUP(Z216,SABANA!$B$1:$AY$479,48,0)</f>
        <v>NO</v>
      </c>
      <c r="AD216" s="65">
        <f>VLOOKUP(Z216,SABANA!$B$1:$AY$479,41,0)</f>
        <v>4</v>
      </c>
      <c r="AE216" s="65">
        <v>6</v>
      </c>
      <c r="AF216" s="65">
        <v>60205</v>
      </c>
      <c r="AG216" s="65">
        <v>2006.833333</v>
      </c>
      <c r="AH216" s="65">
        <v>190205325</v>
      </c>
      <c r="AI216" s="65">
        <v>3485910</v>
      </c>
      <c r="AJ216" s="65">
        <v>116197</v>
      </c>
      <c r="AK216" s="71">
        <v>1.7999999999999999E-2</v>
      </c>
      <c r="AL216" s="71"/>
    </row>
    <row r="217" spans="5:38" x14ac:dyDescent="0.2">
      <c r="E217" s="125"/>
      <c r="Y217" s="65" t="s">
        <v>1367</v>
      </c>
      <c r="Z217" s="65" t="s">
        <v>49</v>
      </c>
      <c r="AA217" s="65" t="s">
        <v>146</v>
      </c>
      <c r="AB217" s="65">
        <f>VLOOKUP(Z217,SABANA!$B$1:$AY$479,27,0)</f>
        <v>2</v>
      </c>
      <c r="AC217" s="65" t="str">
        <f>VLOOKUP(Z217,SABANA!$B$1:$AY$479,48,0)</f>
        <v>NO</v>
      </c>
      <c r="AD217" s="65">
        <f>VLOOKUP(Z217,SABANA!$B$1:$AY$479,41,0)</f>
        <v>2</v>
      </c>
      <c r="AE217" s="65">
        <v>6</v>
      </c>
      <c r="AF217" s="65">
        <v>61152</v>
      </c>
      <c r="AG217" s="65">
        <v>2038.4</v>
      </c>
      <c r="AH217" s="65">
        <v>207637742</v>
      </c>
      <c r="AI217" s="65">
        <v>3422360</v>
      </c>
      <c r="AJ217" s="65">
        <v>114078.6667</v>
      </c>
      <c r="AK217" s="71">
        <v>1.6E-2</v>
      </c>
      <c r="AL217" s="71"/>
    </row>
    <row r="218" spans="5:38" x14ac:dyDescent="0.2">
      <c r="E218" s="125"/>
      <c r="Y218" s="65" t="s">
        <v>1367</v>
      </c>
      <c r="Z218" s="65" t="s">
        <v>79</v>
      </c>
      <c r="AA218" s="65" t="s">
        <v>176</v>
      </c>
      <c r="AB218" s="65">
        <f>VLOOKUP(Z218,SABANA!$B$1:$AY$479,27,0)</f>
        <v>3</v>
      </c>
      <c r="AC218" s="65" t="str">
        <f>VLOOKUP(Z218,SABANA!$B$1:$AY$479,48,0)</f>
        <v>NO</v>
      </c>
      <c r="AD218" s="65">
        <f>VLOOKUP(Z218,SABANA!$B$1:$AY$479,41,0)</f>
        <v>2</v>
      </c>
      <c r="AE218" s="65">
        <v>6</v>
      </c>
      <c r="AF218" s="65">
        <v>59380</v>
      </c>
      <c r="AG218" s="65">
        <v>1979.333333</v>
      </c>
      <c r="AH218" s="65">
        <v>207546439</v>
      </c>
      <c r="AI218" s="65">
        <v>7923070</v>
      </c>
      <c r="AJ218" s="65">
        <v>264102.3333</v>
      </c>
      <c r="AK218" s="71">
        <v>3.7999999999999999E-2</v>
      </c>
      <c r="AL218" s="71"/>
    </row>
    <row r="219" spans="5:38" x14ac:dyDescent="0.2">
      <c r="E219" s="125"/>
      <c r="Y219" s="65" t="s">
        <v>1367</v>
      </c>
      <c r="Z219" s="65" t="s">
        <v>81</v>
      </c>
      <c r="AA219" s="65" t="s">
        <v>178</v>
      </c>
      <c r="AB219" s="65">
        <f>VLOOKUP(Z219,SABANA!$B$1:$AY$479,27,0)</f>
        <v>2</v>
      </c>
      <c r="AC219" s="65" t="str">
        <f>VLOOKUP(Z219,SABANA!$B$1:$AY$479,48,0)</f>
        <v>SI</v>
      </c>
      <c r="AD219" s="65">
        <f>VLOOKUP(Z219,SABANA!$B$1:$AY$479,41,0)</f>
        <v>2</v>
      </c>
      <c r="AE219" s="65">
        <v>6</v>
      </c>
      <c r="AF219" s="65">
        <v>73926</v>
      </c>
      <c r="AG219" s="65">
        <v>2464.1999999999998</v>
      </c>
      <c r="AH219" s="65">
        <v>250489551</v>
      </c>
      <c r="AI219" s="65">
        <v>9945090</v>
      </c>
      <c r="AJ219" s="65">
        <v>331503</v>
      </c>
      <c r="AK219" s="71">
        <v>0.04</v>
      </c>
      <c r="AL219" s="71"/>
    </row>
    <row r="220" spans="5:38" x14ac:dyDescent="0.2">
      <c r="E220" s="125"/>
      <c r="Y220" s="65" t="s">
        <v>1367</v>
      </c>
      <c r="Z220" s="65" t="s">
        <v>16</v>
      </c>
      <c r="AA220" s="65" t="s">
        <v>113</v>
      </c>
      <c r="AB220" s="65">
        <f>VLOOKUP(Z220,SABANA!$B$1:$AY$479,27,0)</f>
        <v>2</v>
      </c>
      <c r="AC220" s="65" t="str">
        <f>VLOOKUP(Z220,SABANA!$B$1:$AY$479,48,0)</f>
        <v>NO</v>
      </c>
      <c r="AD220" s="65">
        <f>VLOOKUP(Z220,SABANA!$B$1:$AY$479,41,0)</f>
        <v>2</v>
      </c>
      <c r="AE220" s="65">
        <v>6</v>
      </c>
      <c r="AF220" s="65">
        <v>49109</v>
      </c>
      <c r="AG220" s="65">
        <v>1636.9666669999999</v>
      </c>
      <c r="AH220" s="65">
        <v>155640774</v>
      </c>
      <c r="AI220" s="65">
        <v>3378200</v>
      </c>
      <c r="AJ220" s="65">
        <v>112606.6667</v>
      </c>
      <c r="AK220" s="71">
        <v>2.1999999999999999E-2</v>
      </c>
      <c r="AL220" s="71"/>
    </row>
    <row r="221" spans="5:38" x14ac:dyDescent="0.2">
      <c r="E221" s="125"/>
      <c r="Y221" s="65" t="s">
        <v>1367</v>
      </c>
      <c r="Z221" s="65" t="s">
        <v>50</v>
      </c>
      <c r="AA221" s="65" t="s">
        <v>147</v>
      </c>
      <c r="AB221" s="65">
        <f>VLOOKUP(Z221,SABANA!$B$1:$AY$479,27,0)</f>
        <v>3</v>
      </c>
      <c r="AC221" s="65" t="str">
        <f>VLOOKUP(Z221,SABANA!$B$1:$AY$479,48,0)</f>
        <v>NO</v>
      </c>
      <c r="AD221" s="65">
        <f>VLOOKUP(Z221,SABANA!$B$1:$AY$479,41,0)</f>
        <v>2</v>
      </c>
      <c r="AE221" s="65">
        <v>6</v>
      </c>
      <c r="AF221" s="65">
        <v>45858</v>
      </c>
      <c r="AG221" s="65">
        <v>1528.6</v>
      </c>
      <c r="AH221" s="65">
        <v>167554990</v>
      </c>
      <c r="AI221" s="65">
        <v>4546840</v>
      </c>
      <c r="AJ221" s="65">
        <v>151561.3333</v>
      </c>
      <c r="AK221" s="71">
        <v>2.7E-2</v>
      </c>
      <c r="AL221" s="71"/>
    </row>
    <row r="222" spans="5:38" x14ac:dyDescent="0.2">
      <c r="E222" s="125"/>
      <c r="Y222" s="65" t="s">
        <v>1367</v>
      </c>
      <c r="Z222" s="65" t="s">
        <v>51</v>
      </c>
      <c r="AA222" s="65" t="s">
        <v>148</v>
      </c>
      <c r="AB222" s="65">
        <f>VLOOKUP(Z222,SABANA!$B$1:$AY$479,27,0)</f>
        <v>3</v>
      </c>
      <c r="AC222" s="65" t="str">
        <f>VLOOKUP(Z222,SABANA!$B$1:$AY$479,48,0)</f>
        <v>NO</v>
      </c>
      <c r="AD222" s="65">
        <f>VLOOKUP(Z222,SABANA!$B$1:$AY$479,41,0)</f>
        <v>2</v>
      </c>
      <c r="AE222" s="65">
        <v>6</v>
      </c>
      <c r="AF222" s="65">
        <v>43891</v>
      </c>
      <c r="AG222" s="65">
        <v>1463.0333330000001</v>
      </c>
      <c r="AH222" s="65">
        <v>149739927</v>
      </c>
      <c r="AI222" s="65">
        <v>7703180</v>
      </c>
      <c r="AJ222" s="65">
        <v>256772.6667</v>
      </c>
      <c r="AK222" s="71">
        <v>5.0999999999999997E-2</v>
      </c>
      <c r="AL222" s="71"/>
    </row>
    <row r="223" spans="5:38" x14ac:dyDescent="0.2">
      <c r="E223" s="125"/>
      <c r="Y223" s="65" t="s">
        <v>1367</v>
      </c>
      <c r="Z223" s="65" t="s">
        <v>82</v>
      </c>
      <c r="AA223" s="65" t="s">
        <v>179</v>
      </c>
      <c r="AB223" s="65">
        <f>VLOOKUP(Z223,SABANA!$B$1:$AY$479,27,0)</f>
        <v>4</v>
      </c>
      <c r="AC223" s="65" t="str">
        <f>VLOOKUP(Z223,SABANA!$B$1:$AY$479,48,0)</f>
        <v>SI</v>
      </c>
      <c r="AD223" s="65">
        <f>VLOOKUP(Z223,SABANA!$B$1:$AY$479,41,0)</f>
        <v>2</v>
      </c>
      <c r="AE223" s="65">
        <v>6</v>
      </c>
      <c r="AF223" s="65">
        <v>63935</v>
      </c>
      <c r="AG223" s="65">
        <v>2131.166667</v>
      </c>
      <c r="AH223" s="65">
        <v>223966273</v>
      </c>
      <c r="AI223" s="65">
        <v>16529280</v>
      </c>
      <c r="AJ223" s="65">
        <v>550976</v>
      </c>
      <c r="AK223" s="71">
        <v>7.3999999999999996E-2</v>
      </c>
      <c r="AL223" s="71"/>
    </row>
    <row r="224" spans="5:38" x14ac:dyDescent="0.2">
      <c r="E224" s="125"/>
      <c r="Y224" s="65" t="s">
        <v>1367</v>
      </c>
      <c r="Z224" s="65" t="s">
        <v>17</v>
      </c>
      <c r="AA224" s="65" t="s">
        <v>327</v>
      </c>
      <c r="AB224" s="65">
        <f>VLOOKUP(Z224,SABANA!$B$1:$AY$479,27,0)</f>
        <v>3</v>
      </c>
      <c r="AC224" s="65" t="str">
        <f>VLOOKUP(Z224,SABANA!$B$1:$AY$479,48,0)</f>
        <v>SI</v>
      </c>
      <c r="AD224" s="65">
        <f>VLOOKUP(Z224,SABANA!$B$1:$AY$479,41,0)</f>
        <v>2</v>
      </c>
      <c r="AE224" s="65">
        <v>6</v>
      </c>
      <c r="AF224" s="65">
        <v>44672</v>
      </c>
      <c r="AG224" s="65">
        <v>1489.0666670000001</v>
      </c>
      <c r="AH224" s="65">
        <v>150884501</v>
      </c>
      <c r="AI224" s="65">
        <v>3906750</v>
      </c>
      <c r="AJ224" s="65">
        <v>130225</v>
      </c>
      <c r="AK224" s="71">
        <v>2.5999999999999999E-2</v>
      </c>
      <c r="AL224" s="71"/>
    </row>
    <row r="225" spans="5:38" x14ac:dyDescent="0.2">
      <c r="E225" s="125"/>
      <c r="Y225" s="65" t="s">
        <v>1367</v>
      </c>
      <c r="Z225" s="65" t="s">
        <v>52</v>
      </c>
      <c r="AA225" s="65" t="s">
        <v>328</v>
      </c>
      <c r="AB225" s="65">
        <f>VLOOKUP(Z225,SABANA!$B$1:$AY$479,27,0)</f>
        <v>3</v>
      </c>
      <c r="AC225" s="65" t="str">
        <f>VLOOKUP(Z225,SABANA!$B$1:$AY$479,48,0)</f>
        <v>NO</v>
      </c>
      <c r="AD225" s="65">
        <f>VLOOKUP(Z225,SABANA!$B$1:$AY$479,41,0)</f>
        <v>2</v>
      </c>
      <c r="AE225" s="65">
        <v>6</v>
      </c>
      <c r="AF225" s="65">
        <v>56941</v>
      </c>
      <c r="AG225" s="65">
        <v>1898.0333330000001</v>
      </c>
      <c r="AH225" s="65">
        <v>202061498</v>
      </c>
      <c r="AI225" s="65">
        <v>5986000</v>
      </c>
      <c r="AJ225" s="65">
        <v>199533.3333</v>
      </c>
      <c r="AK225" s="71">
        <v>0.03</v>
      </c>
      <c r="AL225" s="71"/>
    </row>
    <row r="226" spans="5:38" x14ac:dyDescent="0.2">
      <c r="E226" s="125"/>
      <c r="Y226" s="65" t="s">
        <v>1367</v>
      </c>
      <c r="Z226" s="65" t="s">
        <v>53</v>
      </c>
      <c r="AA226" s="65" t="s">
        <v>150</v>
      </c>
      <c r="AB226" s="65">
        <f>VLOOKUP(Z226,SABANA!$B$1:$AY$479,27,0)</f>
        <v>2</v>
      </c>
      <c r="AC226" s="65" t="str">
        <f>VLOOKUP(Z226,SABANA!$B$1:$AY$479,48,0)</f>
        <v>NO</v>
      </c>
      <c r="AD226" s="65">
        <f>VLOOKUP(Z226,SABANA!$B$1:$AY$479,41,0)</f>
        <v>3</v>
      </c>
      <c r="AE226" s="65">
        <v>6</v>
      </c>
      <c r="AF226" s="65">
        <v>71261</v>
      </c>
      <c r="AG226" s="65">
        <v>2375.3666669999998</v>
      </c>
      <c r="AH226" s="65">
        <v>218494748</v>
      </c>
      <c r="AI226" s="65">
        <v>6488280</v>
      </c>
      <c r="AJ226" s="65">
        <v>216276</v>
      </c>
      <c r="AK226" s="71">
        <v>0.03</v>
      </c>
      <c r="AL226" s="71"/>
    </row>
    <row r="227" spans="5:38" x14ac:dyDescent="0.2">
      <c r="E227" s="125"/>
      <c r="Y227" s="65" t="s">
        <v>1367</v>
      </c>
      <c r="Z227" s="65" t="s">
        <v>54</v>
      </c>
      <c r="AA227" s="65" t="s">
        <v>321</v>
      </c>
      <c r="AB227" s="65">
        <f>VLOOKUP(Z227,SABANA!$B$1:$AY$479,27,0)</f>
        <v>3</v>
      </c>
      <c r="AC227" s="65" t="str">
        <f>VLOOKUP(Z227,SABANA!$B$1:$AY$479,48,0)</f>
        <v>NO</v>
      </c>
      <c r="AD227" s="65">
        <f>VLOOKUP(Z227,SABANA!$B$1:$AY$479,41,0)</f>
        <v>3</v>
      </c>
      <c r="AE227" s="65">
        <v>6</v>
      </c>
      <c r="AF227" s="65">
        <v>71577</v>
      </c>
      <c r="AG227" s="65">
        <v>2385.9</v>
      </c>
      <c r="AH227" s="65">
        <v>238603987</v>
      </c>
      <c r="AI227" s="65">
        <v>5675700</v>
      </c>
      <c r="AJ227" s="65">
        <v>189190</v>
      </c>
      <c r="AK227" s="71">
        <v>2.4E-2</v>
      </c>
      <c r="AL227" s="71"/>
    </row>
    <row r="228" spans="5:38" x14ac:dyDescent="0.2">
      <c r="E228" s="125"/>
      <c r="Y228" s="65" t="s">
        <v>1367</v>
      </c>
      <c r="Z228" s="65" t="s">
        <v>89</v>
      </c>
      <c r="AA228" s="65" t="s">
        <v>186</v>
      </c>
      <c r="AB228" s="65">
        <f>VLOOKUP(Z228,SABANA!$B$1:$AY$479,27,0)</f>
        <v>3</v>
      </c>
      <c r="AC228" s="65" t="str">
        <f>VLOOKUP(Z228,SABANA!$B$1:$AY$479,48,0)</f>
        <v>NO</v>
      </c>
      <c r="AD228" s="65">
        <f>VLOOKUP(Z228,SABANA!$B$1:$AY$479,41,0)</f>
        <v>3</v>
      </c>
      <c r="AE228" s="65">
        <v>6</v>
      </c>
      <c r="AF228" s="65">
        <v>71333</v>
      </c>
      <c r="AG228" s="65">
        <v>2377.7666669999999</v>
      </c>
      <c r="AH228" s="65">
        <v>265435954</v>
      </c>
      <c r="AI228" s="65">
        <v>9200570</v>
      </c>
      <c r="AJ228" s="65">
        <v>306685.6667</v>
      </c>
      <c r="AK228" s="71">
        <v>3.5000000000000003E-2</v>
      </c>
      <c r="AL228" s="71"/>
    </row>
    <row r="229" spans="5:38" x14ac:dyDescent="0.2">
      <c r="E229" s="125"/>
      <c r="Y229" s="65" t="s">
        <v>1367</v>
      </c>
      <c r="Z229" s="65" t="s">
        <v>450</v>
      </c>
      <c r="AA229" s="65" t="s">
        <v>737</v>
      </c>
      <c r="AB229" s="65">
        <f>VLOOKUP(Z229,SABANA!$B$1:$AY$479,27,0)</f>
        <v>5</v>
      </c>
      <c r="AC229" s="65" t="str">
        <f>VLOOKUP(Z229,SABANA!$B$1:$AY$479,48,0)</f>
        <v>SI</v>
      </c>
      <c r="AD229" s="65">
        <f>VLOOKUP(Z229,SABANA!$B$1:$AY$479,41,0)</f>
        <v>3</v>
      </c>
      <c r="AE229" s="65">
        <v>6</v>
      </c>
      <c r="AF229" s="65">
        <v>34806</v>
      </c>
      <c r="AG229" s="65">
        <v>1160.2</v>
      </c>
      <c r="AH229" s="65">
        <v>113236036</v>
      </c>
      <c r="AI229" s="65">
        <v>10467120</v>
      </c>
      <c r="AJ229" s="65">
        <v>348904</v>
      </c>
      <c r="AK229" s="71">
        <v>9.1999999999999998E-2</v>
      </c>
      <c r="AL229" s="71"/>
    </row>
    <row r="230" spans="5:38" x14ac:dyDescent="0.2">
      <c r="E230" s="125"/>
      <c r="Y230" s="65" t="s">
        <v>1367</v>
      </c>
      <c r="Z230" s="65" t="s">
        <v>18</v>
      </c>
      <c r="AA230" s="65" t="s">
        <v>866</v>
      </c>
      <c r="AB230" s="65">
        <f>VLOOKUP(Z230,SABANA!$B$1:$AY$479,27,0)</f>
        <v>2</v>
      </c>
      <c r="AC230" s="65" t="str">
        <f>VLOOKUP(Z230,SABANA!$B$1:$AY$479,48,0)</f>
        <v>NO</v>
      </c>
      <c r="AD230" s="65">
        <f>VLOOKUP(Z230,SABANA!$B$1:$AY$479,41,0)</f>
        <v>3</v>
      </c>
      <c r="AE230" s="65">
        <v>6</v>
      </c>
      <c r="AF230" s="65">
        <v>38202</v>
      </c>
      <c r="AG230" s="65">
        <v>1273.4000000000001</v>
      </c>
      <c r="AH230" s="65">
        <v>133167415</v>
      </c>
      <c r="AI230" s="65">
        <v>3973030</v>
      </c>
      <c r="AJ230" s="65">
        <v>132434.3333</v>
      </c>
      <c r="AK230" s="71">
        <v>0.03</v>
      </c>
      <c r="AL230" s="71"/>
    </row>
    <row r="231" spans="5:38" x14ac:dyDescent="0.2">
      <c r="E231" s="125"/>
      <c r="Y231" s="65" t="s">
        <v>1367</v>
      </c>
      <c r="Z231" s="65" t="s">
        <v>55</v>
      </c>
      <c r="AA231" s="65" t="s">
        <v>521</v>
      </c>
      <c r="AB231" s="65">
        <f>VLOOKUP(Z231,SABANA!$B$1:$AY$479,27,0)</f>
        <v>3</v>
      </c>
      <c r="AC231" s="65" t="str">
        <f>VLOOKUP(Z231,SABANA!$B$1:$AY$479,48,0)</f>
        <v>NO</v>
      </c>
      <c r="AD231" s="65">
        <f>VLOOKUP(Z231,SABANA!$B$1:$AY$479,41,0)</f>
        <v>3</v>
      </c>
      <c r="AE231" s="65">
        <v>6</v>
      </c>
      <c r="AF231" s="65">
        <v>48508</v>
      </c>
      <c r="AG231" s="65">
        <v>1616.9333329999999</v>
      </c>
      <c r="AH231" s="65">
        <v>165289886</v>
      </c>
      <c r="AI231" s="65">
        <v>6302780</v>
      </c>
      <c r="AJ231" s="65">
        <v>210092.6667</v>
      </c>
      <c r="AK231" s="71">
        <v>3.7999999999999999E-2</v>
      </c>
      <c r="AL231" s="71"/>
    </row>
    <row r="232" spans="5:38" x14ac:dyDescent="0.2">
      <c r="E232" s="125"/>
      <c r="Y232" s="65" t="s">
        <v>1367</v>
      </c>
      <c r="Z232" s="65" t="s">
        <v>19</v>
      </c>
      <c r="AA232" s="65" t="s">
        <v>1368</v>
      </c>
      <c r="AB232" s="65">
        <f>VLOOKUP(Z232,SABANA!$B$1:$AY$479,27,0)</f>
        <v>3</v>
      </c>
      <c r="AC232" s="65" t="str">
        <f>VLOOKUP(Z232,SABANA!$B$1:$AY$479,48,0)</f>
        <v>NO</v>
      </c>
      <c r="AD232" s="65">
        <f>VLOOKUP(Z232,SABANA!$B$1:$AY$479,41,0)</f>
        <v>3</v>
      </c>
      <c r="AE232" s="65">
        <v>6</v>
      </c>
      <c r="AF232" s="65">
        <v>37535</v>
      </c>
      <c r="AG232" s="65">
        <v>1251.166667</v>
      </c>
      <c r="AH232" s="65">
        <v>130429258</v>
      </c>
      <c r="AI232" s="65">
        <v>5211320</v>
      </c>
      <c r="AJ232" s="65">
        <v>173710.6667</v>
      </c>
      <c r="AK232" s="71">
        <v>0.04</v>
      </c>
      <c r="AL232" s="71"/>
    </row>
    <row r="233" spans="5:38" x14ac:dyDescent="0.2">
      <c r="E233" s="125"/>
      <c r="Y233" s="65" t="s">
        <v>1367</v>
      </c>
      <c r="Z233" s="65" t="s">
        <v>20</v>
      </c>
      <c r="AA233" s="65" t="s">
        <v>527</v>
      </c>
      <c r="AB233" s="65">
        <f>VLOOKUP(Z233,SABANA!$B$1:$AY$479,27,0)</f>
        <v>3</v>
      </c>
      <c r="AC233" s="65" t="str">
        <f>VLOOKUP(Z233,SABANA!$B$1:$AY$479,48,0)</f>
        <v>NO</v>
      </c>
      <c r="AD233" s="65">
        <f>VLOOKUP(Z233,SABANA!$B$1:$AY$479,41,0)</f>
        <v>3</v>
      </c>
      <c r="AE233" s="65">
        <v>6</v>
      </c>
      <c r="AF233" s="65">
        <v>40503</v>
      </c>
      <c r="AG233" s="65">
        <v>1350.1</v>
      </c>
      <c r="AH233" s="65">
        <v>141446516</v>
      </c>
      <c r="AI233" s="65">
        <v>4600280</v>
      </c>
      <c r="AJ233" s="65">
        <v>153342.6667</v>
      </c>
      <c r="AK233" s="71">
        <v>3.3000000000000002E-2</v>
      </c>
      <c r="AL233" s="71"/>
    </row>
    <row r="234" spans="5:38" x14ac:dyDescent="0.2">
      <c r="E234" s="125"/>
      <c r="Y234" s="65" t="s">
        <v>1367</v>
      </c>
      <c r="Z234" s="65" t="s">
        <v>83</v>
      </c>
      <c r="AA234" s="65" t="s">
        <v>530</v>
      </c>
      <c r="AB234" s="65">
        <f>VLOOKUP(Z234,SABANA!$B$1:$AY$479,27,0)</f>
        <v>4</v>
      </c>
      <c r="AC234" s="65" t="str">
        <f>VLOOKUP(Z234,SABANA!$B$1:$AY$479,48,0)</f>
        <v>SI</v>
      </c>
      <c r="AD234" s="65">
        <f>VLOOKUP(Z234,SABANA!$B$1:$AY$479,41,0)</f>
        <v>3</v>
      </c>
      <c r="AE234" s="65">
        <v>6</v>
      </c>
      <c r="AF234" s="65">
        <v>39709</v>
      </c>
      <c r="AG234" s="65">
        <v>1323.633333</v>
      </c>
      <c r="AH234" s="65">
        <v>144793213</v>
      </c>
      <c r="AI234" s="65">
        <v>9320600</v>
      </c>
      <c r="AJ234" s="65">
        <v>310686.6667</v>
      </c>
      <c r="AK234" s="71">
        <v>6.4000000000000001E-2</v>
      </c>
      <c r="AL234" s="71"/>
    </row>
    <row r="235" spans="5:38" x14ac:dyDescent="0.2">
      <c r="E235" s="125"/>
      <c r="Y235" s="65" t="s">
        <v>1367</v>
      </c>
      <c r="Z235" s="65" t="s">
        <v>21</v>
      </c>
      <c r="AA235" s="65" t="s">
        <v>533</v>
      </c>
      <c r="AB235" s="65">
        <f>VLOOKUP(Z235,SABANA!$B$1:$AY$479,27,0)</f>
        <v>2</v>
      </c>
      <c r="AC235" s="65" t="str">
        <f>VLOOKUP(Z235,SABANA!$B$1:$AY$479,48,0)</f>
        <v>NO</v>
      </c>
      <c r="AD235" s="65">
        <f>VLOOKUP(Z235,SABANA!$B$1:$AY$479,41,0)</f>
        <v>3</v>
      </c>
      <c r="AE235" s="65">
        <v>6</v>
      </c>
      <c r="AF235" s="65">
        <v>42065</v>
      </c>
      <c r="AG235" s="65">
        <v>1402.166667</v>
      </c>
      <c r="AH235" s="65">
        <v>139564699</v>
      </c>
      <c r="AI235" s="65">
        <v>1792930</v>
      </c>
      <c r="AJ235" s="65">
        <v>59764.333330000001</v>
      </c>
      <c r="AK235" s="71">
        <v>1.2999999999999999E-2</v>
      </c>
      <c r="AL235" s="71"/>
    </row>
    <row r="236" spans="5:38" x14ac:dyDescent="0.2">
      <c r="E236" s="125"/>
      <c r="Y236" s="65" t="s">
        <v>1367</v>
      </c>
      <c r="Z236" s="65" t="s">
        <v>84</v>
      </c>
      <c r="AA236" s="65" t="s">
        <v>536</v>
      </c>
      <c r="AB236" s="65">
        <f>VLOOKUP(Z236,SABANA!$B$1:$AY$479,27,0)</f>
        <v>4</v>
      </c>
      <c r="AC236" s="65" t="str">
        <f>VLOOKUP(Z236,SABANA!$B$1:$AY$479,48,0)</f>
        <v>NO</v>
      </c>
      <c r="AD236" s="65">
        <f>VLOOKUP(Z236,SABANA!$B$1:$AY$479,41,0)</f>
        <v>3</v>
      </c>
      <c r="AE236" s="65">
        <v>6</v>
      </c>
      <c r="AF236" s="65">
        <v>39816</v>
      </c>
      <c r="AG236" s="65">
        <v>1327.2</v>
      </c>
      <c r="AH236" s="65">
        <v>153861710</v>
      </c>
      <c r="AI236" s="65">
        <v>6835890</v>
      </c>
      <c r="AJ236" s="65">
        <v>227863</v>
      </c>
      <c r="AK236" s="71">
        <v>4.3999999999999997E-2</v>
      </c>
      <c r="AL236" s="71"/>
    </row>
    <row r="237" spans="5:38" x14ac:dyDescent="0.2">
      <c r="E237" s="125"/>
      <c r="Y237" s="65" t="s">
        <v>1367</v>
      </c>
      <c r="Z237" s="65" t="s">
        <v>85</v>
      </c>
      <c r="AA237" s="65" t="s">
        <v>539</v>
      </c>
      <c r="AB237" s="65">
        <f>VLOOKUP(Z237,SABANA!$B$1:$AY$479,27,0)</f>
        <v>4</v>
      </c>
      <c r="AC237" s="65" t="str">
        <f>VLOOKUP(Z237,SABANA!$B$1:$AY$479,48,0)</f>
        <v>SI</v>
      </c>
      <c r="AD237" s="65">
        <f>VLOOKUP(Z237,SABANA!$B$1:$AY$479,41,0)</f>
        <v>3</v>
      </c>
      <c r="AE237" s="65">
        <v>6</v>
      </c>
      <c r="AF237" s="65">
        <v>65348</v>
      </c>
      <c r="AG237" s="65">
        <v>2178.2666669999999</v>
      </c>
      <c r="AH237" s="65">
        <v>246081735</v>
      </c>
      <c r="AI237" s="65">
        <v>10896010</v>
      </c>
      <c r="AJ237" s="65">
        <v>363200.3333</v>
      </c>
      <c r="AK237" s="71">
        <v>4.3999999999999997E-2</v>
      </c>
      <c r="AL237" s="71"/>
    </row>
    <row r="238" spans="5:38" x14ac:dyDescent="0.2">
      <c r="E238" s="125"/>
      <c r="Y238" s="65" t="s">
        <v>1367</v>
      </c>
      <c r="Z238" s="65" t="s">
        <v>22</v>
      </c>
      <c r="AA238" s="65" t="s">
        <v>1369</v>
      </c>
      <c r="AB238" s="65">
        <f>VLOOKUP(Z238,SABANA!$B$1:$AY$479,27,0)</f>
        <v>4</v>
      </c>
      <c r="AC238" s="65" t="str">
        <f>VLOOKUP(Z238,SABANA!$B$1:$AY$479,48,0)</f>
        <v>NO</v>
      </c>
      <c r="AD238" s="65">
        <f>VLOOKUP(Z238,SABANA!$B$1:$AY$479,41,0)</f>
        <v>3</v>
      </c>
      <c r="AE238" s="65">
        <v>6</v>
      </c>
      <c r="AF238" s="65">
        <v>42941</v>
      </c>
      <c r="AG238" s="65">
        <v>1431.366667</v>
      </c>
      <c r="AH238" s="65">
        <v>139575962</v>
      </c>
      <c r="AI238" s="65">
        <v>3807370</v>
      </c>
      <c r="AJ238" s="65">
        <v>126912.3333</v>
      </c>
      <c r="AK238" s="71">
        <v>2.7E-2</v>
      </c>
      <c r="AL238" s="71"/>
    </row>
    <row r="239" spans="5:38" x14ac:dyDescent="0.2">
      <c r="E239" s="125"/>
      <c r="Y239" s="65" t="s">
        <v>1367</v>
      </c>
      <c r="Z239" s="65" t="s">
        <v>23</v>
      </c>
      <c r="AA239" s="65" t="s">
        <v>542</v>
      </c>
      <c r="AB239" s="65">
        <f>VLOOKUP(Z239,SABANA!$B$1:$AY$479,27,0)</f>
        <v>3</v>
      </c>
      <c r="AC239" s="65" t="str">
        <f>VLOOKUP(Z239,SABANA!$B$1:$AY$479,48,0)</f>
        <v>NO</v>
      </c>
      <c r="AD239" s="65">
        <f>VLOOKUP(Z239,SABANA!$B$1:$AY$479,41,0)</f>
        <v>3</v>
      </c>
      <c r="AE239" s="65">
        <v>6</v>
      </c>
      <c r="AF239" s="65">
        <v>50992</v>
      </c>
      <c r="AG239" s="65">
        <v>1699.7333329999999</v>
      </c>
      <c r="AH239" s="65">
        <v>164659327</v>
      </c>
      <c r="AI239" s="65">
        <v>3283890</v>
      </c>
      <c r="AJ239" s="65">
        <v>109463</v>
      </c>
      <c r="AK239" s="71">
        <v>0.02</v>
      </c>
      <c r="AL239" s="71"/>
    </row>
    <row r="240" spans="5:38" x14ac:dyDescent="0.2">
      <c r="E240" s="125"/>
      <c r="Y240" s="65" t="s">
        <v>1367</v>
      </c>
      <c r="Z240" s="65" t="s">
        <v>56</v>
      </c>
      <c r="AA240" s="65" t="s">
        <v>545</v>
      </c>
      <c r="AB240" s="65">
        <f>VLOOKUP(Z240,SABANA!$B$1:$AY$479,27,0)</f>
        <v>2</v>
      </c>
      <c r="AC240" s="65" t="str">
        <f>VLOOKUP(Z240,SABANA!$B$1:$AY$479,48,0)</f>
        <v>SI</v>
      </c>
      <c r="AD240" s="65">
        <f>VLOOKUP(Z240,SABANA!$B$1:$AY$479,41,0)</f>
        <v>3</v>
      </c>
      <c r="AE240" s="65">
        <v>6</v>
      </c>
      <c r="AF240" s="65">
        <v>106316</v>
      </c>
      <c r="AG240" s="65">
        <v>3543.8666669999998</v>
      </c>
      <c r="AH240" s="65">
        <v>375822047</v>
      </c>
      <c r="AI240" s="65">
        <v>8859140</v>
      </c>
      <c r="AJ240" s="65">
        <v>295304.6667</v>
      </c>
      <c r="AK240" s="71">
        <v>2.4E-2</v>
      </c>
      <c r="AL240" s="71"/>
    </row>
    <row r="241" spans="5:38" x14ac:dyDescent="0.2">
      <c r="E241" s="125"/>
      <c r="Y241" s="65" t="s">
        <v>1367</v>
      </c>
      <c r="Z241" s="65" t="s">
        <v>24</v>
      </c>
      <c r="AA241" s="65" t="s">
        <v>1370</v>
      </c>
      <c r="AB241" s="65">
        <f>VLOOKUP(Z241,SABANA!$B$1:$AY$479,27,0)</f>
        <v>2</v>
      </c>
      <c r="AC241" s="65" t="str">
        <f>VLOOKUP(Z241,SABANA!$B$1:$AY$479,48,0)</f>
        <v>NO</v>
      </c>
      <c r="AD241" s="65">
        <f>VLOOKUP(Z241,SABANA!$B$1:$AY$479,41,0)</f>
        <v>3</v>
      </c>
      <c r="AE241" s="65">
        <v>6</v>
      </c>
      <c r="AF241" s="65">
        <v>58646</v>
      </c>
      <c r="AG241" s="65">
        <v>1954.866667</v>
      </c>
      <c r="AH241" s="65">
        <v>198560153</v>
      </c>
      <c r="AI241" s="65">
        <v>3891050</v>
      </c>
      <c r="AJ241" s="65">
        <v>129701.6667</v>
      </c>
      <c r="AK241" s="71">
        <v>0.02</v>
      </c>
      <c r="AL241" s="71"/>
    </row>
    <row r="242" spans="5:38" x14ac:dyDescent="0.2">
      <c r="E242" s="125"/>
      <c r="Y242" s="65" t="s">
        <v>1367</v>
      </c>
      <c r="Z242" s="65" t="s">
        <v>86</v>
      </c>
      <c r="AA242" s="65" t="s">
        <v>551</v>
      </c>
      <c r="AB242" s="65">
        <f>VLOOKUP(Z242,SABANA!$B$1:$AY$479,27,0)</f>
        <v>3</v>
      </c>
      <c r="AC242" s="65" t="str">
        <f>VLOOKUP(Z242,SABANA!$B$1:$AY$479,48,0)</f>
        <v>SI</v>
      </c>
      <c r="AD242" s="65">
        <f>VLOOKUP(Z242,SABANA!$B$1:$AY$479,41,0)</f>
        <v>3</v>
      </c>
      <c r="AE242" s="65">
        <v>6</v>
      </c>
      <c r="AF242" s="65">
        <v>65907</v>
      </c>
      <c r="AG242" s="65">
        <v>2196.9</v>
      </c>
      <c r="AH242" s="65">
        <v>231244223</v>
      </c>
      <c r="AI242" s="65">
        <v>9478250</v>
      </c>
      <c r="AJ242" s="65">
        <v>315941.6667</v>
      </c>
      <c r="AK242" s="71">
        <v>4.1000000000000002E-2</v>
      </c>
      <c r="AL242" s="71"/>
    </row>
    <row r="243" spans="5:38" x14ac:dyDescent="0.2">
      <c r="E243" s="125"/>
      <c r="Y243" s="65" t="s">
        <v>1367</v>
      </c>
      <c r="Z243" s="65" t="s">
        <v>57</v>
      </c>
      <c r="AA243" s="65" t="s">
        <v>1371</v>
      </c>
      <c r="AB243" s="65">
        <f>VLOOKUP(Z243,SABANA!$B$1:$AY$479,27,0)</f>
        <v>3</v>
      </c>
      <c r="AC243" s="65" t="str">
        <f>VLOOKUP(Z243,SABANA!$B$1:$AY$479,48,0)</f>
        <v>SI</v>
      </c>
      <c r="AD243" s="65">
        <f>VLOOKUP(Z243,SABANA!$B$1:$AY$479,41,0)</f>
        <v>3</v>
      </c>
      <c r="AE243" s="65">
        <v>6</v>
      </c>
      <c r="AF243" s="65">
        <v>39558</v>
      </c>
      <c r="AG243" s="65">
        <v>1318.6</v>
      </c>
      <c r="AH243" s="65">
        <v>136066295</v>
      </c>
      <c r="AI243" s="65">
        <v>5578690</v>
      </c>
      <c r="AJ243" s="65">
        <v>185956.3333</v>
      </c>
      <c r="AK243" s="71">
        <v>4.1000000000000002E-2</v>
      </c>
      <c r="AL243" s="71"/>
    </row>
    <row r="244" spans="5:38" x14ac:dyDescent="0.2">
      <c r="E244" s="125"/>
      <c r="Y244" s="65" t="s">
        <v>1367</v>
      </c>
      <c r="Z244" s="65" t="s">
        <v>58</v>
      </c>
      <c r="AA244" s="65" t="s">
        <v>735</v>
      </c>
      <c r="AB244" s="65">
        <f>VLOOKUP(Z244,SABANA!$B$1:$AY$479,27,0)</f>
        <v>3</v>
      </c>
      <c r="AC244" s="65" t="str">
        <f>VLOOKUP(Z244,SABANA!$B$1:$AY$479,48,0)</f>
        <v>NO</v>
      </c>
      <c r="AD244" s="65">
        <f>VLOOKUP(Z244,SABANA!$B$1:$AY$479,41,0)</f>
        <v>3</v>
      </c>
      <c r="AE244" s="65">
        <v>6</v>
      </c>
      <c r="AF244" s="65">
        <v>62738</v>
      </c>
      <c r="AG244" s="65">
        <v>2091.2666669999999</v>
      </c>
      <c r="AH244" s="65">
        <v>217896878</v>
      </c>
      <c r="AI244" s="65">
        <v>5757360</v>
      </c>
      <c r="AJ244" s="65">
        <v>191912</v>
      </c>
      <c r="AK244" s="71">
        <v>2.5999999999999999E-2</v>
      </c>
      <c r="AL244" s="71"/>
    </row>
    <row r="245" spans="5:38" x14ac:dyDescent="0.2">
      <c r="E245" s="125"/>
      <c r="Y245" s="65" t="s">
        <v>1367</v>
      </c>
      <c r="Z245" s="65" t="s">
        <v>87</v>
      </c>
      <c r="AA245" s="65" t="s">
        <v>586</v>
      </c>
      <c r="AB245" s="65">
        <f>VLOOKUP(Z245,SABANA!$B$1:$AY$479,27,0)</f>
        <v>4</v>
      </c>
      <c r="AC245" s="65" t="str">
        <f>VLOOKUP(Z245,SABANA!$B$1:$AY$479,48,0)</f>
        <v>SI</v>
      </c>
      <c r="AD245" s="65">
        <f>VLOOKUP(Z245,SABANA!$B$1:$AY$479,41,0)</f>
        <v>3</v>
      </c>
      <c r="AE245" s="65">
        <v>6</v>
      </c>
      <c r="AF245" s="65">
        <v>81922</v>
      </c>
      <c r="AG245" s="65">
        <v>2730.7333330000001</v>
      </c>
      <c r="AH245" s="65">
        <v>275390438</v>
      </c>
      <c r="AI245" s="65">
        <v>25463820</v>
      </c>
      <c r="AJ245" s="65">
        <v>848794</v>
      </c>
      <c r="AK245" s="71">
        <v>9.1999999999999998E-2</v>
      </c>
      <c r="AL245" s="71"/>
    </row>
    <row r="246" spans="5:38" x14ac:dyDescent="0.2">
      <c r="E246" s="125"/>
      <c r="Y246" s="65" t="s">
        <v>1367</v>
      </c>
      <c r="Z246" s="65" t="s">
        <v>25</v>
      </c>
      <c r="AA246" s="65" t="s">
        <v>1372</v>
      </c>
      <c r="AB246" s="65">
        <f>VLOOKUP(Z246,SABANA!$B$1:$AY$479,27,0)</f>
        <v>3</v>
      </c>
      <c r="AC246" s="65" t="str">
        <f>VLOOKUP(Z246,SABANA!$B$1:$AY$479,48,0)</f>
        <v>NO</v>
      </c>
      <c r="AD246" s="65">
        <f>VLOOKUP(Z246,SABANA!$B$1:$AY$479,41,0)</f>
        <v>3</v>
      </c>
      <c r="AE246" s="65">
        <v>6</v>
      </c>
      <c r="AF246" s="65">
        <v>41708</v>
      </c>
      <c r="AG246" s="65">
        <v>1390.2666670000001</v>
      </c>
      <c r="AH246" s="65">
        <v>137678201</v>
      </c>
      <c r="AI246" s="65">
        <v>3628680</v>
      </c>
      <c r="AJ246" s="65">
        <v>120956</v>
      </c>
      <c r="AK246" s="71">
        <v>2.5999999999999999E-2</v>
      </c>
      <c r="AL246" s="71"/>
    </row>
    <row r="247" spans="5:38" x14ac:dyDescent="0.2">
      <c r="E247" s="125"/>
      <c r="Y247" s="65" t="s">
        <v>1367</v>
      </c>
      <c r="Z247" s="65" t="s">
        <v>26</v>
      </c>
      <c r="AA247" s="65" t="s">
        <v>1373</v>
      </c>
      <c r="AB247" s="65">
        <f>VLOOKUP(Z247,SABANA!$B$1:$AY$479,27,0)</f>
        <v>2</v>
      </c>
      <c r="AC247" s="65" t="str">
        <f>VLOOKUP(Z247,SABANA!$B$1:$AY$479,48,0)</f>
        <v>NO</v>
      </c>
      <c r="AD247" s="65">
        <f>VLOOKUP(Z247,SABANA!$B$1:$AY$479,41,0)</f>
        <v>3</v>
      </c>
      <c r="AE247" s="65">
        <v>6</v>
      </c>
      <c r="AF247" s="65">
        <v>89352</v>
      </c>
      <c r="AG247" s="65">
        <v>2978.4</v>
      </c>
      <c r="AH247" s="65">
        <v>302666849</v>
      </c>
      <c r="AI247" s="65">
        <v>6624330</v>
      </c>
      <c r="AJ247" s="65">
        <v>220811</v>
      </c>
      <c r="AK247" s="71">
        <v>2.1999999999999999E-2</v>
      </c>
      <c r="AL247" s="71"/>
    </row>
    <row r="248" spans="5:38" x14ac:dyDescent="0.2">
      <c r="E248" s="125"/>
      <c r="Y248" s="65" t="s">
        <v>1367</v>
      </c>
      <c r="Z248" s="65" t="s">
        <v>27</v>
      </c>
      <c r="AA248" s="65" t="s">
        <v>124</v>
      </c>
      <c r="AB248" s="65">
        <f>VLOOKUP(Z248,SABANA!$B$1:$AY$479,27,0)</f>
        <v>2</v>
      </c>
      <c r="AC248" s="65" t="str">
        <f>VLOOKUP(Z248,SABANA!$B$1:$AY$479,48,0)</f>
        <v>NO</v>
      </c>
      <c r="AD248" s="65">
        <f>VLOOKUP(Z248,SABANA!$B$1:$AY$479,41,0)</f>
        <v>3</v>
      </c>
      <c r="AE248" s="65">
        <v>6</v>
      </c>
      <c r="AF248" s="65">
        <v>43882</v>
      </c>
      <c r="AG248" s="65">
        <v>1462.7333329999999</v>
      </c>
      <c r="AH248" s="65">
        <v>145428918</v>
      </c>
      <c r="AI248" s="65">
        <v>4507290</v>
      </c>
      <c r="AJ248" s="65">
        <v>150243</v>
      </c>
      <c r="AK248" s="71">
        <v>3.1E-2</v>
      </c>
      <c r="AL248" s="71"/>
    </row>
    <row r="249" spans="5:38" x14ac:dyDescent="0.2">
      <c r="E249" s="125"/>
      <c r="Y249" s="65" t="s">
        <v>1367</v>
      </c>
      <c r="Z249" s="65" t="s">
        <v>88</v>
      </c>
      <c r="AA249" s="65" t="s">
        <v>185</v>
      </c>
      <c r="AB249" s="65">
        <f>VLOOKUP(Z249,SABANA!$B$1:$AY$479,27,0)</f>
        <v>4</v>
      </c>
      <c r="AC249" s="65" t="str">
        <f>VLOOKUP(Z249,SABANA!$B$1:$AY$479,48,0)</f>
        <v>SI</v>
      </c>
      <c r="AD249" s="65">
        <f>VLOOKUP(Z249,SABANA!$B$1:$AY$479,41,0)</f>
        <v>3</v>
      </c>
      <c r="AE249" s="65">
        <v>6</v>
      </c>
      <c r="AF249" s="65">
        <v>65172</v>
      </c>
      <c r="AG249" s="65">
        <v>2172.4</v>
      </c>
      <c r="AH249" s="65">
        <v>245645876</v>
      </c>
      <c r="AI249" s="65">
        <v>15113980</v>
      </c>
      <c r="AJ249" s="65">
        <v>503799.3333</v>
      </c>
      <c r="AK249" s="71">
        <v>6.2E-2</v>
      </c>
      <c r="AL249" s="71"/>
    </row>
    <row r="250" spans="5:38" x14ac:dyDescent="0.2">
      <c r="E250" s="125"/>
      <c r="Y250" s="65" t="s">
        <v>1367</v>
      </c>
      <c r="Z250" s="65" t="s">
        <v>59</v>
      </c>
      <c r="AA250" s="65" t="s">
        <v>156</v>
      </c>
      <c r="AB250" s="65">
        <f>VLOOKUP(Z250,SABANA!$B$1:$AY$479,27,0)</f>
        <v>3</v>
      </c>
      <c r="AC250" s="65" t="str">
        <f>VLOOKUP(Z250,SABANA!$B$1:$AY$479,48,0)</f>
        <v>SI</v>
      </c>
      <c r="AD250" s="65">
        <f>VLOOKUP(Z250,SABANA!$B$1:$AY$479,41,0)</f>
        <v>3</v>
      </c>
      <c r="AE250" s="65">
        <v>6</v>
      </c>
      <c r="AF250" s="65">
        <v>33845</v>
      </c>
      <c r="AG250" s="65">
        <v>1128.166667</v>
      </c>
      <c r="AH250" s="65">
        <v>126481787</v>
      </c>
      <c r="AI250" s="65">
        <v>7529000</v>
      </c>
      <c r="AJ250" s="65">
        <v>250966.6667</v>
      </c>
      <c r="AK250" s="71">
        <v>0.06</v>
      </c>
      <c r="AL250" s="71"/>
    </row>
    <row r="251" spans="5:38" x14ac:dyDescent="0.2">
      <c r="E251" s="125"/>
      <c r="Y251" s="65" t="s">
        <v>1367</v>
      </c>
      <c r="Z251" s="65" t="s">
        <v>60</v>
      </c>
      <c r="AA251" s="65" t="s">
        <v>157</v>
      </c>
      <c r="AB251" s="65">
        <f>VLOOKUP(Z251,SABANA!$B$1:$AY$479,27,0)</f>
        <v>2</v>
      </c>
      <c r="AC251" s="65">
        <f>VLOOKUP(Z251,SABANA!$B$1:$AY$479,48,0)</f>
        <v>0</v>
      </c>
      <c r="AD251" s="65">
        <f>VLOOKUP(Z251,SABANA!$B$1:$AY$479,41,0)</f>
        <v>0</v>
      </c>
      <c r="AE251" s="65">
        <v>6</v>
      </c>
      <c r="AF251" s="65">
        <v>25546</v>
      </c>
      <c r="AG251" s="65">
        <v>851.53333329999998</v>
      </c>
      <c r="AH251" s="65">
        <v>98864162</v>
      </c>
      <c r="AI251" s="65">
        <v>2240380</v>
      </c>
      <c r="AJ251" s="65">
        <v>74679.333329999994</v>
      </c>
      <c r="AK251" s="71">
        <v>2.3E-2</v>
      </c>
      <c r="AL251" s="71"/>
    </row>
    <row r="252" spans="5:38" x14ac:dyDescent="0.2">
      <c r="E252" s="125"/>
      <c r="Y252" s="65" t="s">
        <v>1367</v>
      </c>
      <c r="Z252" s="65" t="s">
        <v>91</v>
      </c>
      <c r="AA252" s="65" t="s">
        <v>188</v>
      </c>
      <c r="AB252" s="65" t="e">
        <f>VLOOKUP(Z252,SABANA!$B$1:$AY$479,27,0)</f>
        <v>#N/A</v>
      </c>
      <c r="AC252" s="65" t="e">
        <f>VLOOKUP(Z252,SABANA!$B$1:$AY$479,48,0)</f>
        <v>#N/A</v>
      </c>
      <c r="AD252" s="65" t="e">
        <f>VLOOKUP(Z252,SABANA!$B$1:$AY$479,41,0)</f>
        <v>#N/A</v>
      </c>
      <c r="AE252" s="65">
        <v>6</v>
      </c>
      <c r="AF252" s="65">
        <v>7995</v>
      </c>
      <c r="AG252" s="65">
        <v>266.5</v>
      </c>
      <c r="AH252" s="65">
        <v>31499863</v>
      </c>
      <c r="AI252" s="65">
        <v>1237040</v>
      </c>
      <c r="AJ252" s="65">
        <v>41234.666669999999</v>
      </c>
      <c r="AK252" s="71">
        <v>3.9E-2</v>
      </c>
      <c r="AL252" s="71"/>
    </row>
    <row r="253" spans="5:38" x14ac:dyDescent="0.2">
      <c r="E253" s="125"/>
      <c r="Y253" s="65" t="s">
        <v>1366</v>
      </c>
      <c r="Z253" s="65" t="s">
        <v>871</v>
      </c>
      <c r="AA253" s="65" t="s">
        <v>872</v>
      </c>
      <c r="AB253" s="65">
        <f>VLOOKUP(Z253,SABANA!$B$1:$AY$479,27,0)</f>
        <v>3</v>
      </c>
      <c r="AC253" s="65" t="str">
        <f>VLOOKUP(Z253,SABANA!$B$1:$AY$479,48,0)</f>
        <v>NO</v>
      </c>
      <c r="AD253" s="65">
        <f>VLOOKUP(Z253,SABANA!$B$1:$AY$479,41,0)</f>
        <v>2</v>
      </c>
      <c r="AE253" s="65">
        <v>6</v>
      </c>
      <c r="AF253" s="65">
        <v>79579</v>
      </c>
      <c r="AG253" s="65">
        <v>2652.6333330000002</v>
      </c>
      <c r="AH253" s="65">
        <v>256874070</v>
      </c>
      <c r="AI253" s="65">
        <v>9263430</v>
      </c>
      <c r="AJ253" s="65">
        <v>308781</v>
      </c>
      <c r="AK253" s="71">
        <v>3.5999999999999997E-2</v>
      </c>
      <c r="AL253" s="71"/>
    </row>
    <row r="254" spans="5:38" x14ac:dyDescent="0.2">
      <c r="E254" s="125"/>
      <c r="Y254" s="65" t="s">
        <v>1366</v>
      </c>
      <c r="Z254" s="65" t="s">
        <v>836</v>
      </c>
      <c r="AA254" s="65" t="s">
        <v>837</v>
      </c>
      <c r="AB254" s="65">
        <f>VLOOKUP(Z254,SABANA!$B$1:$AY$479,27,0)</f>
        <v>2</v>
      </c>
      <c r="AC254" s="65" t="str">
        <f>VLOOKUP(Z254,SABANA!$B$1:$AY$479,48,0)</f>
        <v>NO</v>
      </c>
      <c r="AD254" s="65">
        <f>VLOOKUP(Z254,SABANA!$B$1:$AY$479,41,0)</f>
        <v>2</v>
      </c>
      <c r="AE254" s="65">
        <v>6</v>
      </c>
      <c r="AF254" s="65">
        <v>89431</v>
      </c>
      <c r="AG254" s="65">
        <v>2981.0333329999999</v>
      </c>
      <c r="AH254" s="65">
        <v>280475230</v>
      </c>
      <c r="AI254" s="65">
        <v>3747810</v>
      </c>
      <c r="AJ254" s="65">
        <v>124927</v>
      </c>
      <c r="AK254" s="71">
        <v>1.2999999999999999E-2</v>
      </c>
      <c r="AL254" s="71"/>
    </row>
    <row r="255" spans="5:38" x14ac:dyDescent="0.2">
      <c r="E255" s="125"/>
      <c r="Y255" s="65" t="s">
        <v>1366</v>
      </c>
      <c r="Z255" s="65" t="s">
        <v>854</v>
      </c>
      <c r="AA255" s="65" t="s">
        <v>855</v>
      </c>
      <c r="AB255" s="65">
        <f>VLOOKUP(Z255,SABANA!$B$1:$AY$479,27,0)</f>
        <v>2</v>
      </c>
      <c r="AC255" s="65" t="str">
        <f>VLOOKUP(Z255,SABANA!$B$1:$AY$479,48,0)</f>
        <v>NO</v>
      </c>
      <c r="AD255" s="65">
        <f>VLOOKUP(Z255,SABANA!$B$1:$AY$479,41,0)</f>
        <v>2</v>
      </c>
      <c r="AE255" s="65">
        <v>6</v>
      </c>
      <c r="AF255" s="65">
        <v>47935</v>
      </c>
      <c r="AG255" s="65">
        <v>1597.833333</v>
      </c>
      <c r="AH255" s="65">
        <v>140251796</v>
      </c>
      <c r="AI255" s="65">
        <v>1549430</v>
      </c>
      <c r="AJ255" s="65">
        <v>51647.666669999999</v>
      </c>
      <c r="AK255" s="71">
        <v>1.0999999999999999E-2</v>
      </c>
      <c r="AL255" s="71"/>
    </row>
    <row r="256" spans="5:38" x14ac:dyDescent="0.2">
      <c r="E256" s="125"/>
      <c r="Y256" s="65" t="s">
        <v>1366</v>
      </c>
      <c r="Z256" s="65" t="s">
        <v>766</v>
      </c>
      <c r="AA256" s="65" t="s">
        <v>767</v>
      </c>
      <c r="AB256" s="65">
        <f>VLOOKUP(Z256,SABANA!$B$1:$AY$479,27,0)</f>
        <v>2</v>
      </c>
      <c r="AC256" s="65" t="str">
        <f>VLOOKUP(Z256,SABANA!$B$1:$AY$479,48,0)</f>
        <v>NO</v>
      </c>
      <c r="AD256" s="65">
        <f>VLOOKUP(Z256,SABANA!$B$1:$AY$479,41,0)</f>
        <v>2</v>
      </c>
      <c r="AE256" s="65">
        <v>6</v>
      </c>
      <c r="AF256" s="65">
        <v>70453</v>
      </c>
      <c r="AG256" s="65">
        <v>2348.4333329999999</v>
      </c>
      <c r="AH256" s="65">
        <v>225890892</v>
      </c>
      <c r="AI256" s="65">
        <v>2116240</v>
      </c>
      <c r="AJ256" s="65">
        <v>70541.333329999994</v>
      </c>
      <c r="AK256" s="71">
        <v>8.9999999999999993E-3</v>
      </c>
      <c r="AL256" s="71"/>
    </row>
    <row r="257" spans="5:38" x14ac:dyDescent="0.2">
      <c r="E257" s="125"/>
      <c r="Y257" s="65" t="s">
        <v>1366</v>
      </c>
      <c r="Z257" s="65" t="s">
        <v>627</v>
      </c>
      <c r="AA257" s="65" t="s">
        <v>628</v>
      </c>
      <c r="AB257" s="65">
        <f>VLOOKUP(Z257,SABANA!$B$1:$AY$479,27,0)</f>
        <v>2</v>
      </c>
      <c r="AC257" s="65" t="str">
        <f>VLOOKUP(Z257,SABANA!$B$1:$AY$479,48,0)</f>
        <v>NO</v>
      </c>
      <c r="AD257" s="65">
        <f>VLOOKUP(Z257,SABANA!$B$1:$AY$479,41,0)</f>
        <v>2</v>
      </c>
      <c r="AE257" s="65">
        <v>6</v>
      </c>
      <c r="AF257" s="65">
        <v>88593</v>
      </c>
      <c r="AG257" s="65">
        <v>2953.1</v>
      </c>
      <c r="AH257" s="65">
        <v>251549823</v>
      </c>
      <c r="AI257" s="65">
        <v>3098080</v>
      </c>
      <c r="AJ257" s="65">
        <v>103269.3333</v>
      </c>
      <c r="AK257" s="71">
        <v>1.2E-2</v>
      </c>
      <c r="AL257" s="71"/>
    </row>
    <row r="258" spans="5:38" x14ac:dyDescent="0.2">
      <c r="E258" s="125"/>
      <c r="Y258" s="65" t="s">
        <v>1366</v>
      </c>
      <c r="Z258" s="65" t="s">
        <v>639</v>
      </c>
      <c r="AA258" s="65" t="s">
        <v>1224</v>
      </c>
      <c r="AB258" s="65">
        <f>VLOOKUP(Z258,SABANA!$B$1:$AY$479,27,0)</f>
        <v>3</v>
      </c>
      <c r="AC258" s="65" t="str">
        <f>VLOOKUP(Z258,SABANA!$B$1:$AY$479,48,0)</f>
        <v>NO</v>
      </c>
      <c r="AD258" s="65">
        <f>VLOOKUP(Z258,SABANA!$B$1:$AY$479,41,0)</f>
        <v>2</v>
      </c>
      <c r="AE258" s="65">
        <v>6</v>
      </c>
      <c r="AF258" s="65">
        <v>47560</v>
      </c>
      <c r="AG258" s="65">
        <v>1585.333333</v>
      </c>
      <c r="AH258" s="65">
        <v>151945880</v>
      </c>
      <c r="AI258" s="65">
        <v>1190990</v>
      </c>
      <c r="AJ258" s="65">
        <v>39699.666669999999</v>
      </c>
      <c r="AK258" s="71">
        <v>8.0000000000000002E-3</v>
      </c>
      <c r="AL258" s="71"/>
    </row>
    <row r="259" spans="5:38" x14ac:dyDescent="0.2">
      <c r="E259" s="125"/>
      <c r="Y259" s="65" t="s">
        <v>1366</v>
      </c>
      <c r="Z259" s="65" t="s">
        <v>758</v>
      </c>
      <c r="AA259" s="65" t="s">
        <v>1225</v>
      </c>
      <c r="AB259" s="65">
        <f>VLOOKUP(Z259,SABANA!$B$1:$AY$479,27,0)</f>
        <v>2</v>
      </c>
      <c r="AC259" s="65" t="str">
        <f>VLOOKUP(Z259,SABANA!$B$1:$AY$479,48,0)</f>
        <v>NO</v>
      </c>
      <c r="AD259" s="65">
        <f>VLOOKUP(Z259,SABANA!$B$1:$AY$479,41,0)</f>
        <v>2</v>
      </c>
      <c r="AE259" s="65">
        <v>6</v>
      </c>
      <c r="AF259" s="65">
        <v>91184</v>
      </c>
      <c r="AG259" s="65">
        <v>3039.4666670000001</v>
      </c>
      <c r="AH259" s="65">
        <v>304213178</v>
      </c>
      <c r="AI259" s="65">
        <v>3207780</v>
      </c>
      <c r="AJ259" s="65">
        <v>106926</v>
      </c>
      <c r="AK259" s="71">
        <v>1.0999999999999999E-2</v>
      </c>
      <c r="AL259" s="71"/>
    </row>
    <row r="260" spans="5:38" x14ac:dyDescent="0.2">
      <c r="E260" s="125"/>
      <c r="Y260" s="65" t="s">
        <v>1366</v>
      </c>
      <c r="Z260" s="65" t="s">
        <v>1205</v>
      </c>
      <c r="AA260" s="65" t="s">
        <v>1206</v>
      </c>
      <c r="AB260" s="65">
        <f>VLOOKUP(Z260,SABANA!$B$1:$AY$479,27,0)</f>
        <v>3</v>
      </c>
      <c r="AC260" s="65" t="str">
        <f>VLOOKUP(Z260,SABANA!$B$1:$AY$479,48,0)</f>
        <v>NO</v>
      </c>
      <c r="AD260" s="65">
        <f>VLOOKUP(Z260,SABANA!$B$1:$AY$479,41,0)</f>
        <v>2</v>
      </c>
      <c r="AE260" s="65">
        <v>6</v>
      </c>
      <c r="AF260" s="65">
        <v>25173</v>
      </c>
      <c r="AG260" s="65">
        <v>839.1</v>
      </c>
      <c r="AH260" s="65">
        <v>69860972</v>
      </c>
      <c r="AI260" s="65">
        <v>1296870</v>
      </c>
      <c r="AJ260" s="65">
        <v>43229</v>
      </c>
      <c r="AK260" s="71">
        <v>1.9E-2</v>
      </c>
      <c r="AL260" s="71"/>
    </row>
    <row r="261" spans="5:38" x14ac:dyDescent="0.2">
      <c r="E261" s="125"/>
      <c r="Y261" s="65" t="s">
        <v>1366</v>
      </c>
      <c r="Z261" s="65" t="s">
        <v>848</v>
      </c>
      <c r="AA261" s="65" t="s">
        <v>849</v>
      </c>
      <c r="AB261" s="65">
        <f>VLOOKUP(Z261,SABANA!$B$1:$AY$479,27,0)</f>
        <v>3</v>
      </c>
      <c r="AC261" s="65" t="str">
        <f>VLOOKUP(Z261,SABANA!$B$1:$AY$479,48,0)</f>
        <v>NO</v>
      </c>
      <c r="AD261" s="65">
        <f>VLOOKUP(Z261,SABANA!$B$1:$AY$479,41,0)</f>
        <v>2</v>
      </c>
      <c r="AE261" s="65">
        <v>6</v>
      </c>
      <c r="AF261" s="65">
        <v>50943</v>
      </c>
      <c r="AG261" s="65">
        <v>1698.1</v>
      </c>
      <c r="AH261" s="65">
        <v>163684592</v>
      </c>
      <c r="AI261" s="65">
        <v>7669720</v>
      </c>
      <c r="AJ261" s="65">
        <v>255657.3333</v>
      </c>
      <c r="AK261" s="71">
        <v>4.7E-2</v>
      </c>
      <c r="AL261" s="71"/>
    </row>
    <row r="262" spans="5:38" x14ac:dyDescent="0.2">
      <c r="E262" s="125"/>
      <c r="Y262" s="65" t="s">
        <v>1366</v>
      </c>
      <c r="Z262" s="65" t="s">
        <v>768</v>
      </c>
      <c r="AA262" s="65" t="s">
        <v>769</v>
      </c>
      <c r="AB262" s="65">
        <f>VLOOKUP(Z262,SABANA!$B$1:$AY$479,27,0)</f>
        <v>2</v>
      </c>
      <c r="AC262" s="65" t="str">
        <f>VLOOKUP(Z262,SABANA!$B$1:$AY$479,48,0)</f>
        <v>NO</v>
      </c>
      <c r="AD262" s="65">
        <f>VLOOKUP(Z262,SABANA!$B$1:$AY$479,41,0)</f>
        <v>2</v>
      </c>
      <c r="AE262" s="65">
        <v>6</v>
      </c>
      <c r="AF262" s="65">
        <v>80762</v>
      </c>
      <c r="AG262" s="65">
        <v>2692.0666670000001</v>
      </c>
      <c r="AH262" s="65">
        <v>227699355</v>
      </c>
      <c r="AI262" s="65">
        <v>1910850</v>
      </c>
      <c r="AJ262" s="65">
        <v>63695</v>
      </c>
      <c r="AK262" s="71">
        <v>8.0000000000000002E-3</v>
      </c>
      <c r="AL262" s="71"/>
    </row>
    <row r="263" spans="5:38" x14ac:dyDescent="0.2">
      <c r="E263" s="125"/>
      <c r="Y263" s="65" t="s">
        <v>1366</v>
      </c>
      <c r="Z263" s="65" t="s">
        <v>641</v>
      </c>
      <c r="AA263" s="65" t="s">
        <v>642</v>
      </c>
      <c r="AB263" s="65">
        <f>VLOOKUP(Z263,SABANA!$B$1:$AY$479,27,0)</f>
        <v>2</v>
      </c>
      <c r="AC263" s="65" t="str">
        <f>VLOOKUP(Z263,SABANA!$B$1:$AY$479,48,0)</f>
        <v>NO</v>
      </c>
      <c r="AD263" s="65">
        <f>VLOOKUP(Z263,SABANA!$B$1:$AY$479,41,0)</f>
        <v>2</v>
      </c>
      <c r="AE263" s="65">
        <v>6</v>
      </c>
      <c r="AF263" s="65">
        <v>48307</v>
      </c>
      <c r="AG263" s="65">
        <v>1610.2333329999999</v>
      </c>
      <c r="AH263" s="65">
        <v>136236465</v>
      </c>
      <c r="AI263" s="65">
        <v>1322750</v>
      </c>
      <c r="AJ263" s="65">
        <v>44091.666669999999</v>
      </c>
      <c r="AK263" s="71">
        <v>0.01</v>
      </c>
      <c r="AL263" s="71"/>
    </row>
    <row r="264" spans="5:38" x14ac:dyDescent="0.2">
      <c r="E264" s="125"/>
      <c r="Y264" s="65" t="s">
        <v>1366</v>
      </c>
      <c r="Z264" s="65" t="s">
        <v>649</v>
      </c>
      <c r="AA264" s="65" t="s">
        <v>650</v>
      </c>
      <c r="AB264" s="65">
        <f>VLOOKUP(Z264,SABANA!$B$1:$AY$479,27,0)</f>
        <v>2</v>
      </c>
      <c r="AC264" s="65" t="str">
        <f>VLOOKUP(Z264,SABANA!$B$1:$AY$479,48,0)</f>
        <v>NO</v>
      </c>
      <c r="AD264" s="65">
        <f>VLOOKUP(Z264,SABANA!$B$1:$AY$479,41,0)</f>
        <v>2</v>
      </c>
      <c r="AE264" s="65">
        <v>6</v>
      </c>
      <c r="AF264" s="65">
        <v>50105</v>
      </c>
      <c r="AG264" s="65">
        <v>1670.166667</v>
      </c>
      <c r="AH264" s="65">
        <v>157202718</v>
      </c>
      <c r="AI264" s="65">
        <v>2775150</v>
      </c>
      <c r="AJ264" s="65">
        <v>92505</v>
      </c>
      <c r="AK264" s="71">
        <v>1.7999999999999999E-2</v>
      </c>
      <c r="AL264" s="71"/>
    </row>
    <row r="265" spans="5:38" x14ac:dyDescent="0.2">
      <c r="E265" s="125"/>
      <c r="Y265" s="65" t="s">
        <v>1366</v>
      </c>
      <c r="Z265" s="65" t="s">
        <v>1207</v>
      </c>
      <c r="AA265" s="65" t="s">
        <v>1208</v>
      </c>
      <c r="AB265" s="65">
        <f>VLOOKUP(Z265,SABANA!$B$1:$AY$479,27,0)</f>
        <v>3</v>
      </c>
      <c r="AC265" s="65" t="str">
        <f>VLOOKUP(Z265,SABANA!$B$1:$AY$479,48,0)</f>
        <v>NO</v>
      </c>
      <c r="AD265" s="65">
        <f>VLOOKUP(Z265,SABANA!$B$1:$AY$479,41,0)</f>
        <v>2</v>
      </c>
      <c r="AE265" s="65">
        <v>6</v>
      </c>
      <c r="AF265" s="65">
        <v>47086</v>
      </c>
      <c r="AG265" s="65">
        <v>1569.5333330000001</v>
      </c>
      <c r="AH265" s="65">
        <v>149090678</v>
      </c>
      <c r="AI265" s="65">
        <v>2703810</v>
      </c>
      <c r="AJ265" s="65">
        <v>90127</v>
      </c>
      <c r="AK265" s="71">
        <v>1.7999999999999999E-2</v>
      </c>
      <c r="AL265" s="71"/>
    </row>
    <row r="266" spans="5:38" x14ac:dyDescent="0.2">
      <c r="E266" s="125"/>
      <c r="Y266" s="65" t="s">
        <v>1366</v>
      </c>
      <c r="Z266" s="65" t="s">
        <v>629</v>
      </c>
      <c r="AA266" s="65" t="s">
        <v>630</v>
      </c>
      <c r="AB266" s="65">
        <f>VLOOKUP(Z266,SABANA!$B$1:$AY$479,27,0)</f>
        <v>2</v>
      </c>
      <c r="AC266" s="65" t="str">
        <f>VLOOKUP(Z266,SABANA!$B$1:$AY$479,48,0)</f>
        <v>NO</v>
      </c>
      <c r="AD266" s="65">
        <f>VLOOKUP(Z266,SABANA!$B$1:$AY$479,41,0)</f>
        <v>2</v>
      </c>
      <c r="AE266" s="65">
        <v>6</v>
      </c>
      <c r="AF266" s="65">
        <v>60258</v>
      </c>
      <c r="AG266" s="65">
        <v>2008.6</v>
      </c>
      <c r="AH266" s="65">
        <v>191536510</v>
      </c>
      <c r="AI266" s="65">
        <v>2647520</v>
      </c>
      <c r="AJ266" s="65">
        <v>88250.666670000006</v>
      </c>
      <c r="AK266" s="71">
        <v>1.4E-2</v>
      </c>
      <c r="AL266" s="71"/>
    </row>
    <row r="267" spans="5:38" x14ac:dyDescent="0.2">
      <c r="E267" s="125"/>
      <c r="Y267" s="65" t="s">
        <v>1366</v>
      </c>
      <c r="Z267" s="65" t="s">
        <v>850</v>
      </c>
      <c r="AA267" s="65" t="s">
        <v>851</v>
      </c>
      <c r="AB267" s="65">
        <f>VLOOKUP(Z267,SABANA!$B$1:$AY$479,27,0)</f>
        <v>2</v>
      </c>
      <c r="AC267" s="65" t="str">
        <f>VLOOKUP(Z267,SABANA!$B$1:$AY$479,48,0)</f>
        <v>NO</v>
      </c>
      <c r="AD267" s="65">
        <f>VLOOKUP(Z267,SABANA!$B$1:$AY$479,41,0)</f>
        <v>1</v>
      </c>
      <c r="AE267" s="65">
        <v>6</v>
      </c>
      <c r="AF267" s="65">
        <v>74438</v>
      </c>
      <c r="AG267" s="65">
        <v>2481.2666669999999</v>
      </c>
      <c r="AH267" s="65">
        <v>206077677</v>
      </c>
      <c r="AI267" s="65">
        <v>2427970</v>
      </c>
      <c r="AJ267" s="65">
        <v>80932.333329999994</v>
      </c>
      <c r="AK267" s="71">
        <v>1.2E-2</v>
      </c>
      <c r="AL267" s="71"/>
    </row>
    <row r="268" spans="5:38" x14ac:dyDescent="0.2">
      <c r="E268" s="125"/>
      <c r="Y268" s="65" t="s">
        <v>1366</v>
      </c>
      <c r="Z268" s="65" t="s">
        <v>852</v>
      </c>
      <c r="AA268" s="65" t="s">
        <v>853</v>
      </c>
      <c r="AB268" s="65">
        <f>VLOOKUP(Z268,SABANA!$B$1:$AY$479,27,0)</f>
        <v>3</v>
      </c>
      <c r="AC268" s="65" t="str">
        <f>VLOOKUP(Z268,SABANA!$B$1:$AY$479,48,0)</f>
        <v>NO</v>
      </c>
      <c r="AD268" s="65">
        <f>VLOOKUP(Z268,SABANA!$B$1:$AY$479,41,0)</f>
        <v>2</v>
      </c>
      <c r="AE268" s="65">
        <v>6</v>
      </c>
      <c r="AF268" s="65">
        <v>50001</v>
      </c>
      <c r="AG268" s="65">
        <v>1666.7</v>
      </c>
      <c r="AH268" s="65">
        <v>155289890</v>
      </c>
      <c r="AI268" s="65">
        <v>3761030</v>
      </c>
      <c r="AJ268" s="65">
        <v>125367.6667</v>
      </c>
      <c r="AK268" s="71">
        <v>2.4E-2</v>
      </c>
      <c r="AL268" s="71"/>
    </row>
    <row r="269" spans="5:38" x14ac:dyDescent="0.2">
      <c r="E269" s="125"/>
      <c r="Y269" s="65" t="s">
        <v>1366</v>
      </c>
      <c r="Z269" s="65" t="s">
        <v>617</v>
      </c>
      <c r="AA269" s="65" t="s">
        <v>618</v>
      </c>
      <c r="AB269" s="65">
        <f>VLOOKUP(Z269,SABANA!$B$1:$AY$479,27,0)</f>
        <v>3</v>
      </c>
      <c r="AC269" s="65" t="str">
        <f>VLOOKUP(Z269,SABANA!$B$1:$AY$479,48,0)</f>
        <v>NO</v>
      </c>
      <c r="AD269" s="65">
        <f>VLOOKUP(Z269,SABANA!$B$1:$AY$479,41,0)</f>
        <v>1</v>
      </c>
      <c r="AE269" s="65">
        <v>6</v>
      </c>
      <c r="AF269" s="65">
        <v>51823</v>
      </c>
      <c r="AG269" s="65">
        <v>1727.4333329999999</v>
      </c>
      <c r="AH269" s="65">
        <v>162421558</v>
      </c>
      <c r="AI269" s="65">
        <v>3649400</v>
      </c>
      <c r="AJ269" s="65">
        <v>121646.6667</v>
      </c>
      <c r="AK269" s="71">
        <v>2.1999999999999999E-2</v>
      </c>
      <c r="AL269" s="71"/>
    </row>
    <row r="270" spans="5:38" x14ac:dyDescent="0.2">
      <c r="E270" s="125"/>
      <c r="Y270" s="65" t="s">
        <v>1366</v>
      </c>
      <c r="Z270" s="65" t="s">
        <v>774</v>
      </c>
      <c r="AA270" s="65" t="s">
        <v>775</v>
      </c>
      <c r="AB270" s="65">
        <f>VLOOKUP(Z270,SABANA!$B$1:$AY$479,27,0)</f>
        <v>2</v>
      </c>
      <c r="AC270" s="65" t="str">
        <f>VLOOKUP(Z270,SABANA!$B$1:$AY$479,48,0)</f>
        <v>NO</v>
      </c>
      <c r="AD270" s="65">
        <f>VLOOKUP(Z270,SABANA!$B$1:$AY$479,41,0)</f>
        <v>2</v>
      </c>
      <c r="AE270" s="65">
        <v>6</v>
      </c>
      <c r="AF270" s="65">
        <v>78076</v>
      </c>
      <c r="AG270" s="65">
        <v>2602.5333329999999</v>
      </c>
      <c r="AH270" s="65">
        <v>261360273</v>
      </c>
      <c r="AI270" s="65">
        <v>3408220</v>
      </c>
      <c r="AJ270" s="65">
        <v>113607.3333</v>
      </c>
      <c r="AK270" s="71">
        <v>1.2999999999999999E-2</v>
      </c>
      <c r="AL270" s="71"/>
    </row>
    <row r="271" spans="5:38" x14ac:dyDescent="0.2">
      <c r="E271" s="125"/>
      <c r="Y271" s="65" t="s">
        <v>1366</v>
      </c>
      <c r="Z271" s="65" t="s">
        <v>643</v>
      </c>
      <c r="AA271" s="65" t="s">
        <v>644</v>
      </c>
      <c r="AB271" s="65">
        <f>VLOOKUP(Z271,SABANA!$B$1:$AY$479,27,0)</f>
        <v>2</v>
      </c>
      <c r="AC271" s="65" t="str">
        <f>VLOOKUP(Z271,SABANA!$B$1:$AY$479,48,0)</f>
        <v>NO</v>
      </c>
      <c r="AD271" s="65">
        <f>VLOOKUP(Z271,SABANA!$B$1:$AY$479,41,0)</f>
        <v>2</v>
      </c>
      <c r="AE271" s="65">
        <v>6</v>
      </c>
      <c r="AF271" s="65">
        <v>68004</v>
      </c>
      <c r="AG271" s="65">
        <v>2266.8000000000002</v>
      </c>
      <c r="AH271" s="65">
        <v>218930745</v>
      </c>
      <c r="AI271" s="65">
        <v>2311010</v>
      </c>
      <c r="AJ271" s="65">
        <v>77033.666670000006</v>
      </c>
      <c r="AK271" s="71">
        <v>1.0999999999999999E-2</v>
      </c>
      <c r="AL271" s="71"/>
    </row>
    <row r="272" spans="5:38" x14ac:dyDescent="0.2">
      <c r="E272" s="125"/>
      <c r="Y272" s="65" t="s">
        <v>1366</v>
      </c>
      <c r="Z272" s="65" t="s">
        <v>619</v>
      </c>
      <c r="AA272" s="65" t="s">
        <v>620</v>
      </c>
      <c r="AB272" s="65">
        <f>VLOOKUP(Z272,SABANA!$B$1:$AY$479,27,0)</f>
        <v>2</v>
      </c>
      <c r="AC272" s="65" t="str">
        <f>VLOOKUP(Z272,SABANA!$B$1:$AY$479,48,0)</f>
        <v>NO</v>
      </c>
      <c r="AD272" s="65">
        <f>VLOOKUP(Z272,SABANA!$B$1:$AY$479,41,0)</f>
        <v>1</v>
      </c>
      <c r="AE272" s="65">
        <v>6</v>
      </c>
      <c r="AF272" s="65">
        <v>68107</v>
      </c>
      <c r="AG272" s="65">
        <v>2270.2333330000001</v>
      </c>
      <c r="AH272" s="65">
        <v>208605894</v>
      </c>
      <c r="AI272" s="65">
        <v>3205390</v>
      </c>
      <c r="AJ272" s="65">
        <v>106846.3333</v>
      </c>
      <c r="AK272" s="71">
        <v>1.4999999999999999E-2</v>
      </c>
      <c r="AL272" s="71"/>
    </row>
    <row r="273" spans="5:38" x14ac:dyDescent="0.2">
      <c r="E273" s="125"/>
      <c r="Y273" s="65" t="s">
        <v>1366</v>
      </c>
      <c r="Z273" s="65" t="s">
        <v>651</v>
      </c>
      <c r="AA273" s="65" t="s">
        <v>1226</v>
      </c>
      <c r="AB273" s="65">
        <f>VLOOKUP(Z273,SABANA!$B$1:$AY$479,27,0)</f>
        <v>3</v>
      </c>
      <c r="AC273" s="65" t="str">
        <f>VLOOKUP(Z273,SABANA!$B$1:$AY$479,48,0)</f>
        <v>NO</v>
      </c>
      <c r="AD273" s="65">
        <f>VLOOKUP(Z273,SABANA!$B$1:$AY$479,41,0)</f>
        <v>2</v>
      </c>
      <c r="AE273" s="65">
        <v>6</v>
      </c>
      <c r="AF273" s="65">
        <v>99458</v>
      </c>
      <c r="AG273" s="65">
        <v>3315.2666669999999</v>
      </c>
      <c r="AH273" s="65">
        <v>315358370</v>
      </c>
      <c r="AI273" s="65">
        <v>2514250</v>
      </c>
      <c r="AJ273" s="65">
        <v>83808.333329999994</v>
      </c>
      <c r="AK273" s="71">
        <v>8.0000000000000002E-3</v>
      </c>
      <c r="AL273" s="71"/>
    </row>
    <row r="274" spans="5:38" x14ac:dyDescent="0.2">
      <c r="E274" s="125"/>
      <c r="Y274" s="65" t="s">
        <v>1366</v>
      </c>
      <c r="Z274" s="65" t="s">
        <v>653</v>
      </c>
      <c r="AA274" s="65" t="s">
        <v>654</v>
      </c>
      <c r="AB274" s="65">
        <f>VLOOKUP(Z274,SABANA!$B$1:$AY$479,27,0)</f>
        <v>2</v>
      </c>
      <c r="AC274" s="65" t="str">
        <f>VLOOKUP(Z274,SABANA!$B$1:$AY$479,48,0)</f>
        <v>NO</v>
      </c>
      <c r="AD274" s="65">
        <f>VLOOKUP(Z274,SABANA!$B$1:$AY$479,41,0)</f>
        <v>2</v>
      </c>
      <c r="AE274" s="65">
        <v>6</v>
      </c>
      <c r="AF274" s="65">
        <v>56020</v>
      </c>
      <c r="AG274" s="65">
        <v>1867.333333</v>
      </c>
      <c r="AH274" s="65">
        <v>171431902</v>
      </c>
      <c r="AI274" s="65">
        <v>2761110</v>
      </c>
      <c r="AJ274" s="65">
        <v>92037</v>
      </c>
      <c r="AK274" s="71">
        <v>1.6E-2</v>
      </c>
      <c r="AL274" s="71"/>
    </row>
    <row r="275" spans="5:38" x14ac:dyDescent="0.2">
      <c r="E275" s="125"/>
      <c r="Y275" s="65" t="s">
        <v>1366</v>
      </c>
      <c r="Z275" s="65" t="s">
        <v>760</v>
      </c>
      <c r="AA275" s="65" t="s">
        <v>761</v>
      </c>
      <c r="AB275" s="65">
        <f>VLOOKUP(Z275,SABANA!$B$1:$AY$479,27,0)</f>
        <v>3</v>
      </c>
      <c r="AC275" s="65" t="str">
        <f>VLOOKUP(Z275,SABANA!$B$1:$AY$479,48,0)</f>
        <v>NO</v>
      </c>
      <c r="AD275" s="65">
        <f>VLOOKUP(Z275,SABANA!$B$1:$AY$479,41,0)</f>
        <v>2</v>
      </c>
      <c r="AE275" s="65">
        <v>6</v>
      </c>
      <c r="AF275" s="65">
        <v>67424</v>
      </c>
      <c r="AG275" s="65">
        <v>2247.4666670000001</v>
      </c>
      <c r="AH275" s="65">
        <v>196281846</v>
      </c>
      <c r="AI275" s="65">
        <v>2389770</v>
      </c>
      <c r="AJ275" s="65">
        <v>79659</v>
      </c>
      <c r="AK275" s="71">
        <v>1.2E-2</v>
      </c>
      <c r="AL275" s="71"/>
    </row>
    <row r="276" spans="5:38" x14ac:dyDescent="0.2">
      <c r="E276" s="125"/>
      <c r="Y276" s="65" t="s">
        <v>1366</v>
      </c>
      <c r="Z276" s="65" t="s">
        <v>631</v>
      </c>
      <c r="AA276" s="65" t="s">
        <v>632</v>
      </c>
      <c r="AB276" s="65">
        <f>VLOOKUP(Z276,SABANA!$B$1:$AY$479,27,0)</f>
        <v>3</v>
      </c>
      <c r="AC276" s="65" t="str">
        <f>VLOOKUP(Z276,SABANA!$B$1:$AY$479,48,0)</f>
        <v>NO</v>
      </c>
      <c r="AD276" s="65">
        <f>VLOOKUP(Z276,SABANA!$B$1:$AY$479,41,0)</f>
        <v>1</v>
      </c>
      <c r="AE276" s="65">
        <v>6</v>
      </c>
      <c r="AF276" s="65">
        <v>55556</v>
      </c>
      <c r="AG276" s="65">
        <v>1851.866667</v>
      </c>
      <c r="AH276" s="65">
        <v>181147927</v>
      </c>
      <c r="AI276" s="65">
        <v>2392470</v>
      </c>
      <c r="AJ276" s="65">
        <v>79749</v>
      </c>
      <c r="AK276" s="71">
        <v>1.2999999999999999E-2</v>
      </c>
      <c r="AL276" s="71"/>
    </row>
    <row r="277" spans="5:38" x14ac:dyDescent="0.2">
      <c r="E277" s="125"/>
      <c r="Y277" s="65" t="s">
        <v>1366</v>
      </c>
      <c r="Z277" s="65" t="s">
        <v>838</v>
      </c>
      <c r="AA277" s="65" t="s">
        <v>839</v>
      </c>
      <c r="AB277" s="65">
        <f>VLOOKUP(Z277,SABANA!$B$1:$AY$479,27,0)</f>
        <v>2</v>
      </c>
      <c r="AC277" s="65" t="str">
        <f>VLOOKUP(Z277,SABANA!$B$1:$AY$479,48,0)</f>
        <v>NO</v>
      </c>
      <c r="AD277" s="65">
        <f>VLOOKUP(Z277,SABANA!$B$1:$AY$479,41,0)</f>
        <v>2</v>
      </c>
      <c r="AE277" s="65">
        <v>6</v>
      </c>
      <c r="AF277" s="65">
        <v>55825</v>
      </c>
      <c r="AG277" s="65">
        <v>1860.833333</v>
      </c>
      <c r="AH277" s="65">
        <v>164805186</v>
      </c>
      <c r="AI277" s="65">
        <v>1643190</v>
      </c>
      <c r="AJ277" s="65">
        <v>54773</v>
      </c>
      <c r="AK277" s="71">
        <v>0.01</v>
      </c>
      <c r="AL277" s="71"/>
    </row>
    <row r="278" spans="5:38" x14ac:dyDescent="0.2">
      <c r="E278" s="125"/>
      <c r="Y278" s="65" t="s">
        <v>1366</v>
      </c>
      <c r="Z278" s="65" t="s">
        <v>645</v>
      </c>
      <c r="AA278" s="65" t="s">
        <v>1227</v>
      </c>
      <c r="AB278" s="65">
        <f>VLOOKUP(Z278,SABANA!$B$1:$AY$479,27,0)</f>
        <v>3</v>
      </c>
      <c r="AC278" s="65" t="str">
        <f>VLOOKUP(Z278,SABANA!$B$1:$AY$479,48,0)</f>
        <v>NO</v>
      </c>
      <c r="AD278" s="65">
        <f>VLOOKUP(Z278,SABANA!$B$1:$AY$479,41,0)</f>
        <v>1</v>
      </c>
      <c r="AE278" s="65">
        <v>6</v>
      </c>
      <c r="AF278" s="65">
        <v>81633</v>
      </c>
      <c r="AG278" s="65">
        <v>2721.1</v>
      </c>
      <c r="AH278" s="65">
        <v>247484576</v>
      </c>
      <c r="AI278" s="65">
        <v>1543910</v>
      </c>
      <c r="AJ278" s="65">
        <v>51463.666669999999</v>
      </c>
      <c r="AK278" s="71">
        <v>6.0000000000000001E-3</v>
      </c>
      <c r="AL278" s="71"/>
    </row>
    <row r="279" spans="5:38" x14ac:dyDescent="0.2">
      <c r="E279" s="125"/>
      <c r="Y279" s="65" t="s">
        <v>1366</v>
      </c>
      <c r="Z279" s="65" t="s">
        <v>647</v>
      </c>
      <c r="AA279" s="65" t="s">
        <v>648</v>
      </c>
      <c r="AB279" s="65">
        <f>VLOOKUP(Z279,SABANA!$B$1:$AY$479,27,0)</f>
        <v>1</v>
      </c>
      <c r="AC279" s="65" t="str">
        <f>VLOOKUP(Z279,SABANA!$B$1:$AY$479,48,0)</f>
        <v>NO</v>
      </c>
      <c r="AD279" s="65">
        <f>VLOOKUP(Z279,SABANA!$B$1:$AY$479,41,0)</f>
        <v>1</v>
      </c>
      <c r="AE279" s="65">
        <v>6</v>
      </c>
      <c r="AF279" s="65">
        <v>78351</v>
      </c>
      <c r="AG279" s="65">
        <v>2611.6999999999998</v>
      </c>
      <c r="AH279" s="65">
        <v>251284436</v>
      </c>
      <c r="AI279" s="65">
        <v>2485550</v>
      </c>
      <c r="AJ279" s="65">
        <v>82851.666670000006</v>
      </c>
      <c r="AK279" s="71">
        <v>0.01</v>
      </c>
      <c r="AL279" s="71"/>
    </row>
    <row r="280" spans="5:38" x14ac:dyDescent="0.2">
      <c r="E280" s="125"/>
      <c r="Y280" s="65" t="s">
        <v>1366</v>
      </c>
      <c r="Z280" s="65" t="s">
        <v>621</v>
      </c>
      <c r="AA280" s="65" t="s">
        <v>622</v>
      </c>
      <c r="AB280" s="65">
        <f>VLOOKUP(Z280,SABANA!$B$1:$AY$479,27,0)</f>
        <v>2</v>
      </c>
      <c r="AC280" s="65" t="str">
        <f>VLOOKUP(Z280,SABANA!$B$1:$AY$479,48,0)</f>
        <v>NO</v>
      </c>
      <c r="AD280" s="65">
        <f>VLOOKUP(Z280,SABANA!$B$1:$AY$479,41,0)</f>
        <v>1</v>
      </c>
      <c r="AE280" s="65">
        <v>6</v>
      </c>
      <c r="AF280" s="65">
        <v>105031</v>
      </c>
      <c r="AG280" s="65">
        <v>3501.0333329999999</v>
      </c>
      <c r="AH280" s="65">
        <v>317948945</v>
      </c>
      <c r="AI280" s="65">
        <v>3020420</v>
      </c>
      <c r="AJ280" s="65">
        <v>100680.6667</v>
      </c>
      <c r="AK280" s="71">
        <v>8.9999999999999993E-3</v>
      </c>
      <c r="AL280" s="71"/>
    </row>
    <row r="281" spans="5:38" x14ac:dyDescent="0.2">
      <c r="E281" s="125"/>
      <c r="Y281" s="65" t="s">
        <v>1366</v>
      </c>
      <c r="Z281" s="65" t="s">
        <v>776</v>
      </c>
      <c r="AA281" s="65" t="s">
        <v>777</v>
      </c>
      <c r="AB281" s="65">
        <f>VLOOKUP(Z281,SABANA!$B$1:$AY$479,27,0)</f>
        <v>3</v>
      </c>
      <c r="AC281" s="65" t="str">
        <f>VLOOKUP(Z281,SABANA!$B$1:$AY$479,48,0)</f>
        <v>NO</v>
      </c>
      <c r="AD281" s="65">
        <f>VLOOKUP(Z281,SABANA!$B$1:$AY$479,41,0)</f>
        <v>1</v>
      </c>
      <c r="AE281" s="65">
        <v>6</v>
      </c>
      <c r="AF281" s="65">
        <v>58388</v>
      </c>
      <c r="AG281" s="65">
        <v>1946.2666670000001</v>
      </c>
      <c r="AH281" s="65">
        <v>169006524</v>
      </c>
      <c r="AI281" s="65">
        <v>2026560</v>
      </c>
      <c r="AJ281" s="65">
        <v>67552</v>
      </c>
      <c r="AK281" s="71">
        <v>1.2E-2</v>
      </c>
      <c r="AL281" s="71"/>
    </row>
    <row r="282" spans="5:38" x14ac:dyDescent="0.2">
      <c r="E282" s="125"/>
      <c r="Y282" s="65" t="s">
        <v>1366</v>
      </c>
      <c r="Z282" s="65" t="s">
        <v>623</v>
      </c>
      <c r="AA282" s="65" t="s">
        <v>624</v>
      </c>
      <c r="AB282" s="65">
        <f>VLOOKUP(Z282,SABANA!$B$1:$AY$479,27,0)</f>
        <v>2</v>
      </c>
      <c r="AC282" s="65" t="str">
        <f>VLOOKUP(Z282,SABANA!$B$1:$AY$479,48,0)</f>
        <v>NO</v>
      </c>
      <c r="AD282" s="65">
        <f>VLOOKUP(Z282,SABANA!$B$1:$AY$479,41,0)</f>
        <v>1</v>
      </c>
      <c r="AE282" s="65">
        <v>6</v>
      </c>
      <c r="AF282" s="65">
        <v>49860</v>
      </c>
      <c r="AG282" s="65">
        <v>1662</v>
      </c>
      <c r="AH282" s="65">
        <v>150520171</v>
      </c>
      <c r="AI282" s="65">
        <v>3314070</v>
      </c>
      <c r="AJ282" s="65">
        <v>110469</v>
      </c>
      <c r="AK282" s="71">
        <v>2.1999999999999999E-2</v>
      </c>
      <c r="AL282" s="71"/>
    </row>
    <row r="283" spans="5:38" x14ac:dyDescent="0.2">
      <c r="E283" s="125"/>
      <c r="Y283" s="65" t="s">
        <v>1366</v>
      </c>
      <c r="Z283" s="65" t="s">
        <v>770</v>
      </c>
      <c r="AA283" s="65" t="s">
        <v>771</v>
      </c>
      <c r="AB283" s="65">
        <f>VLOOKUP(Z283,SABANA!$B$1:$AY$479,27,0)</f>
        <v>2</v>
      </c>
      <c r="AC283" s="65" t="str">
        <f>VLOOKUP(Z283,SABANA!$B$1:$AY$479,48,0)</f>
        <v>NO</v>
      </c>
      <c r="AD283" s="65">
        <f>VLOOKUP(Z283,SABANA!$B$1:$AY$479,41,0)</f>
        <v>2</v>
      </c>
      <c r="AE283" s="65">
        <v>6</v>
      </c>
      <c r="AF283" s="65">
        <v>82688</v>
      </c>
      <c r="AG283" s="65">
        <v>2756.2666669999999</v>
      </c>
      <c r="AH283" s="65">
        <v>254823950</v>
      </c>
      <c r="AI283" s="65">
        <v>3327590</v>
      </c>
      <c r="AJ283" s="65">
        <v>110919.6667</v>
      </c>
      <c r="AK283" s="71">
        <v>1.2999999999999999E-2</v>
      </c>
      <c r="AL283" s="71"/>
    </row>
    <row r="284" spans="5:38" x14ac:dyDescent="0.2">
      <c r="E284" s="125"/>
      <c r="Y284" s="65" t="s">
        <v>1366</v>
      </c>
      <c r="Z284" s="65" t="s">
        <v>655</v>
      </c>
      <c r="AA284" s="65" t="s">
        <v>656</v>
      </c>
      <c r="AB284" s="65">
        <f>VLOOKUP(Z284,SABANA!$B$1:$AY$479,27,0)</f>
        <v>2</v>
      </c>
      <c r="AC284" s="65" t="str">
        <f>VLOOKUP(Z284,SABANA!$B$1:$AY$479,48,0)</f>
        <v>NO</v>
      </c>
      <c r="AD284" s="65">
        <f>VLOOKUP(Z284,SABANA!$B$1:$AY$479,41,0)</f>
        <v>2</v>
      </c>
      <c r="AE284" s="65">
        <v>6</v>
      </c>
      <c r="AF284" s="65">
        <v>70371</v>
      </c>
      <c r="AG284" s="65">
        <v>2345.6999999999998</v>
      </c>
      <c r="AH284" s="65">
        <v>217309595</v>
      </c>
      <c r="AI284" s="65">
        <v>3070890</v>
      </c>
      <c r="AJ284" s="65">
        <v>102363</v>
      </c>
      <c r="AK284" s="71">
        <v>1.4E-2</v>
      </c>
      <c r="AL284" s="71"/>
    </row>
    <row r="285" spans="5:38" x14ac:dyDescent="0.2">
      <c r="E285" s="125"/>
      <c r="Y285" s="65" t="s">
        <v>1366</v>
      </c>
      <c r="Z285" s="65" t="s">
        <v>657</v>
      </c>
      <c r="AA285" s="65" t="s">
        <v>1228</v>
      </c>
      <c r="AB285" s="65">
        <f>VLOOKUP(Z285,SABANA!$B$1:$AY$479,27,0)</f>
        <v>3</v>
      </c>
      <c r="AC285" s="65" t="str">
        <f>VLOOKUP(Z285,SABANA!$B$1:$AY$479,48,0)</f>
        <v>NO</v>
      </c>
      <c r="AD285" s="65">
        <f>VLOOKUP(Z285,SABANA!$B$1:$AY$479,41,0)</f>
        <v>2</v>
      </c>
      <c r="AE285" s="65">
        <v>6</v>
      </c>
      <c r="AF285" s="65">
        <v>67933</v>
      </c>
      <c r="AG285" s="65">
        <v>2264.4333329999999</v>
      </c>
      <c r="AH285" s="65">
        <v>214786285</v>
      </c>
      <c r="AI285" s="65">
        <v>5014380</v>
      </c>
      <c r="AJ285" s="65">
        <v>167146</v>
      </c>
      <c r="AK285" s="71">
        <v>2.3E-2</v>
      </c>
      <c r="AL285" s="71"/>
    </row>
    <row r="286" spans="5:38" x14ac:dyDescent="0.2">
      <c r="E286" s="125"/>
      <c r="Y286" s="65" t="s">
        <v>1366</v>
      </c>
      <c r="Z286" s="65" t="s">
        <v>762</v>
      </c>
      <c r="AA286" s="65" t="s">
        <v>1231</v>
      </c>
      <c r="AB286" s="65">
        <f>VLOOKUP(Z286,SABANA!$B$1:$AY$479,27,0)</f>
        <v>4</v>
      </c>
      <c r="AC286" s="65" t="str">
        <f>VLOOKUP(Z286,SABANA!$B$1:$AY$479,48,0)</f>
        <v>NO</v>
      </c>
      <c r="AD286" s="65">
        <f>VLOOKUP(Z286,SABANA!$B$1:$AY$479,41,0)</f>
        <v>2</v>
      </c>
      <c r="AE286" s="65">
        <v>6</v>
      </c>
      <c r="AF286" s="65">
        <v>85252</v>
      </c>
      <c r="AG286" s="65">
        <v>2841.7333330000001</v>
      </c>
      <c r="AH286" s="65">
        <v>284000958</v>
      </c>
      <c r="AI286" s="65">
        <v>8108180</v>
      </c>
      <c r="AJ286" s="65">
        <v>270272.6667</v>
      </c>
      <c r="AK286" s="71">
        <v>2.9000000000000001E-2</v>
      </c>
      <c r="AL286" s="71"/>
    </row>
    <row r="287" spans="5:38" x14ac:dyDescent="0.2">
      <c r="E287" s="125"/>
      <c r="Y287" s="65" t="s">
        <v>1366</v>
      </c>
      <c r="Z287" s="65" t="s">
        <v>659</v>
      </c>
      <c r="AA287" s="65" t="s">
        <v>1229</v>
      </c>
      <c r="AB287" s="65">
        <f>VLOOKUP(Z287,SABANA!$B$1:$AY$479,27,0)</f>
        <v>3</v>
      </c>
      <c r="AC287" s="65" t="str">
        <f>VLOOKUP(Z287,SABANA!$B$1:$AY$479,48,0)</f>
        <v>NO</v>
      </c>
      <c r="AD287" s="65">
        <f>VLOOKUP(Z287,SABANA!$B$1:$AY$479,41,0)</f>
        <v>2</v>
      </c>
      <c r="AE287" s="65">
        <v>6</v>
      </c>
      <c r="AF287" s="65">
        <v>58218</v>
      </c>
      <c r="AG287" s="65">
        <v>1940.6</v>
      </c>
      <c r="AH287" s="65">
        <v>175716819</v>
      </c>
      <c r="AI287" s="65">
        <v>3194060</v>
      </c>
      <c r="AJ287" s="65">
        <v>106468.6667</v>
      </c>
      <c r="AK287" s="71">
        <v>1.7999999999999999E-2</v>
      </c>
      <c r="AL287" s="71"/>
    </row>
    <row r="288" spans="5:38" x14ac:dyDescent="0.2">
      <c r="E288" s="125"/>
      <c r="Y288" s="65" t="s">
        <v>1366</v>
      </c>
      <c r="Z288" s="65" t="s">
        <v>840</v>
      </c>
      <c r="AA288" s="65" t="s">
        <v>1230</v>
      </c>
      <c r="AB288" s="65">
        <f>VLOOKUP(Z288,SABANA!$B$1:$AY$479,27,0)</f>
        <v>3</v>
      </c>
      <c r="AC288" s="65" t="str">
        <f>VLOOKUP(Z288,SABANA!$B$1:$AY$479,48,0)</f>
        <v>NO</v>
      </c>
      <c r="AD288" s="65">
        <f>VLOOKUP(Z288,SABANA!$B$1:$AY$479,41,0)</f>
        <v>2</v>
      </c>
      <c r="AE288" s="65">
        <v>6</v>
      </c>
      <c r="AF288" s="65">
        <v>40584</v>
      </c>
      <c r="AG288" s="65">
        <v>1352.8</v>
      </c>
      <c r="AH288" s="65">
        <v>124794436</v>
      </c>
      <c r="AI288" s="65">
        <v>2579940</v>
      </c>
      <c r="AJ288" s="65">
        <v>85998</v>
      </c>
      <c r="AK288" s="71">
        <v>2.1000000000000001E-2</v>
      </c>
      <c r="AL288" s="71"/>
    </row>
    <row r="289" spans="5:5" x14ac:dyDescent="0.2">
      <c r="E289" s="125"/>
    </row>
    <row r="290" spans="5:5" x14ac:dyDescent="0.2">
      <c r="E290" s="125"/>
    </row>
    <row r="291" spans="5:5" x14ac:dyDescent="0.2">
      <c r="E291" s="125"/>
    </row>
    <row r="292" spans="5:5" x14ac:dyDescent="0.2">
      <c r="E292" s="125"/>
    </row>
    <row r="293" spans="5:5" x14ac:dyDescent="0.2">
      <c r="E293" s="125"/>
    </row>
    <row r="294" spans="5:5" x14ac:dyDescent="0.2">
      <c r="E294" s="125"/>
    </row>
    <row r="295" spans="5:5" x14ac:dyDescent="0.2">
      <c r="E295" s="125"/>
    </row>
    <row r="296" spans="5:5" x14ac:dyDescent="0.2">
      <c r="E296" s="125"/>
    </row>
    <row r="297" spans="5:5" x14ac:dyDescent="0.2">
      <c r="E297" s="125"/>
    </row>
    <row r="298" spans="5:5" x14ac:dyDescent="0.2">
      <c r="E298" s="125"/>
    </row>
    <row r="299" spans="5:5" x14ac:dyDescent="0.2">
      <c r="E299" s="125"/>
    </row>
    <row r="300" spans="5:5" x14ac:dyDescent="0.2">
      <c r="E300" s="125"/>
    </row>
    <row r="301" spans="5:5" x14ac:dyDescent="0.2">
      <c r="E301" s="125"/>
    </row>
    <row r="302" spans="5:5" x14ac:dyDescent="0.2">
      <c r="E302" s="125"/>
    </row>
    <row r="303" spans="5:5" x14ac:dyDescent="0.2">
      <c r="E303" s="125"/>
    </row>
    <row r="304" spans="5:5" x14ac:dyDescent="0.2">
      <c r="E304" s="125"/>
    </row>
    <row r="305" spans="5:5" x14ac:dyDescent="0.2">
      <c r="E305" s="125"/>
    </row>
    <row r="306" spans="5:5" x14ac:dyDescent="0.2">
      <c r="E306" s="125"/>
    </row>
    <row r="307" spans="5:5" x14ac:dyDescent="0.2">
      <c r="E307" s="125"/>
    </row>
    <row r="308" spans="5:5" x14ac:dyDescent="0.2">
      <c r="E308" s="125"/>
    </row>
    <row r="309" spans="5:5" x14ac:dyDescent="0.2">
      <c r="E309" s="125"/>
    </row>
    <row r="310" spans="5:5" x14ac:dyDescent="0.2">
      <c r="E310" s="125"/>
    </row>
    <row r="311" spans="5:5" x14ac:dyDescent="0.2">
      <c r="E311" s="125"/>
    </row>
    <row r="312" spans="5:5" x14ac:dyDescent="0.2">
      <c r="E312" s="125"/>
    </row>
    <row r="313" spans="5:5" x14ac:dyDescent="0.2">
      <c r="E313" s="125"/>
    </row>
    <row r="314" spans="5:5" x14ac:dyDescent="0.2">
      <c r="E314" s="125"/>
    </row>
    <row r="315" spans="5:5" x14ac:dyDescent="0.2">
      <c r="E315" s="125"/>
    </row>
    <row r="316" spans="5:5" x14ac:dyDescent="0.2">
      <c r="E316" s="125"/>
    </row>
    <row r="317" spans="5:5" x14ac:dyDescent="0.2">
      <c r="E317" s="125"/>
    </row>
    <row r="318" spans="5:5" x14ac:dyDescent="0.2">
      <c r="E318" s="125"/>
    </row>
    <row r="319" spans="5:5" x14ac:dyDescent="0.2">
      <c r="E319" s="125"/>
    </row>
    <row r="320" spans="5:5" x14ac:dyDescent="0.2">
      <c r="E320" s="125"/>
    </row>
    <row r="321" spans="5:5" x14ac:dyDescent="0.2">
      <c r="E321" s="125"/>
    </row>
    <row r="322" spans="5:5" x14ac:dyDescent="0.2">
      <c r="E322" s="125"/>
    </row>
    <row r="323" spans="5:5" x14ac:dyDescent="0.2">
      <c r="E323" s="125"/>
    </row>
    <row r="324" spans="5:5" x14ac:dyDescent="0.2">
      <c r="E324" s="125"/>
    </row>
    <row r="325" spans="5:5" x14ac:dyDescent="0.2">
      <c r="E325" s="125"/>
    </row>
    <row r="326" spans="5:5" x14ac:dyDescent="0.2">
      <c r="E326" s="125"/>
    </row>
    <row r="327" spans="5:5" x14ac:dyDescent="0.2">
      <c r="E327" s="125"/>
    </row>
    <row r="328" spans="5:5" x14ac:dyDescent="0.2">
      <c r="E328" s="125"/>
    </row>
    <row r="329" spans="5:5" x14ac:dyDescent="0.2">
      <c r="E329" s="125"/>
    </row>
    <row r="330" spans="5:5" x14ac:dyDescent="0.2">
      <c r="E330" s="125"/>
    </row>
    <row r="331" spans="5:5" x14ac:dyDescent="0.2">
      <c r="E331" s="125"/>
    </row>
    <row r="332" spans="5:5" x14ac:dyDescent="0.2">
      <c r="E332" s="125"/>
    </row>
    <row r="333" spans="5:5" x14ac:dyDescent="0.2">
      <c r="E333" s="125"/>
    </row>
    <row r="334" spans="5:5" x14ac:dyDescent="0.2">
      <c r="E334" s="125"/>
    </row>
    <row r="335" spans="5:5" x14ac:dyDescent="0.2">
      <c r="E335" s="125"/>
    </row>
    <row r="336" spans="5:5" x14ac:dyDescent="0.2">
      <c r="E336" s="125"/>
    </row>
    <row r="337" spans="5:5" x14ac:dyDescent="0.2">
      <c r="E337" s="125"/>
    </row>
    <row r="338" spans="5:5" x14ac:dyDescent="0.2">
      <c r="E338" s="125"/>
    </row>
    <row r="339" spans="5:5" x14ac:dyDescent="0.2">
      <c r="E339" s="125"/>
    </row>
    <row r="340" spans="5:5" x14ac:dyDescent="0.2">
      <c r="E340" s="125"/>
    </row>
    <row r="341" spans="5:5" x14ac:dyDescent="0.2">
      <c r="E341" s="125"/>
    </row>
    <row r="342" spans="5:5" x14ac:dyDescent="0.2">
      <c r="E342" s="125"/>
    </row>
    <row r="343" spans="5:5" x14ac:dyDescent="0.2">
      <c r="E343" s="125"/>
    </row>
    <row r="344" spans="5:5" x14ac:dyDescent="0.2">
      <c r="E344" s="125"/>
    </row>
    <row r="345" spans="5:5" x14ac:dyDescent="0.2">
      <c r="E345" s="125"/>
    </row>
    <row r="346" spans="5:5" x14ac:dyDescent="0.2">
      <c r="E346" s="125"/>
    </row>
    <row r="347" spans="5:5" x14ac:dyDescent="0.2">
      <c r="E347" s="125"/>
    </row>
    <row r="348" spans="5:5" x14ac:dyDescent="0.2">
      <c r="E348" s="125"/>
    </row>
    <row r="349" spans="5:5" x14ac:dyDescent="0.2">
      <c r="E349" s="125"/>
    </row>
    <row r="350" spans="5:5" x14ac:dyDescent="0.2">
      <c r="E350" s="125"/>
    </row>
    <row r="351" spans="5:5" x14ac:dyDescent="0.2">
      <c r="E351" s="125"/>
    </row>
    <row r="352" spans="5:5" x14ac:dyDescent="0.2">
      <c r="E352" s="125"/>
    </row>
    <row r="353" spans="5:5" x14ac:dyDescent="0.2">
      <c r="E353" s="125"/>
    </row>
    <row r="354" spans="5:5" x14ac:dyDescent="0.2">
      <c r="E354" s="125"/>
    </row>
    <row r="355" spans="5:5" x14ac:dyDescent="0.2">
      <c r="E355" s="125"/>
    </row>
    <row r="356" spans="5:5" x14ac:dyDescent="0.2">
      <c r="E356" s="125"/>
    </row>
    <row r="357" spans="5:5" x14ac:dyDescent="0.2">
      <c r="E357" s="125"/>
    </row>
    <row r="358" spans="5:5" x14ac:dyDescent="0.2">
      <c r="E358" s="125"/>
    </row>
    <row r="359" spans="5:5" x14ac:dyDescent="0.2">
      <c r="E359" s="125"/>
    </row>
    <row r="360" spans="5:5" x14ac:dyDescent="0.2">
      <c r="E360" s="125"/>
    </row>
    <row r="361" spans="5:5" x14ac:dyDescent="0.2">
      <c r="E361" s="125"/>
    </row>
    <row r="362" spans="5:5" x14ac:dyDescent="0.2">
      <c r="E362" s="125"/>
    </row>
    <row r="363" spans="5:5" x14ac:dyDescent="0.2">
      <c r="E363" s="125"/>
    </row>
    <row r="364" spans="5:5" x14ac:dyDescent="0.2">
      <c r="E364" s="125"/>
    </row>
    <row r="365" spans="5:5" x14ac:dyDescent="0.2">
      <c r="E365" s="125"/>
    </row>
    <row r="366" spans="5:5" x14ac:dyDescent="0.2">
      <c r="E366" s="125"/>
    </row>
    <row r="367" spans="5:5" x14ac:dyDescent="0.2">
      <c r="E367" s="125"/>
    </row>
    <row r="368" spans="5:5" x14ac:dyDescent="0.2">
      <c r="E368" s="125"/>
    </row>
    <row r="369" spans="5:5" x14ac:dyDescent="0.2">
      <c r="E369" s="125"/>
    </row>
    <row r="370" spans="5:5" x14ac:dyDescent="0.2">
      <c r="E370" s="125"/>
    </row>
    <row r="371" spans="5:5" x14ac:dyDescent="0.2">
      <c r="E371" s="125"/>
    </row>
    <row r="372" spans="5:5" x14ac:dyDescent="0.2">
      <c r="E372" s="125"/>
    </row>
    <row r="373" spans="5:5" x14ac:dyDescent="0.2">
      <c r="E373" s="125"/>
    </row>
    <row r="374" spans="5:5" x14ac:dyDescent="0.2">
      <c r="E374" s="125"/>
    </row>
    <row r="375" spans="5:5" x14ac:dyDescent="0.2">
      <c r="E375" s="125"/>
    </row>
    <row r="376" spans="5:5" x14ac:dyDescent="0.2">
      <c r="E376" s="125"/>
    </row>
    <row r="377" spans="5:5" x14ac:dyDescent="0.2">
      <c r="E377" s="125"/>
    </row>
    <row r="378" spans="5:5" x14ac:dyDescent="0.2">
      <c r="E378" s="125"/>
    </row>
    <row r="379" spans="5:5" x14ac:dyDescent="0.2">
      <c r="E379" s="125"/>
    </row>
    <row r="380" spans="5:5" x14ac:dyDescent="0.2">
      <c r="E380" s="125"/>
    </row>
    <row r="381" spans="5:5" x14ac:dyDescent="0.2">
      <c r="E381" s="125"/>
    </row>
    <row r="382" spans="5:5" x14ac:dyDescent="0.2">
      <c r="E382" s="125"/>
    </row>
    <row r="383" spans="5:5" x14ac:dyDescent="0.2">
      <c r="E383" s="125"/>
    </row>
    <row r="384" spans="5:5" x14ac:dyDescent="0.2">
      <c r="E384" s="125"/>
    </row>
    <row r="385" spans="5:5" x14ac:dyDescent="0.2">
      <c r="E385" s="125"/>
    </row>
    <row r="386" spans="5:5" x14ac:dyDescent="0.2">
      <c r="E386" s="125"/>
    </row>
    <row r="387" spans="5:5" x14ac:dyDescent="0.2">
      <c r="E387" s="125"/>
    </row>
    <row r="388" spans="5:5" x14ac:dyDescent="0.2">
      <c r="E388" s="125"/>
    </row>
    <row r="389" spans="5:5" x14ac:dyDescent="0.2">
      <c r="E389" s="125"/>
    </row>
    <row r="390" spans="5:5" x14ac:dyDescent="0.2">
      <c r="E390" s="125"/>
    </row>
    <row r="391" spans="5:5" x14ac:dyDescent="0.2">
      <c r="E391" s="125"/>
    </row>
    <row r="392" spans="5:5" x14ac:dyDescent="0.2">
      <c r="E392" s="125"/>
    </row>
    <row r="393" spans="5:5" x14ac:dyDescent="0.2">
      <c r="E393" s="125"/>
    </row>
    <row r="394" spans="5:5" x14ac:dyDescent="0.2">
      <c r="E394" s="125"/>
    </row>
    <row r="395" spans="5:5" x14ac:dyDescent="0.2">
      <c r="E395" s="125"/>
    </row>
    <row r="396" spans="5:5" x14ac:dyDescent="0.2">
      <c r="E396" s="125"/>
    </row>
    <row r="397" spans="5:5" x14ac:dyDescent="0.2">
      <c r="E397" s="125"/>
    </row>
    <row r="398" spans="5:5" x14ac:dyDescent="0.2">
      <c r="E398" s="125"/>
    </row>
    <row r="399" spans="5:5" x14ac:dyDescent="0.2">
      <c r="E399" s="125"/>
    </row>
    <row r="400" spans="5:5" x14ac:dyDescent="0.2">
      <c r="E400" s="125"/>
    </row>
    <row r="401" spans="5:5" x14ac:dyDescent="0.2">
      <c r="E401" s="125"/>
    </row>
    <row r="402" spans="5:5" x14ac:dyDescent="0.2">
      <c r="E402" s="125"/>
    </row>
    <row r="403" spans="5:5" x14ac:dyDescent="0.2">
      <c r="E403" s="125"/>
    </row>
    <row r="404" spans="5:5" x14ac:dyDescent="0.2">
      <c r="E404" s="125"/>
    </row>
    <row r="405" spans="5:5" x14ac:dyDescent="0.2">
      <c r="E405" s="125"/>
    </row>
    <row r="406" spans="5:5" x14ac:dyDescent="0.2">
      <c r="E406" s="125"/>
    </row>
    <row r="407" spans="5:5" x14ac:dyDescent="0.2">
      <c r="E407" s="125"/>
    </row>
    <row r="408" spans="5:5" x14ac:dyDescent="0.2">
      <c r="E408" s="125"/>
    </row>
    <row r="409" spans="5:5" x14ac:dyDescent="0.2">
      <c r="E409" s="125"/>
    </row>
    <row r="410" spans="5:5" x14ac:dyDescent="0.2">
      <c r="E410" s="125"/>
    </row>
    <row r="411" spans="5:5" x14ac:dyDescent="0.2">
      <c r="E411" s="125"/>
    </row>
    <row r="412" spans="5:5" x14ac:dyDescent="0.2">
      <c r="E412" s="125"/>
    </row>
    <row r="413" spans="5:5" x14ac:dyDescent="0.2">
      <c r="E413" s="125"/>
    </row>
    <row r="414" spans="5:5" x14ac:dyDescent="0.2">
      <c r="E414" s="125"/>
    </row>
    <row r="415" spans="5:5" x14ac:dyDescent="0.2">
      <c r="E415" s="125"/>
    </row>
    <row r="416" spans="5:5" x14ac:dyDescent="0.2">
      <c r="E416" s="125"/>
    </row>
    <row r="417" spans="5:5" x14ac:dyDescent="0.2">
      <c r="E417" s="125"/>
    </row>
    <row r="418" spans="5:5" x14ac:dyDescent="0.2">
      <c r="E418" s="125"/>
    </row>
    <row r="419" spans="5:5" x14ac:dyDescent="0.2">
      <c r="E419" s="125"/>
    </row>
    <row r="420" spans="5:5" x14ac:dyDescent="0.2">
      <c r="E420" s="125"/>
    </row>
    <row r="421" spans="5:5" x14ac:dyDescent="0.2">
      <c r="E421" s="125"/>
    </row>
    <row r="422" spans="5:5" x14ac:dyDescent="0.2">
      <c r="E422" s="125"/>
    </row>
    <row r="423" spans="5:5" x14ac:dyDescent="0.2">
      <c r="E423" s="125"/>
    </row>
    <row r="424" spans="5:5" x14ac:dyDescent="0.2">
      <c r="E424" s="125"/>
    </row>
    <row r="425" spans="5:5" x14ac:dyDescent="0.2">
      <c r="E425" s="125"/>
    </row>
    <row r="426" spans="5:5" x14ac:dyDescent="0.2">
      <c r="E426" s="125"/>
    </row>
    <row r="427" spans="5:5" x14ac:dyDescent="0.2">
      <c r="E427" s="125"/>
    </row>
    <row r="428" spans="5:5" x14ac:dyDescent="0.2">
      <c r="E428" s="125"/>
    </row>
    <row r="429" spans="5:5" x14ac:dyDescent="0.2">
      <c r="E429" s="125"/>
    </row>
    <row r="430" spans="5:5" x14ac:dyDescent="0.2">
      <c r="E430" s="125"/>
    </row>
    <row r="431" spans="5:5" x14ac:dyDescent="0.2">
      <c r="E431" s="125"/>
    </row>
    <row r="432" spans="5:5" x14ac:dyDescent="0.2">
      <c r="E432" s="125"/>
    </row>
    <row r="433" spans="5:5" x14ac:dyDescent="0.2">
      <c r="E433" s="125"/>
    </row>
    <row r="434" spans="5:5" x14ac:dyDescent="0.2">
      <c r="E434" s="125"/>
    </row>
    <row r="435" spans="5:5" x14ac:dyDescent="0.2">
      <c r="E435" s="125"/>
    </row>
    <row r="436" spans="5:5" x14ac:dyDescent="0.2">
      <c r="E436" s="125"/>
    </row>
    <row r="437" spans="5:5" x14ac:dyDescent="0.2">
      <c r="E437" s="125"/>
    </row>
    <row r="438" spans="5:5" x14ac:dyDescent="0.2">
      <c r="E438" s="125"/>
    </row>
    <row r="439" spans="5:5" x14ac:dyDescent="0.2">
      <c r="E439" s="125"/>
    </row>
    <row r="440" spans="5:5" x14ac:dyDescent="0.2">
      <c r="E440" s="125"/>
    </row>
    <row r="441" spans="5:5" x14ac:dyDescent="0.2">
      <c r="E441" s="125"/>
    </row>
    <row r="442" spans="5:5" x14ac:dyDescent="0.2">
      <c r="E442" s="125"/>
    </row>
    <row r="443" spans="5:5" x14ac:dyDescent="0.2">
      <c r="E443" s="125"/>
    </row>
    <row r="444" spans="5:5" x14ac:dyDescent="0.2">
      <c r="E444" s="125"/>
    </row>
    <row r="445" spans="5:5" x14ac:dyDescent="0.2">
      <c r="E445" s="125"/>
    </row>
    <row r="446" spans="5:5" x14ac:dyDescent="0.2">
      <c r="E446" s="125"/>
    </row>
    <row r="447" spans="5:5" x14ac:dyDescent="0.2">
      <c r="E447" s="125"/>
    </row>
    <row r="448" spans="5:5" x14ac:dyDescent="0.2">
      <c r="E448" s="125"/>
    </row>
    <row r="449" spans="5:5" x14ac:dyDescent="0.2">
      <c r="E449" s="125"/>
    </row>
    <row r="450" spans="5:5" x14ac:dyDescent="0.2">
      <c r="E450" s="125"/>
    </row>
    <row r="451" spans="5:5" x14ac:dyDescent="0.2">
      <c r="E451" s="125"/>
    </row>
    <row r="452" spans="5:5" x14ac:dyDescent="0.2">
      <c r="E452" s="125"/>
    </row>
    <row r="453" spans="5:5" x14ac:dyDescent="0.2">
      <c r="E453" s="125"/>
    </row>
    <row r="454" spans="5:5" x14ac:dyDescent="0.2">
      <c r="E454" s="125"/>
    </row>
    <row r="455" spans="5:5" x14ac:dyDescent="0.2">
      <c r="E455" s="125"/>
    </row>
    <row r="456" spans="5:5" x14ac:dyDescent="0.2">
      <c r="E456" s="125"/>
    </row>
    <row r="457" spans="5:5" x14ac:dyDescent="0.2">
      <c r="E457" s="125"/>
    </row>
    <row r="458" spans="5:5" x14ac:dyDescent="0.2">
      <c r="E458" s="125"/>
    </row>
    <row r="459" spans="5:5" x14ac:dyDescent="0.2">
      <c r="E459" s="125"/>
    </row>
    <row r="460" spans="5:5" x14ac:dyDescent="0.2">
      <c r="E460" s="125"/>
    </row>
    <row r="461" spans="5:5" x14ac:dyDescent="0.2">
      <c r="E461" s="125"/>
    </row>
    <row r="462" spans="5:5" x14ac:dyDescent="0.2">
      <c r="E462" s="125"/>
    </row>
    <row r="463" spans="5:5" x14ac:dyDescent="0.2">
      <c r="E463" s="125"/>
    </row>
    <row r="464" spans="5:5" x14ac:dyDescent="0.2">
      <c r="E464" s="125"/>
    </row>
    <row r="465" spans="5:5" x14ac:dyDescent="0.2">
      <c r="E465" s="125"/>
    </row>
    <row r="466" spans="5:5" x14ac:dyDescent="0.2">
      <c r="E466" s="125"/>
    </row>
    <row r="467" spans="5:5" x14ac:dyDescent="0.2">
      <c r="E467" s="125"/>
    </row>
    <row r="468" spans="5:5" x14ac:dyDescent="0.2">
      <c r="E468" s="125"/>
    </row>
    <row r="469" spans="5:5" x14ac:dyDescent="0.2">
      <c r="E469" s="125"/>
    </row>
    <row r="470" spans="5:5" x14ac:dyDescent="0.2">
      <c r="E470" s="125"/>
    </row>
    <row r="471" spans="5:5" x14ac:dyDescent="0.2">
      <c r="E471" s="125"/>
    </row>
    <row r="472" spans="5:5" x14ac:dyDescent="0.2">
      <c r="E472" s="125"/>
    </row>
    <row r="473" spans="5:5" x14ac:dyDescent="0.2">
      <c r="E473" s="125"/>
    </row>
    <row r="474" spans="5:5" x14ac:dyDescent="0.2">
      <c r="E474" s="125"/>
    </row>
    <row r="475" spans="5:5" x14ac:dyDescent="0.2">
      <c r="E475" s="125"/>
    </row>
    <row r="476" spans="5:5" x14ac:dyDescent="0.2">
      <c r="E476" s="125"/>
    </row>
    <row r="477" spans="5:5" x14ac:dyDescent="0.2">
      <c r="E477" s="125"/>
    </row>
    <row r="478" spans="5:5" x14ac:dyDescent="0.2">
      <c r="E478" s="125"/>
    </row>
    <row r="479" spans="5:5" x14ac:dyDescent="0.2">
      <c r="E479" s="125"/>
    </row>
    <row r="480" spans="5:5" x14ac:dyDescent="0.2">
      <c r="E480" s="125"/>
    </row>
    <row r="481" spans="5:5" x14ac:dyDescent="0.2">
      <c r="E481" s="125"/>
    </row>
    <row r="482" spans="5:5" x14ac:dyDescent="0.2">
      <c r="E482" s="125"/>
    </row>
    <row r="483" spans="5:5" x14ac:dyDescent="0.2">
      <c r="E483" s="125"/>
    </row>
    <row r="484" spans="5:5" x14ac:dyDescent="0.2">
      <c r="E484" s="125"/>
    </row>
    <row r="485" spans="5:5" x14ac:dyDescent="0.2">
      <c r="E485" s="125"/>
    </row>
    <row r="486" spans="5:5" x14ac:dyDescent="0.2">
      <c r="E486" s="125"/>
    </row>
    <row r="487" spans="5:5" x14ac:dyDescent="0.2">
      <c r="E487" s="125"/>
    </row>
    <row r="488" spans="5:5" x14ac:dyDescent="0.2">
      <c r="E488" s="125"/>
    </row>
    <row r="489" spans="5:5" x14ac:dyDescent="0.2">
      <c r="E489" s="125"/>
    </row>
    <row r="490" spans="5:5" x14ac:dyDescent="0.2">
      <c r="E490" s="125"/>
    </row>
    <row r="491" spans="5:5" x14ac:dyDescent="0.2">
      <c r="E491" s="125"/>
    </row>
    <row r="492" spans="5:5" x14ac:dyDescent="0.2">
      <c r="E492" s="125"/>
    </row>
    <row r="493" spans="5:5" x14ac:dyDescent="0.2">
      <c r="E493" s="125"/>
    </row>
    <row r="494" spans="5:5" x14ac:dyDescent="0.2">
      <c r="E494" s="125"/>
    </row>
    <row r="495" spans="5:5" x14ac:dyDescent="0.2">
      <c r="E495" s="125"/>
    </row>
    <row r="496" spans="5:5" x14ac:dyDescent="0.2">
      <c r="E496" s="125"/>
    </row>
    <row r="497" spans="5:5" x14ac:dyDescent="0.2">
      <c r="E497" s="125"/>
    </row>
    <row r="498" spans="5:5" x14ac:dyDescent="0.2">
      <c r="E498" s="125"/>
    </row>
    <row r="499" spans="5:5" x14ac:dyDescent="0.2">
      <c r="E499" s="125"/>
    </row>
    <row r="500" spans="5:5" x14ac:dyDescent="0.2">
      <c r="E500" s="125"/>
    </row>
    <row r="501" spans="5:5" x14ac:dyDescent="0.2">
      <c r="E501" s="125"/>
    </row>
    <row r="502" spans="5:5" x14ac:dyDescent="0.2">
      <c r="E502" s="125"/>
    </row>
    <row r="503" spans="5:5" x14ac:dyDescent="0.2">
      <c r="E503" s="125"/>
    </row>
    <row r="504" spans="5:5" x14ac:dyDescent="0.2">
      <c r="E504" s="125"/>
    </row>
    <row r="505" spans="5:5" x14ac:dyDescent="0.2">
      <c r="E505" s="125"/>
    </row>
    <row r="506" spans="5:5" x14ac:dyDescent="0.2">
      <c r="E506" s="125"/>
    </row>
    <row r="507" spans="5:5" x14ac:dyDescent="0.2">
      <c r="E507" s="125"/>
    </row>
    <row r="508" spans="5:5" x14ac:dyDescent="0.2">
      <c r="E508" s="125"/>
    </row>
    <row r="509" spans="5:5" x14ac:dyDescent="0.2">
      <c r="E509" s="125"/>
    </row>
    <row r="510" spans="5:5" x14ac:dyDescent="0.2">
      <c r="E510" s="125"/>
    </row>
    <row r="511" spans="5:5" x14ac:dyDescent="0.2">
      <c r="E511" s="125"/>
    </row>
    <row r="512" spans="5:5" x14ac:dyDescent="0.2">
      <c r="E512" s="125"/>
    </row>
    <row r="513" spans="5:5" x14ac:dyDescent="0.2">
      <c r="E513" s="125"/>
    </row>
    <row r="514" spans="5:5" x14ac:dyDescent="0.2">
      <c r="E514" s="125"/>
    </row>
    <row r="515" spans="5:5" x14ac:dyDescent="0.2">
      <c r="E515" s="125"/>
    </row>
    <row r="516" spans="5:5" x14ac:dyDescent="0.2">
      <c r="E516" s="125"/>
    </row>
    <row r="517" spans="5:5" x14ac:dyDescent="0.2">
      <c r="E517" s="125"/>
    </row>
    <row r="518" spans="5:5" x14ac:dyDescent="0.2">
      <c r="E518" s="125"/>
    </row>
    <row r="519" spans="5:5" x14ac:dyDescent="0.2">
      <c r="E519" s="125"/>
    </row>
    <row r="520" spans="5:5" x14ac:dyDescent="0.2">
      <c r="E520" s="125"/>
    </row>
    <row r="521" spans="5:5" x14ac:dyDescent="0.2">
      <c r="E521" s="125"/>
    </row>
    <row r="522" spans="5:5" x14ac:dyDescent="0.2">
      <c r="E522" s="125"/>
    </row>
    <row r="523" spans="5:5" x14ac:dyDescent="0.2">
      <c r="E523" s="125"/>
    </row>
    <row r="524" spans="5:5" x14ac:dyDescent="0.2">
      <c r="E524" s="125"/>
    </row>
    <row r="525" spans="5:5" x14ac:dyDescent="0.2">
      <c r="E525" s="125"/>
    </row>
    <row r="526" spans="5:5" x14ac:dyDescent="0.2">
      <c r="E526" s="125"/>
    </row>
    <row r="527" spans="5:5" x14ac:dyDescent="0.2">
      <c r="E527" s="125"/>
    </row>
    <row r="528" spans="5:5" x14ac:dyDescent="0.2">
      <c r="E528" s="125"/>
    </row>
    <row r="529" spans="5:5" x14ac:dyDescent="0.2">
      <c r="E529" s="125"/>
    </row>
    <row r="530" spans="5:5" x14ac:dyDescent="0.2">
      <c r="E530" s="125"/>
    </row>
    <row r="531" spans="5:5" x14ac:dyDescent="0.2">
      <c r="E531" s="125"/>
    </row>
    <row r="532" spans="5:5" x14ac:dyDescent="0.2">
      <c r="E532" s="125"/>
    </row>
    <row r="533" spans="5:5" x14ac:dyDescent="0.2">
      <c r="E533" s="125"/>
    </row>
    <row r="534" spans="5:5" x14ac:dyDescent="0.2">
      <c r="E534" s="125"/>
    </row>
    <row r="535" spans="5:5" x14ac:dyDescent="0.2">
      <c r="E535" s="125"/>
    </row>
    <row r="536" spans="5:5" x14ac:dyDescent="0.2">
      <c r="E536" s="125"/>
    </row>
    <row r="537" spans="5:5" x14ac:dyDescent="0.2">
      <c r="E537" s="125"/>
    </row>
    <row r="538" spans="5:5" x14ac:dyDescent="0.2">
      <c r="E538" s="125"/>
    </row>
    <row r="539" spans="5:5" x14ac:dyDescent="0.2">
      <c r="E539" s="125"/>
    </row>
    <row r="540" spans="5:5" x14ac:dyDescent="0.2">
      <c r="E540" s="125"/>
    </row>
    <row r="541" spans="5:5" x14ac:dyDescent="0.2">
      <c r="E541" s="125"/>
    </row>
    <row r="542" spans="5:5" x14ac:dyDescent="0.2">
      <c r="E542" s="125"/>
    </row>
    <row r="543" spans="5:5" x14ac:dyDescent="0.2">
      <c r="E543" s="125"/>
    </row>
    <row r="544" spans="5:5" x14ac:dyDescent="0.2">
      <c r="E544" s="125"/>
    </row>
    <row r="545" spans="5:5" x14ac:dyDescent="0.2">
      <c r="E545" s="125"/>
    </row>
    <row r="546" spans="5:5" x14ac:dyDescent="0.2">
      <c r="E546" s="125"/>
    </row>
    <row r="547" spans="5:5" x14ac:dyDescent="0.2">
      <c r="E547" s="125"/>
    </row>
    <row r="548" spans="5:5" x14ac:dyDescent="0.2">
      <c r="E548" s="125"/>
    </row>
    <row r="549" spans="5:5" x14ac:dyDescent="0.2">
      <c r="E549" s="125"/>
    </row>
    <row r="550" spans="5:5" x14ac:dyDescent="0.2">
      <c r="E550" s="125"/>
    </row>
    <row r="551" spans="5:5" x14ac:dyDescent="0.2">
      <c r="E551" s="125"/>
    </row>
    <row r="552" spans="5:5" x14ac:dyDescent="0.2">
      <c r="E552" s="125"/>
    </row>
    <row r="553" spans="5:5" x14ac:dyDescent="0.2">
      <c r="E553" s="125"/>
    </row>
    <row r="554" spans="5:5" x14ac:dyDescent="0.2">
      <c r="E554" s="125"/>
    </row>
    <row r="555" spans="5:5" x14ac:dyDescent="0.2">
      <c r="E555" s="125"/>
    </row>
    <row r="556" spans="5:5" x14ac:dyDescent="0.2">
      <c r="E556" s="125"/>
    </row>
    <row r="557" spans="5:5" x14ac:dyDescent="0.2">
      <c r="E557" s="125"/>
    </row>
    <row r="558" spans="5:5" x14ac:dyDescent="0.2">
      <c r="E558" s="125"/>
    </row>
    <row r="559" spans="5:5" x14ac:dyDescent="0.2">
      <c r="E559" s="125"/>
    </row>
    <row r="560" spans="5:5" x14ac:dyDescent="0.2">
      <c r="E560" s="125"/>
    </row>
    <row r="561" spans="5:5" x14ac:dyDescent="0.2">
      <c r="E561" s="125"/>
    </row>
    <row r="562" spans="5:5" x14ac:dyDescent="0.2">
      <c r="E562" s="125"/>
    </row>
    <row r="563" spans="5:5" x14ac:dyDescent="0.2">
      <c r="E563" s="125"/>
    </row>
    <row r="564" spans="5:5" x14ac:dyDescent="0.2">
      <c r="E564" s="125"/>
    </row>
    <row r="565" spans="5:5" x14ac:dyDescent="0.2">
      <c r="E565" s="125"/>
    </row>
    <row r="566" spans="5:5" x14ac:dyDescent="0.2">
      <c r="E566" s="125"/>
    </row>
    <row r="567" spans="5:5" x14ac:dyDescent="0.2">
      <c r="E567" s="125"/>
    </row>
    <row r="568" spans="5:5" x14ac:dyDescent="0.2">
      <c r="E568" s="125"/>
    </row>
    <row r="569" spans="5:5" x14ac:dyDescent="0.2">
      <c r="E569" s="125"/>
    </row>
    <row r="570" spans="5:5" x14ac:dyDescent="0.2">
      <c r="E570" s="125"/>
    </row>
    <row r="571" spans="5:5" x14ac:dyDescent="0.2">
      <c r="E571" s="125"/>
    </row>
    <row r="572" spans="5:5" x14ac:dyDescent="0.2">
      <c r="E572" s="125"/>
    </row>
    <row r="573" spans="5:5" x14ac:dyDescent="0.2">
      <c r="E573" s="125"/>
    </row>
    <row r="574" spans="5:5" x14ac:dyDescent="0.2">
      <c r="E574" s="125"/>
    </row>
    <row r="575" spans="5:5" x14ac:dyDescent="0.2">
      <c r="E575" s="125"/>
    </row>
    <row r="576" spans="5:5" x14ac:dyDescent="0.2">
      <c r="E576" s="125"/>
    </row>
    <row r="577" spans="5:5" x14ac:dyDescent="0.2">
      <c r="E577" s="125"/>
    </row>
    <row r="578" spans="5:5" x14ac:dyDescent="0.2">
      <c r="E578" s="125"/>
    </row>
    <row r="579" spans="5:5" x14ac:dyDescent="0.2">
      <c r="E579" s="125"/>
    </row>
    <row r="580" spans="5:5" x14ac:dyDescent="0.2">
      <c r="E580" s="125"/>
    </row>
    <row r="581" spans="5:5" x14ac:dyDescent="0.2">
      <c r="E581" s="125"/>
    </row>
    <row r="582" spans="5:5" x14ac:dyDescent="0.2">
      <c r="E582" s="125"/>
    </row>
    <row r="583" spans="5:5" x14ac:dyDescent="0.2">
      <c r="E583" s="125"/>
    </row>
    <row r="584" spans="5:5" x14ac:dyDescent="0.2">
      <c r="E584" s="125"/>
    </row>
    <row r="585" spans="5:5" x14ac:dyDescent="0.2">
      <c r="E585" s="125"/>
    </row>
    <row r="586" spans="5:5" x14ac:dyDescent="0.2">
      <c r="E586" s="125"/>
    </row>
    <row r="587" spans="5:5" x14ac:dyDescent="0.2">
      <c r="E587" s="125"/>
    </row>
    <row r="588" spans="5:5" x14ac:dyDescent="0.2">
      <c r="E588" s="125"/>
    </row>
    <row r="589" spans="5:5" x14ac:dyDescent="0.2">
      <c r="E589" s="125"/>
    </row>
    <row r="590" spans="5:5" x14ac:dyDescent="0.2">
      <c r="E590" s="125"/>
    </row>
    <row r="591" spans="5:5" x14ac:dyDescent="0.2">
      <c r="E591" s="125"/>
    </row>
    <row r="592" spans="5:5" x14ac:dyDescent="0.2">
      <c r="E592" s="125"/>
    </row>
    <row r="593" spans="5:5" x14ac:dyDescent="0.2">
      <c r="E593" s="125"/>
    </row>
    <row r="594" spans="5:5" x14ac:dyDescent="0.2">
      <c r="E594" s="125"/>
    </row>
    <row r="595" spans="5:5" x14ac:dyDescent="0.2">
      <c r="E595" s="125"/>
    </row>
    <row r="596" spans="5:5" x14ac:dyDescent="0.2">
      <c r="E596" s="125"/>
    </row>
    <row r="597" spans="5:5" x14ac:dyDescent="0.2">
      <c r="E597" s="125"/>
    </row>
    <row r="598" spans="5:5" x14ac:dyDescent="0.2">
      <c r="E598" s="125"/>
    </row>
    <row r="599" spans="5:5" x14ac:dyDescent="0.2">
      <c r="E599" s="125"/>
    </row>
    <row r="600" spans="5:5" x14ac:dyDescent="0.2">
      <c r="E600" s="125"/>
    </row>
    <row r="601" spans="5:5" x14ac:dyDescent="0.2">
      <c r="E601" s="125"/>
    </row>
    <row r="602" spans="5:5" x14ac:dyDescent="0.2">
      <c r="E602" s="125"/>
    </row>
    <row r="603" spans="5:5" x14ac:dyDescent="0.2">
      <c r="E603" s="125"/>
    </row>
    <row r="604" spans="5:5" x14ac:dyDescent="0.2">
      <c r="E604" s="125"/>
    </row>
    <row r="605" spans="5:5" x14ac:dyDescent="0.2">
      <c r="E605" s="125"/>
    </row>
    <row r="606" spans="5:5" x14ac:dyDescent="0.2">
      <c r="E606" s="125"/>
    </row>
    <row r="607" spans="5:5" x14ac:dyDescent="0.2">
      <c r="E607" s="125"/>
    </row>
    <row r="608" spans="5:5" x14ac:dyDescent="0.2">
      <c r="E608" s="125"/>
    </row>
    <row r="609" spans="5:5" x14ac:dyDescent="0.2">
      <c r="E609" s="125"/>
    </row>
    <row r="610" spans="5:5" x14ac:dyDescent="0.2">
      <c r="E610" s="125"/>
    </row>
    <row r="611" spans="5:5" x14ac:dyDescent="0.2">
      <c r="E611" s="125"/>
    </row>
    <row r="612" spans="5:5" x14ac:dyDescent="0.2">
      <c r="E612" s="125"/>
    </row>
    <row r="613" spans="5:5" x14ac:dyDescent="0.2">
      <c r="E613" s="125"/>
    </row>
    <row r="614" spans="5:5" x14ac:dyDescent="0.2">
      <c r="E614" s="125"/>
    </row>
    <row r="615" spans="5:5" x14ac:dyDescent="0.2">
      <c r="E615" s="125"/>
    </row>
    <row r="616" spans="5:5" x14ac:dyDescent="0.2">
      <c r="E616" s="125"/>
    </row>
    <row r="617" spans="5:5" x14ac:dyDescent="0.2">
      <c r="E617" s="125"/>
    </row>
    <row r="618" spans="5:5" x14ac:dyDescent="0.2">
      <c r="E618" s="125"/>
    </row>
    <row r="619" spans="5:5" x14ac:dyDescent="0.2">
      <c r="E619" s="125"/>
    </row>
    <row r="620" spans="5:5" x14ac:dyDescent="0.2">
      <c r="E620" s="125"/>
    </row>
    <row r="621" spans="5:5" x14ac:dyDescent="0.2">
      <c r="E621" s="125"/>
    </row>
    <row r="622" spans="5:5" x14ac:dyDescent="0.2">
      <c r="E622" s="125"/>
    </row>
    <row r="623" spans="5:5" x14ac:dyDescent="0.2">
      <c r="E623" s="125"/>
    </row>
    <row r="624" spans="5:5" x14ac:dyDescent="0.2">
      <c r="E624" s="125"/>
    </row>
    <row r="625" spans="5:5" x14ac:dyDescent="0.2">
      <c r="E625" s="125"/>
    </row>
    <row r="626" spans="5:5" x14ac:dyDescent="0.2">
      <c r="E626" s="125"/>
    </row>
    <row r="627" spans="5:5" x14ac:dyDescent="0.2">
      <c r="E627" s="125"/>
    </row>
    <row r="628" spans="5:5" x14ac:dyDescent="0.2">
      <c r="E628" s="125"/>
    </row>
    <row r="629" spans="5:5" x14ac:dyDescent="0.2">
      <c r="E629" s="125"/>
    </row>
    <row r="630" spans="5:5" x14ac:dyDescent="0.2">
      <c r="E630" s="125"/>
    </row>
    <row r="631" spans="5:5" x14ac:dyDescent="0.2">
      <c r="E631" s="125"/>
    </row>
    <row r="632" spans="5:5" x14ac:dyDescent="0.2">
      <c r="E632" s="125"/>
    </row>
    <row r="633" spans="5:5" x14ac:dyDescent="0.2">
      <c r="E633" s="125"/>
    </row>
    <row r="634" spans="5:5" x14ac:dyDescent="0.2">
      <c r="E634" s="125"/>
    </row>
    <row r="635" spans="5:5" x14ac:dyDescent="0.2">
      <c r="E635" s="125"/>
    </row>
    <row r="636" spans="5:5" x14ac:dyDescent="0.2">
      <c r="E636" s="125"/>
    </row>
    <row r="637" spans="5:5" x14ac:dyDescent="0.2">
      <c r="E637" s="125"/>
    </row>
    <row r="638" spans="5:5" x14ac:dyDescent="0.2">
      <c r="E638" s="125"/>
    </row>
    <row r="639" spans="5:5" x14ac:dyDescent="0.2">
      <c r="E639" s="125"/>
    </row>
    <row r="640" spans="5:5" x14ac:dyDescent="0.2">
      <c r="E640" s="125"/>
    </row>
    <row r="641" spans="5:5" x14ac:dyDescent="0.2">
      <c r="E641" s="125"/>
    </row>
    <row r="642" spans="5:5" x14ac:dyDescent="0.2">
      <c r="E642" s="125"/>
    </row>
    <row r="643" spans="5:5" x14ac:dyDescent="0.2">
      <c r="E643" s="125"/>
    </row>
    <row r="644" spans="5:5" x14ac:dyDescent="0.2">
      <c r="E644" s="125"/>
    </row>
    <row r="645" spans="5:5" x14ac:dyDescent="0.2">
      <c r="E645" s="125"/>
    </row>
    <row r="646" spans="5:5" x14ac:dyDescent="0.2">
      <c r="E646" s="125"/>
    </row>
    <row r="647" spans="5:5" x14ac:dyDescent="0.2">
      <c r="E647" s="125"/>
    </row>
    <row r="648" spans="5:5" x14ac:dyDescent="0.2">
      <c r="E648" s="125"/>
    </row>
    <row r="649" spans="5:5" x14ac:dyDescent="0.2">
      <c r="E649" s="125"/>
    </row>
    <row r="650" spans="5:5" x14ac:dyDescent="0.2">
      <c r="E650" s="125"/>
    </row>
    <row r="651" spans="5:5" x14ac:dyDescent="0.2">
      <c r="E651" s="125"/>
    </row>
    <row r="652" spans="5:5" x14ac:dyDescent="0.2">
      <c r="E652" s="125"/>
    </row>
    <row r="653" spans="5:5" x14ac:dyDescent="0.2">
      <c r="E653" s="125"/>
    </row>
    <row r="654" spans="5:5" x14ac:dyDescent="0.2">
      <c r="E654" s="125"/>
    </row>
    <row r="655" spans="5:5" x14ac:dyDescent="0.2">
      <c r="E655" s="125"/>
    </row>
    <row r="656" spans="5:5" x14ac:dyDescent="0.2">
      <c r="E656" s="125"/>
    </row>
    <row r="657" spans="5:5" x14ac:dyDescent="0.2">
      <c r="E657" s="125"/>
    </row>
    <row r="658" spans="5:5" x14ac:dyDescent="0.2">
      <c r="E658" s="125"/>
    </row>
    <row r="659" spans="5:5" x14ac:dyDescent="0.2">
      <c r="E659" s="125"/>
    </row>
    <row r="660" spans="5:5" x14ac:dyDescent="0.2">
      <c r="E660" s="125"/>
    </row>
    <row r="661" spans="5:5" x14ac:dyDescent="0.2">
      <c r="E661" s="125"/>
    </row>
    <row r="662" spans="5:5" x14ac:dyDescent="0.2">
      <c r="E662" s="125"/>
    </row>
    <row r="663" spans="5:5" x14ac:dyDescent="0.2">
      <c r="E663" s="125"/>
    </row>
    <row r="664" spans="5:5" x14ac:dyDescent="0.2">
      <c r="E664" s="125"/>
    </row>
    <row r="665" spans="5:5" x14ac:dyDescent="0.2">
      <c r="E665" s="125"/>
    </row>
    <row r="666" spans="5:5" x14ac:dyDescent="0.2">
      <c r="E666" s="125"/>
    </row>
    <row r="667" spans="5:5" x14ac:dyDescent="0.2">
      <c r="E667" s="125"/>
    </row>
    <row r="668" spans="5:5" x14ac:dyDescent="0.2">
      <c r="E668" s="125"/>
    </row>
    <row r="669" spans="5:5" x14ac:dyDescent="0.2">
      <c r="E669" s="125"/>
    </row>
    <row r="670" spans="5:5" x14ac:dyDescent="0.2">
      <c r="E670" s="125"/>
    </row>
    <row r="671" spans="5:5" x14ac:dyDescent="0.2">
      <c r="E671" s="125"/>
    </row>
    <row r="672" spans="5:5" x14ac:dyDescent="0.2">
      <c r="E672" s="125"/>
    </row>
    <row r="673" spans="5:5" x14ac:dyDescent="0.2">
      <c r="E673" s="125"/>
    </row>
    <row r="674" spans="5:5" x14ac:dyDescent="0.2">
      <c r="E674" s="125"/>
    </row>
    <row r="675" spans="5:5" x14ac:dyDescent="0.2">
      <c r="E675" s="125"/>
    </row>
    <row r="676" spans="5:5" x14ac:dyDescent="0.2">
      <c r="E676" s="125"/>
    </row>
    <row r="677" spans="5:5" x14ac:dyDescent="0.2">
      <c r="E677" s="125"/>
    </row>
    <row r="678" spans="5:5" x14ac:dyDescent="0.2">
      <c r="E678" s="125"/>
    </row>
    <row r="679" spans="5:5" x14ac:dyDescent="0.2">
      <c r="E679" s="125"/>
    </row>
    <row r="680" spans="5:5" x14ac:dyDescent="0.2">
      <c r="E680" s="125"/>
    </row>
    <row r="681" spans="5:5" x14ac:dyDescent="0.2">
      <c r="E681" s="125"/>
    </row>
    <row r="682" spans="5:5" x14ac:dyDescent="0.2">
      <c r="E682" s="125"/>
    </row>
    <row r="683" spans="5:5" x14ac:dyDescent="0.2">
      <c r="E683" s="125"/>
    </row>
    <row r="684" spans="5:5" x14ac:dyDescent="0.2">
      <c r="E684" s="125"/>
    </row>
    <row r="685" spans="5:5" x14ac:dyDescent="0.2">
      <c r="E685" s="125"/>
    </row>
    <row r="686" spans="5:5" x14ac:dyDescent="0.2">
      <c r="E686" s="125"/>
    </row>
    <row r="687" spans="5:5" x14ac:dyDescent="0.2">
      <c r="E687" s="125"/>
    </row>
    <row r="688" spans="5:5" x14ac:dyDescent="0.2">
      <c r="E688" s="125"/>
    </row>
    <row r="689" spans="5:5" x14ac:dyDescent="0.2">
      <c r="E689" s="125"/>
    </row>
    <row r="690" spans="5:5" x14ac:dyDescent="0.2">
      <c r="E690" s="125"/>
    </row>
    <row r="691" spans="5:5" x14ac:dyDescent="0.2">
      <c r="E691" s="125"/>
    </row>
    <row r="692" spans="5:5" x14ac:dyDescent="0.2">
      <c r="E692" s="125"/>
    </row>
    <row r="693" spans="5:5" x14ac:dyDescent="0.2">
      <c r="E693" s="125"/>
    </row>
    <row r="694" spans="5:5" x14ac:dyDescent="0.2">
      <c r="E694" s="125"/>
    </row>
    <row r="695" spans="5:5" x14ac:dyDescent="0.2">
      <c r="E695" s="125"/>
    </row>
    <row r="696" spans="5:5" x14ac:dyDescent="0.2">
      <c r="E696" s="125"/>
    </row>
    <row r="697" spans="5:5" x14ac:dyDescent="0.2">
      <c r="E697" s="125"/>
    </row>
    <row r="698" spans="5:5" x14ac:dyDescent="0.2">
      <c r="E698" s="125"/>
    </row>
    <row r="699" spans="5:5" x14ac:dyDescent="0.2">
      <c r="E699" s="125"/>
    </row>
    <row r="700" spans="5:5" x14ac:dyDescent="0.2">
      <c r="E700" s="125"/>
    </row>
    <row r="701" spans="5:5" x14ac:dyDescent="0.2">
      <c r="E701" s="125"/>
    </row>
    <row r="702" spans="5:5" x14ac:dyDescent="0.2">
      <c r="E702" s="125"/>
    </row>
    <row r="703" spans="5:5" x14ac:dyDescent="0.2">
      <c r="E703" s="125"/>
    </row>
    <row r="704" spans="5:5" x14ac:dyDescent="0.2">
      <c r="E704" s="125"/>
    </row>
    <row r="705" spans="5:5" x14ac:dyDescent="0.2">
      <c r="E705" s="125"/>
    </row>
    <row r="706" spans="5:5" x14ac:dyDescent="0.2">
      <c r="E706" s="125"/>
    </row>
    <row r="707" spans="5:5" x14ac:dyDescent="0.2">
      <c r="E707" s="125"/>
    </row>
    <row r="708" spans="5:5" x14ac:dyDescent="0.2">
      <c r="E708" s="125"/>
    </row>
    <row r="709" spans="5:5" x14ac:dyDescent="0.2">
      <c r="E709" s="125"/>
    </row>
    <row r="710" spans="5:5" x14ac:dyDescent="0.2">
      <c r="E710" s="125"/>
    </row>
    <row r="711" spans="5:5" x14ac:dyDescent="0.2">
      <c r="E711" s="125"/>
    </row>
    <row r="712" spans="5:5" x14ac:dyDescent="0.2">
      <c r="E712" s="125"/>
    </row>
    <row r="713" spans="5:5" x14ac:dyDescent="0.2">
      <c r="E713" s="125"/>
    </row>
    <row r="714" spans="5:5" x14ac:dyDescent="0.2">
      <c r="E714" s="125"/>
    </row>
    <row r="715" spans="5:5" x14ac:dyDescent="0.2">
      <c r="E715" s="125"/>
    </row>
    <row r="716" spans="5:5" x14ac:dyDescent="0.2">
      <c r="E716" s="125"/>
    </row>
    <row r="717" spans="5:5" x14ac:dyDescent="0.2">
      <c r="E717" s="125"/>
    </row>
    <row r="718" spans="5:5" x14ac:dyDescent="0.2">
      <c r="E718" s="125"/>
    </row>
    <row r="719" spans="5:5" x14ac:dyDescent="0.2">
      <c r="E719" s="125"/>
    </row>
    <row r="720" spans="5:5" x14ac:dyDescent="0.2">
      <c r="E720" s="125"/>
    </row>
    <row r="721" spans="5:5" x14ac:dyDescent="0.2">
      <c r="E721" s="125"/>
    </row>
    <row r="722" spans="5:5" x14ac:dyDescent="0.2">
      <c r="E722" s="125"/>
    </row>
    <row r="723" spans="5:5" x14ac:dyDescent="0.2">
      <c r="E723" s="125"/>
    </row>
    <row r="724" spans="5:5" x14ac:dyDescent="0.2">
      <c r="E724" s="125"/>
    </row>
    <row r="725" spans="5:5" x14ac:dyDescent="0.2">
      <c r="E725" s="125"/>
    </row>
    <row r="726" spans="5:5" x14ac:dyDescent="0.2">
      <c r="E726" s="125"/>
    </row>
    <row r="727" spans="5:5" x14ac:dyDescent="0.2">
      <c r="E727" s="125"/>
    </row>
    <row r="728" spans="5:5" x14ac:dyDescent="0.2">
      <c r="E728" s="125"/>
    </row>
    <row r="729" spans="5:5" x14ac:dyDescent="0.2">
      <c r="E729" s="125"/>
    </row>
    <row r="730" spans="5:5" x14ac:dyDescent="0.2">
      <c r="E730" s="125"/>
    </row>
    <row r="731" spans="5:5" x14ac:dyDescent="0.2">
      <c r="E731" s="125"/>
    </row>
    <row r="732" spans="5:5" x14ac:dyDescent="0.2">
      <c r="E732" s="125"/>
    </row>
    <row r="733" spans="5:5" x14ac:dyDescent="0.2">
      <c r="E733" s="125"/>
    </row>
    <row r="734" spans="5:5" x14ac:dyDescent="0.2">
      <c r="E734" s="125"/>
    </row>
    <row r="735" spans="5:5" x14ac:dyDescent="0.2">
      <c r="E735" s="125"/>
    </row>
    <row r="736" spans="5:5" x14ac:dyDescent="0.2">
      <c r="E736" s="125"/>
    </row>
    <row r="737" spans="5:5" x14ac:dyDescent="0.2">
      <c r="E737" s="125"/>
    </row>
    <row r="738" spans="5:5" x14ac:dyDescent="0.2">
      <c r="E738" s="125"/>
    </row>
    <row r="739" spans="5:5" x14ac:dyDescent="0.2">
      <c r="E739" s="125"/>
    </row>
    <row r="740" spans="5:5" x14ac:dyDescent="0.2">
      <c r="E740" s="125"/>
    </row>
    <row r="741" spans="5:5" x14ac:dyDescent="0.2">
      <c r="E741" s="125"/>
    </row>
    <row r="742" spans="5:5" x14ac:dyDescent="0.2">
      <c r="E742" s="125"/>
    </row>
    <row r="743" spans="5:5" x14ac:dyDescent="0.2">
      <c r="E743" s="125"/>
    </row>
    <row r="744" spans="5:5" x14ac:dyDescent="0.2">
      <c r="E744" s="125"/>
    </row>
    <row r="745" spans="5:5" x14ac:dyDescent="0.2">
      <c r="E745" s="125"/>
    </row>
    <row r="746" spans="5:5" x14ac:dyDescent="0.2">
      <c r="E746" s="125"/>
    </row>
    <row r="747" spans="5:5" x14ac:dyDescent="0.2">
      <c r="E747" s="125"/>
    </row>
    <row r="748" spans="5:5" x14ac:dyDescent="0.2">
      <c r="E748" s="125"/>
    </row>
    <row r="749" spans="5:5" x14ac:dyDescent="0.2">
      <c r="E749" s="125"/>
    </row>
    <row r="750" spans="5:5" x14ac:dyDescent="0.2">
      <c r="E750" s="125"/>
    </row>
    <row r="751" spans="5:5" x14ac:dyDescent="0.2">
      <c r="E751" s="125"/>
    </row>
    <row r="752" spans="5:5" x14ac:dyDescent="0.2">
      <c r="E752" s="125"/>
    </row>
    <row r="753" spans="5:5" x14ac:dyDescent="0.2">
      <c r="E753" s="125"/>
    </row>
    <row r="754" spans="5:5" x14ac:dyDescent="0.2">
      <c r="E754" s="125"/>
    </row>
    <row r="755" spans="5:5" x14ac:dyDescent="0.2">
      <c r="E755" s="125"/>
    </row>
    <row r="756" spans="5:5" x14ac:dyDescent="0.2">
      <c r="E756" s="125"/>
    </row>
    <row r="757" spans="5:5" x14ac:dyDescent="0.2">
      <c r="E757" s="125"/>
    </row>
    <row r="758" spans="5:5" x14ac:dyDescent="0.2">
      <c r="E758" s="125"/>
    </row>
    <row r="759" spans="5:5" x14ac:dyDescent="0.2">
      <c r="E759" s="125"/>
    </row>
    <row r="760" spans="5:5" x14ac:dyDescent="0.2">
      <c r="E760" s="125"/>
    </row>
    <row r="761" spans="5:5" x14ac:dyDescent="0.2">
      <c r="E761" s="125"/>
    </row>
    <row r="762" spans="5:5" x14ac:dyDescent="0.2">
      <c r="E762" s="125"/>
    </row>
    <row r="763" spans="5:5" x14ac:dyDescent="0.2">
      <c r="E763" s="125"/>
    </row>
    <row r="764" spans="5:5" x14ac:dyDescent="0.2">
      <c r="E764" s="125"/>
    </row>
    <row r="765" spans="5:5" x14ac:dyDescent="0.2">
      <c r="E765" s="125"/>
    </row>
    <row r="766" spans="5:5" x14ac:dyDescent="0.2">
      <c r="E766" s="125"/>
    </row>
    <row r="767" spans="5:5" x14ac:dyDescent="0.2">
      <c r="E767" s="125"/>
    </row>
    <row r="768" spans="5:5" x14ac:dyDescent="0.2">
      <c r="E768" s="125"/>
    </row>
    <row r="769" spans="5:5" x14ac:dyDescent="0.2">
      <c r="E769" s="125"/>
    </row>
    <row r="770" spans="5:5" x14ac:dyDescent="0.2">
      <c r="E770" s="125"/>
    </row>
    <row r="771" spans="5:5" x14ac:dyDescent="0.2">
      <c r="E771" s="125"/>
    </row>
    <row r="772" spans="5:5" x14ac:dyDescent="0.2">
      <c r="E772" s="125"/>
    </row>
    <row r="773" spans="5:5" x14ac:dyDescent="0.2">
      <c r="E773" s="125"/>
    </row>
    <row r="774" spans="5:5" x14ac:dyDescent="0.2">
      <c r="E774" s="125"/>
    </row>
    <row r="775" spans="5:5" x14ac:dyDescent="0.2">
      <c r="E775" s="125"/>
    </row>
    <row r="776" spans="5:5" x14ac:dyDescent="0.2">
      <c r="E776" s="125"/>
    </row>
    <row r="777" spans="5:5" x14ac:dyDescent="0.2">
      <c r="E777" s="125"/>
    </row>
    <row r="778" spans="5:5" x14ac:dyDescent="0.2">
      <c r="E778" s="125"/>
    </row>
    <row r="779" spans="5:5" x14ac:dyDescent="0.2">
      <c r="E779" s="125"/>
    </row>
    <row r="780" spans="5:5" x14ac:dyDescent="0.2">
      <c r="E780" s="125"/>
    </row>
    <row r="781" spans="5:5" x14ac:dyDescent="0.2">
      <c r="E781" s="125"/>
    </row>
    <row r="782" spans="5:5" x14ac:dyDescent="0.2">
      <c r="E782" s="125"/>
    </row>
    <row r="783" spans="5:5" x14ac:dyDescent="0.2">
      <c r="E783" s="125"/>
    </row>
    <row r="784" spans="5:5" x14ac:dyDescent="0.2">
      <c r="E784" s="125"/>
    </row>
    <row r="785" spans="5:5" x14ac:dyDescent="0.2">
      <c r="E785" s="125"/>
    </row>
    <row r="786" spans="5:5" x14ac:dyDescent="0.2">
      <c r="E786" s="125"/>
    </row>
    <row r="787" spans="5:5" x14ac:dyDescent="0.2">
      <c r="E787" s="125"/>
    </row>
    <row r="788" spans="5:5" x14ac:dyDescent="0.2">
      <c r="E788" s="125"/>
    </row>
    <row r="789" spans="5:5" x14ac:dyDescent="0.2">
      <c r="E789" s="125"/>
    </row>
    <row r="790" spans="5:5" x14ac:dyDescent="0.2">
      <c r="E790" s="125"/>
    </row>
    <row r="791" spans="5:5" x14ac:dyDescent="0.2">
      <c r="E791" s="125"/>
    </row>
    <row r="792" spans="5:5" x14ac:dyDescent="0.2">
      <c r="E792" s="125"/>
    </row>
    <row r="793" spans="5:5" x14ac:dyDescent="0.2">
      <c r="E793" s="125"/>
    </row>
    <row r="794" spans="5:5" x14ac:dyDescent="0.2">
      <c r="E794" s="125"/>
    </row>
    <row r="795" spans="5:5" x14ac:dyDescent="0.2">
      <c r="E795" s="125"/>
    </row>
    <row r="796" spans="5:5" x14ac:dyDescent="0.2">
      <c r="E796" s="125"/>
    </row>
    <row r="797" spans="5:5" x14ac:dyDescent="0.2">
      <c r="E797" s="125"/>
    </row>
    <row r="798" spans="5:5" x14ac:dyDescent="0.2">
      <c r="E798" s="125"/>
    </row>
    <row r="799" spans="5:5" x14ac:dyDescent="0.2">
      <c r="E799" s="125"/>
    </row>
    <row r="800" spans="5:5" x14ac:dyDescent="0.2">
      <c r="E800" s="125"/>
    </row>
    <row r="801" spans="5:5" x14ac:dyDescent="0.2">
      <c r="E801" s="125"/>
    </row>
    <row r="802" spans="5:5" x14ac:dyDescent="0.2">
      <c r="E802" s="125"/>
    </row>
    <row r="803" spans="5:5" x14ac:dyDescent="0.2">
      <c r="E803" s="125"/>
    </row>
    <row r="804" spans="5:5" x14ac:dyDescent="0.2">
      <c r="E804" s="125"/>
    </row>
    <row r="805" spans="5:5" x14ac:dyDescent="0.2">
      <c r="E805" s="125"/>
    </row>
    <row r="806" spans="5:5" x14ac:dyDescent="0.2">
      <c r="E806" s="125"/>
    </row>
    <row r="807" spans="5:5" x14ac:dyDescent="0.2">
      <c r="E807" s="125"/>
    </row>
    <row r="808" spans="5:5" x14ac:dyDescent="0.2">
      <c r="E808" s="125"/>
    </row>
    <row r="809" spans="5:5" x14ac:dyDescent="0.2">
      <c r="E809" s="125"/>
    </row>
    <row r="810" spans="5:5" x14ac:dyDescent="0.2">
      <c r="E810" s="125"/>
    </row>
    <row r="811" spans="5:5" x14ac:dyDescent="0.2">
      <c r="E811" s="125"/>
    </row>
    <row r="812" spans="5:5" x14ac:dyDescent="0.2">
      <c r="E812" s="125"/>
    </row>
    <row r="813" spans="5:5" x14ac:dyDescent="0.2">
      <c r="E813" s="125"/>
    </row>
    <row r="814" spans="5:5" x14ac:dyDescent="0.2">
      <c r="E814" s="125"/>
    </row>
    <row r="815" spans="5:5" x14ac:dyDescent="0.2">
      <c r="E815" s="125"/>
    </row>
    <row r="816" spans="5:5" x14ac:dyDescent="0.2">
      <c r="E816" s="125"/>
    </row>
    <row r="817" spans="5:5" x14ac:dyDescent="0.2">
      <c r="E817" s="125"/>
    </row>
    <row r="818" spans="5:5" x14ac:dyDescent="0.2">
      <c r="E818" s="125"/>
    </row>
    <row r="819" spans="5:5" x14ac:dyDescent="0.2">
      <c r="E819" s="125"/>
    </row>
    <row r="820" spans="5:5" x14ac:dyDescent="0.2">
      <c r="E820" s="125"/>
    </row>
    <row r="821" spans="5:5" x14ac:dyDescent="0.2">
      <c r="E821" s="125"/>
    </row>
    <row r="822" spans="5:5" x14ac:dyDescent="0.2">
      <c r="E822" s="125"/>
    </row>
    <row r="823" spans="5:5" x14ac:dyDescent="0.2">
      <c r="E823" s="125"/>
    </row>
    <row r="824" spans="5:5" x14ac:dyDescent="0.2">
      <c r="E824" s="125"/>
    </row>
    <row r="825" spans="5:5" x14ac:dyDescent="0.2">
      <c r="E825" s="125"/>
    </row>
    <row r="826" spans="5:5" x14ac:dyDescent="0.2">
      <c r="E826" s="125"/>
    </row>
    <row r="827" spans="5:5" x14ac:dyDescent="0.2">
      <c r="E827" s="125"/>
    </row>
    <row r="828" spans="5:5" x14ac:dyDescent="0.2">
      <c r="E828" s="125"/>
    </row>
    <row r="829" spans="5:5" x14ac:dyDescent="0.2">
      <c r="E829" s="125"/>
    </row>
    <row r="830" spans="5:5" x14ac:dyDescent="0.2">
      <c r="E830" s="125"/>
    </row>
    <row r="831" spans="5:5" x14ac:dyDescent="0.2">
      <c r="E831" s="125"/>
    </row>
    <row r="832" spans="5:5" x14ac:dyDescent="0.2">
      <c r="E832" s="125"/>
    </row>
    <row r="833" spans="5:5" x14ac:dyDescent="0.2">
      <c r="E833" s="125"/>
    </row>
    <row r="834" spans="5:5" x14ac:dyDescent="0.2">
      <c r="E834" s="125"/>
    </row>
    <row r="835" spans="5:5" x14ac:dyDescent="0.2">
      <c r="E835" s="125"/>
    </row>
    <row r="836" spans="5:5" x14ac:dyDescent="0.2">
      <c r="E836" s="125"/>
    </row>
    <row r="837" spans="5:5" x14ac:dyDescent="0.2">
      <c r="E837" s="125"/>
    </row>
    <row r="838" spans="5:5" x14ac:dyDescent="0.2">
      <c r="E838" s="125"/>
    </row>
    <row r="839" spans="5:5" x14ac:dyDescent="0.2">
      <c r="E839" s="125"/>
    </row>
    <row r="840" spans="5:5" x14ac:dyDescent="0.2">
      <c r="E840" s="125"/>
    </row>
    <row r="841" spans="5:5" x14ac:dyDescent="0.2">
      <c r="E841" s="125"/>
    </row>
    <row r="842" spans="5:5" x14ac:dyDescent="0.2">
      <c r="E842" s="125"/>
    </row>
    <row r="843" spans="5:5" x14ac:dyDescent="0.2">
      <c r="E843" s="125"/>
    </row>
    <row r="844" spans="5:5" x14ac:dyDescent="0.2">
      <c r="E844" s="125"/>
    </row>
    <row r="845" spans="5:5" x14ac:dyDescent="0.2">
      <c r="E845" s="125"/>
    </row>
    <row r="846" spans="5:5" x14ac:dyDescent="0.2">
      <c r="E846" s="125"/>
    </row>
    <row r="847" spans="5:5" x14ac:dyDescent="0.2">
      <c r="E847" s="125"/>
    </row>
    <row r="848" spans="5:5" x14ac:dyDescent="0.2">
      <c r="E848" s="125"/>
    </row>
    <row r="849" spans="5:5" x14ac:dyDescent="0.2">
      <c r="E849" s="125"/>
    </row>
    <row r="850" spans="5:5" x14ac:dyDescent="0.2">
      <c r="E850" s="125"/>
    </row>
    <row r="851" spans="5:5" x14ac:dyDescent="0.2">
      <c r="E851" s="125"/>
    </row>
    <row r="852" spans="5:5" x14ac:dyDescent="0.2">
      <c r="E852" s="125"/>
    </row>
    <row r="853" spans="5:5" x14ac:dyDescent="0.2">
      <c r="E853" s="125"/>
    </row>
    <row r="854" spans="5:5" x14ac:dyDescent="0.2">
      <c r="E854" s="125"/>
    </row>
    <row r="855" spans="5:5" x14ac:dyDescent="0.2">
      <c r="E855" s="125"/>
    </row>
    <row r="856" spans="5:5" x14ac:dyDescent="0.2">
      <c r="E856" s="125"/>
    </row>
    <row r="857" spans="5:5" x14ac:dyDescent="0.2">
      <c r="E857" s="125"/>
    </row>
    <row r="858" spans="5:5" x14ac:dyDescent="0.2">
      <c r="E858" s="125"/>
    </row>
    <row r="859" spans="5:5" x14ac:dyDescent="0.2">
      <c r="E859" s="125"/>
    </row>
    <row r="860" spans="5:5" x14ac:dyDescent="0.2">
      <c r="E860" s="125"/>
    </row>
    <row r="861" spans="5:5" x14ac:dyDescent="0.2">
      <c r="E861" s="125"/>
    </row>
    <row r="862" spans="5:5" x14ac:dyDescent="0.2">
      <c r="E862" s="125"/>
    </row>
    <row r="863" spans="5:5" x14ac:dyDescent="0.2">
      <c r="E863" s="125"/>
    </row>
    <row r="864" spans="5:5" x14ac:dyDescent="0.2">
      <c r="E864" s="125"/>
    </row>
    <row r="865" spans="5:5" x14ac:dyDescent="0.2">
      <c r="E865" s="125"/>
    </row>
    <row r="866" spans="5:5" x14ac:dyDescent="0.2">
      <c r="E866" s="125"/>
    </row>
    <row r="867" spans="5:5" x14ac:dyDescent="0.2">
      <c r="E867" s="125"/>
    </row>
    <row r="868" spans="5:5" x14ac:dyDescent="0.2">
      <c r="E868" s="125"/>
    </row>
    <row r="869" spans="5:5" x14ac:dyDescent="0.2">
      <c r="E869" s="125"/>
    </row>
    <row r="870" spans="5:5" x14ac:dyDescent="0.2">
      <c r="E870" s="125"/>
    </row>
    <row r="871" spans="5:5" x14ac:dyDescent="0.2">
      <c r="E871" s="125"/>
    </row>
    <row r="872" spans="5:5" x14ac:dyDescent="0.2">
      <c r="E872" s="125"/>
    </row>
    <row r="873" spans="5:5" x14ac:dyDescent="0.2">
      <c r="E873" s="125"/>
    </row>
    <row r="874" spans="5:5" x14ac:dyDescent="0.2">
      <c r="E874" s="125"/>
    </row>
    <row r="875" spans="5:5" x14ac:dyDescent="0.2">
      <c r="E875" s="125"/>
    </row>
    <row r="876" spans="5:5" x14ac:dyDescent="0.2">
      <c r="E876" s="125"/>
    </row>
    <row r="877" spans="5:5" x14ac:dyDescent="0.2">
      <c r="E877" s="125"/>
    </row>
    <row r="878" spans="5:5" x14ac:dyDescent="0.2">
      <c r="E878" s="125"/>
    </row>
    <row r="879" spans="5:5" x14ac:dyDescent="0.2">
      <c r="E879" s="125"/>
    </row>
    <row r="880" spans="5:5" x14ac:dyDescent="0.2">
      <c r="E880" s="125"/>
    </row>
    <row r="881" spans="5:5" x14ac:dyDescent="0.2">
      <c r="E881" s="125"/>
    </row>
    <row r="882" spans="5:5" x14ac:dyDescent="0.2">
      <c r="E882" s="125"/>
    </row>
    <row r="883" spans="5:5" x14ac:dyDescent="0.2">
      <c r="E883" s="125"/>
    </row>
    <row r="884" spans="5:5" x14ac:dyDescent="0.2">
      <c r="E884" s="125"/>
    </row>
    <row r="885" spans="5:5" x14ac:dyDescent="0.2">
      <c r="E885" s="125"/>
    </row>
    <row r="886" spans="5:5" x14ac:dyDescent="0.2">
      <c r="E886" s="125"/>
    </row>
    <row r="887" spans="5:5" x14ac:dyDescent="0.2">
      <c r="E887" s="125"/>
    </row>
    <row r="888" spans="5:5" x14ac:dyDescent="0.2">
      <c r="E888" s="125"/>
    </row>
    <row r="889" spans="5:5" x14ac:dyDescent="0.2">
      <c r="E889" s="125"/>
    </row>
    <row r="890" spans="5:5" x14ac:dyDescent="0.2">
      <c r="E890" s="125"/>
    </row>
    <row r="891" spans="5:5" x14ac:dyDescent="0.2">
      <c r="E891" s="125"/>
    </row>
    <row r="892" spans="5:5" x14ac:dyDescent="0.2">
      <c r="E892" s="125"/>
    </row>
    <row r="893" spans="5:5" x14ac:dyDescent="0.2">
      <c r="E893" s="125"/>
    </row>
    <row r="894" spans="5:5" x14ac:dyDescent="0.2">
      <c r="E894" s="125"/>
    </row>
    <row r="895" spans="5:5" x14ac:dyDescent="0.2">
      <c r="E895" s="125"/>
    </row>
    <row r="896" spans="5:5" x14ac:dyDescent="0.2">
      <c r="E896" s="125"/>
    </row>
    <row r="897" spans="5:5" x14ac:dyDescent="0.2">
      <c r="E897" s="125"/>
    </row>
    <row r="898" spans="5:5" x14ac:dyDescent="0.2">
      <c r="E898" s="125"/>
    </row>
    <row r="899" spans="5:5" x14ac:dyDescent="0.2">
      <c r="E899" s="125"/>
    </row>
    <row r="900" spans="5:5" x14ac:dyDescent="0.2">
      <c r="E900" s="125"/>
    </row>
    <row r="901" spans="5:5" x14ac:dyDescent="0.2">
      <c r="E901" s="125"/>
    </row>
    <row r="902" spans="5:5" x14ac:dyDescent="0.2">
      <c r="E902" s="125"/>
    </row>
    <row r="903" spans="5:5" x14ac:dyDescent="0.2">
      <c r="E903" s="125"/>
    </row>
    <row r="904" spans="5:5" x14ac:dyDescent="0.2">
      <c r="E904" s="125"/>
    </row>
    <row r="905" spans="5:5" x14ac:dyDescent="0.2">
      <c r="E905" s="125"/>
    </row>
    <row r="906" spans="5:5" x14ac:dyDescent="0.2">
      <c r="E906" s="125"/>
    </row>
    <row r="907" spans="5:5" x14ac:dyDescent="0.2">
      <c r="E907" s="125"/>
    </row>
    <row r="908" spans="5:5" x14ac:dyDescent="0.2">
      <c r="E908" s="125"/>
    </row>
    <row r="909" spans="5:5" x14ac:dyDescent="0.2">
      <c r="E909" s="125"/>
    </row>
    <row r="910" spans="5:5" x14ac:dyDescent="0.2">
      <c r="E910" s="125"/>
    </row>
    <row r="911" spans="5:5" x14ac:dyDescent="0.2">
      <c r="E911" s="125"/>
    </row>
    <row r="912" spans="5:5" x14ac:dyDescent="0.2">
      <c r="E912" s="125"/>
    </row>
    <row r="913" spans="5:5" x14ac:dyDescent="0.2">
      <c r="E913" s="125"/>
    </row>
    <row r="914" spans="5:5" x14ac:dyDescent="0.2">
      <c r="E914" s="125"/>
    </row>
    <row r="915" spans="5:5" x14ac:dyDescent="0.2">
      <c r="E915" s="125"/>
    </row>
    <row r="916" spans="5:5" x14ac:dyDescent="0.2">
      <c r="E916" s="125"/>
    </row>
    <row r="917" spans="5:5" x14ac:dyDescent="0.2">
      <c r="E917" s="125"/>
    </row>
    <row r="918" spans="5:5" x14ac:dyDescent="0.2">
      <c r="E918" s="125"/>
    </row>
    <row r="919" spans="5:5" x14ac:dyDescent="0.2">
      <c r="E919" s="125"/>
    </row>
    <row r="920" spans="5:5" x14ac:dyDescent="0.2">
      <c r="E920" s="125"/>
    </row>
    <row r="921" spans="5:5" x14ac:dyDescent="0.2">
      <c r="E921" s="125"/>
    </row>
    <row r="922" spans="5:5" x14ac:dyDescent="0.2">
      <c r="E922" s="125"/>
    </row>
    <row r="923" spans="5:5" x14ac:dyDescent="0.2">
      <c r="E923" s="125"/>
    </row>
    <row r="924" spans="5:5" x14ac:dyDescent="0.2">
      <c r="E924" s="125"/>
    </row>
    <row r="925" spans="5:5" x14ac:dyDescent="0.2">
      <c r="E925" s="125"/>
    </row>
    <row r="926" spans="5:5" x14ac:dyDescent="0.2">
      <c r="E926" s="125"/>
    </row>
    <row r="927" spans="5:5" x14ac:dyDescent="0.2">
      <c r="E927" s="125"/>
    </row>
    <row r="928" spans="5:5" x14ac:dyDescent="0.2">
      <c r="E928" s="125"/>
    </row>
    <row r="929" spans="5:5" x14ac:dyDescent="0.2">
      <c r="E929" s="125"/>
    </row>
    <row r="930" spans="5:5" x14ac:dyDescent="0.2">
      <c r="E930" s="125"/>
    </row>
    <row r="931" spans="5:5" x14ac:dyDescent="0.2">
      <c r="E931" s="125"/>
    </row>
    <row r="932" spans="5:5" x14ac:dyDescent="0.2">
      <c r="E932" s="125"/>
    </row>
    <row r="933" spans="5:5" x14ac:dyDescent="0.2">
      <c r="E933" s="125"/>
    </row>
    <row r="934" spans="5:5" x14ac:dyDescent="0.2">
      <c r="E934" s="125"/>
    </row>
    <row r="935" spans="5:5" x14ac:dyDescent="0.2">
      <c r="E935" s="125"/>
    </row>
    <row r="936" spans="5:5" x14ac:dyDescent="0.2">
      <c r="E936" s="125"/>
    </row>
    <row r="937" spans="5:5" x14ac:dyDescent="0.2">
      <c r="E937" s="125"/>
    </row>
    <row r="938" spans="5:5" x14ac:dyDescent="0.2">
      <c r="E938" s="125"/>
    </row>
    <row r="939" spans="5:5" x14ac:dyDescent="0.2">
      <c r="E939" s="125"/>
    </row>
    <row r="940" spans="5:5" x14ac:dyDescent="0.2">
      <c r="E940" s="125"/>
    </row>
    <row r="941" spans="5:5" x14ac:dyDescent="0.2">
      <c r="E941" s="125"/>
    </row>
    <row r="942" spans="5:5" x14ac:dyDescent="0.2">
      <c r="E942" s="125"/>
    </row>
    <row r="943" spans="5:5" x14ac:dyDescent="0.2">
      <c r="E943" s="125"/>
    </row>
    <row r="944" spans="5:5" x14ac:dyDescent="0.2">
      <c r="E944" s="125"/>
    </row>
    <row r="945" spans="5:5" x14ac:dyDescent="0.2">
      <c r="E945" s="125"/>
    </row>
    <row r="946" spans="5:5" x14ac:dyDescent="0.2">
      <c r="E946" s="125"/>
    </row>
    <row r="947" spans="5:5" x14ac:dyDescent="0.2">
      <c r="E947" s="125"/>
    </row>
    <row r="948" spans="5:5" x14ac:dyDescent="0.2">
      <c r="E948" s="125"/>
    </row>
    <row r="949" spans="5:5" x14ac:dyDescent="0.2">
      <c r="E949" s="125"/>
    </row>
    <row r="950" spans="5:5" x14ac:dyDescent="0.2">
      <c r="E950" s="125"/>
    </row>
    <row r="951" spans="5:5" x14ac:dyDescent="0.2">
      <c r="E951" s="125"/>
    </row>
    <row r="952" spans="5:5" x14ac:dyDescent="0.2">
      <c r="E952" s="125"/>
    </row>
    <row r="953" spans="5:5" x14ac:dyDescent="0.2">
      <c r="E953" s="125"/>
    </row>
    <row r="954" spans="5:5" x14ac:dyDescent="0.2">
      <c r="E954" s="125"/>
    </row>
    <row r="955" spans="5:5" x14ac:dyDescent="0.2">
      <c r="E955" s="125"/>
    </row>
    <row r="956" spans="5:5" x14ac:dyDescent="0.2">
      <c r="E956" s="125"/>
    </row>
    <row r="957" spans="5:5" x14ac:dyDescent="0.2">
      <c r="E957" s="125"/>
    </row>
    <row r="958" spans="5:5" x14ac:dyDescent="0.2">
      <c r="E958" s="125"/>
    </row>
    <row r="959" spans="5:5" x14ac:dyDescent="0.2">
      <c r="E959" s="125"/>
    </row>
    <row r="960" spans="5:5" x14ac:dyDescent="0.2">
      <c r="E960" s="125"/>
    </row>
    <row r="961" spans="5:5" x14ac:dyDescent="0.2">
      <c r="E961" s="125"/>
    </row>
    <row r="962" spans="5:5" x14ac:dyDescent="0.2">
      <c r="E962" s="125"/>
    </row>
    <row r="963" spans="5:5" x14ac:dyDescent="0.2">
      <c r="E963" s="125"/>
    </row>
    <row r="964" spans="5:5" x14ac:dyDescent="0.2">
      <c r="E964" s="125"/>
    </row>
    <row r="965" spans="5:5" x14ac:dyDescent="0.2">
      <c r="E965" s="125"/>
    </row>
    <row r="966" spans="5:5" x14ac:dyDescent="0.2">
      <c r="E966" s="125"/>
    </row>
    <row r="967" spans="5:5" x14ac:dyDescent="0.2">
      <c r="E967" s="125"/>
    </row>
    <row r="968" spans="5:5" x14ac:dyDescent="0.2">
      <c r="E968" s="125"/>
    </row>
    <row r="969" spans="5:5" x14ac:dyDescent="0.2">
      <c r="E969" s="125"/>
    </row>
    <row r="970" spans="5:5" x14ac:dyDescent="0.2">
      <c r="E970" s="125"/>
    </row>
    <row r="971" spans="5:5" x14ac:dyDescent="0.2">
      <c r="E971" s="125"/>
    </row>
    <row r="972" spans="5:5" x14ac:dyDescent="0.2">
      <c r="E972" s="125"/>
    </row>
    <row r="973" spans="5:5" x14ac:dyDescent="0.2">
      <c r="E973" s="125"/>
    </row>
    <row r="974" spans="5:5" x14ac:dyDescent="0.2">
      <c r="E974" s="125"/>
    </row>
    <row r="975" spans="5:5" x14ac:dyDescent="0.2">
      <c r="E975" s="125"/>
    </row>
    <row r="976" spans="5:5" x14ac:dyDescent="0.2">
      <c r="E976" s="125"/>
    </row>
    <row r="977" spans="5:5" x14ac:dyDescent="0.2">
      <c r="E977" s="125"/>
    </row>
    <row r="978" spans="5:5" x14ac:dyDescent="0.2">
      <c r="E978" s="125"/>
    </row>
    <row r="979" spans="5:5" x14ac:dyDescent="0.2">
      <c r="E979" s="125"/>
    </row>
    <row r="980" spans="5:5" x14ac:dyDescent="0.2">
      <c r="E980" s="125"/>
    </row>
    <row r="981" spans="5:5" x14ac:dyDescent="0.2">
      <c r="E981" s="125"/>
    </row>
    <row r="982" spans="5:5" x14ac:dyDescent="0.2">
      <c r="E982" s="125"/>
    </row>
    <row r="983" spans="5:5" x14ac:dyDescent="0.2">
      <c r="E983" s="125"/>
    </row>
    <row r="984" spans="5:5" x14ac:dyDescent="0.2">
      <c r="E984" s="125"/>
    </row>
    <row r="985" spans="5:5" x14ac:dyDescent="0.2">
      <c r="E985" s="125"/>
    </row>
    <row r="986" spans="5:5" x14ac:dyDescent="0.2">
      <c r="E986" s="125"/>
    </row>
    <row r="987" spans="5:5" x14ac:dyDescent="0.2">
      <c r="E987" s="125"/>
    </row>
    <row r="988" spans="5:5" x14ac:dyDescent="0.2">
      <c r="E988" s="125"/>
    </row>
    <row r="989" spans="5:5" x14ac:dyDescent="0.2">
      <c r="E989" s="125"/>
    </row>
    <row r="990" spans="5:5" x14ac:dyDescent="0.2">
      <c r="E990" s="125"/>
    </row>
    <row r="991" spans="5:5" x14ac:dyDescent="0.2">
      <c r="E991" s="125"/>
    </row>
    <row r="992" spans="5:5" x14ac:dyDescent="0.2">
      <c r="E992" s="125"/>
    </row>
    <row r="993" spans="5:5" x14ac:dyDescent="0.2">
      <c r="E993" s="125"/>
    </row>
    <row r="994" spans="5:5" x14ac:dyDescent="0.2">
      <c r="E994" s="125"/>
    </row>
    <row r="995" spans="5:5" x14ac:dyDescent="0.2">
      <c r="E995" s="125"/>
    </row>
    <row r="996" spans="5:5" x14ac:dyDescent="0.2">
      <c r="E996" s="125"/>
    </row>
    <row r="997" spans="5:5" x14ac:dyDescent="0.2">
      <c r="E997" s="125"/>
    </row>
    <row r="998" spans="5:5" x14ac:dyDescent="0.2">
      <c r="E998" s="125"/>
    </row>
    <row r="999" spans="5:5" x14ac:dyDescent="0.2">
      <c r="E999" s="125"/>
    </row>
    <row r="1000" spans="5:5" x14ac:dyDescent="0.2">
      <c r="E1000" s="125"/>
    </row>
  </sheetData>
  <autoFilter ref="O1:V79" xr:uid="{00000000-0009-0000-0000-00000C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B79"/>
  <sheetViews>
    <sheetView workbookViewId="0"/>
  </sheetViews>
  <sheetFormatPr baseColWidth="10" defaultColWidth="12.5703125" defaultRowHeight="15.75" customHeight="1" x14ac:dyDescent="0.2"/>
  <sheetData>
    <row r="1" spans="1:54" x14ac:dyDescent="0.2">
      <c r="A1" s="74" t="s">
        <v>4</v>
      </c>
      <c r="B1" s="75" t="s">
        <v>101</v>
      </c>
      <c r="C1" s="76" t="s">
        <v>197</v>
      </c>
      <c r="D1" s="76" t="s">
        <v>201</v>
      </c>
      <c r="E1" s="76" t="s">
        <v>204</v>
      </c>
      <c r="F1" s="76" t="s">
        <v>206</v>
      </c>
      <c r="G1" s="76" t="s">
        <v>1232</v>
      </c>
      <c r="H1" s="75" t="s">
        <v>207</v>
      </c>
      <c r="K1" s="74" t="s">
        <v>4</v>
      </c>
      <c r="L1" s="75" t="s">
        <v>101</v>
      </c>
      <c r="M1" s="76" t="s">
        <v>197</v>
      </c>
      <c r="N1" s="76" t="s">
        <v>201</v>
      </c>
      <c r="O1" s="76" t="s">
        <v>204</v>
      </c>
      <c r="P1" s="76" t="s">
        <v>206</v>
      </c>
      <c r="Q1" s="76" t="s">
        <v>1232</v>
      </c>
      <c r="R1" s="75" t="s">
        <v>207</v>
      </c>
      <c r="AG1" s="74" t="s">
        <v>4</v>
      </c>
      <c r="AH1" s="78" t="s">
        <v>885</v>
      </c>
      <c r="AI1" s="78" t="s">
        <v>889</v>
      </c>
      <c r="AJ1" s="78" t="s">
        <v>1167</v>
      </c>
      <c r="AK1" s="78" t="s">
        <v>633</v>
      </c>
      <c r="AL1" s="78" t="s">
        <v>873</v>
      </c>
      <c r="AM1" s="78" t="s">
        <v>875</v>
      </c>
      <c r="AN1" s="78" t="s">
        <v>828</v>
      </c>
      <c r="AO1" s="78" t="s">
        <v>869</v>
      </c>
      <c r="AP1" s="78" t="s">
        <v>830</v>
      </c>
      <c r="AQ1" s="78" t="s">
        <v>832</v>
      </c>
      <c r="AR1" s="78" t="s">
        <v>637</v>
      </c>
      <c r="AS1" s="78" t="s">
        <v>824</v>
      </c>
      <c r="AT1" s="78" t="s">
        <v>834</v>
      </c>
      <c r="AU1" s="78" t="s">
        <v>764</v>
      </c>
      <c r="AV1" s="78" t="s">
        <v>826</v>
      </c>
      <c r="AW1" s="78" t="s">
        <v>883</v>
      </c>
      <c r="AX1" s="78" t="s">
        <v>881</v>
      </c>
      <c r="AY1" s="78" t="s">
        <v>844</v>
      </c>
      <c r="AZ1" s="78" t="s">
        <v>754</v>
      </c>
      <c r="BA1" s="78" t="s">
        <v>846</v>
      </c>
      <c r="BB1" s="78" t="s">
        <v>635</v>
      </c>
    </row>
    <row r="2" spans="1:54" x14ac:dyDescent="0.2">
      <c r="A2" s="78" t="s">
        <v>5</v>
      </c>
      <c r="B2" s="79" t="s">
        <v>102</v>
      </c>
      <c r="C2" s="80">
        <v>3</v>
      </c>
      <c r="D2" s="80" t="s">
        <v>202</v>
      </c>
      <c r="E2" s="97">
        <v>2</v>
      </c>
      <c r="F2" s="80">
        <v>128597</v>
      </c>
      <c r="G2" s="98">
        <v>2.1000000000000001E-2</v>
      </c>
      <c r="H2" s="81" t="s">
        <v>208</v>
      </c>
      <c r="K2" s="86" t="s">
        <v>625</v>
      </c>
      <c r="L2" s="83" t="s">
        <v>626</v>
      </c>
      <c r="M2" s="80">
        <v>3</v>
      </c>
      <c r="N2" s="80" t="s">
        <v>202</v>
      </c>
      <c r="O2" s="97">
        <v>2</v>
      </c>
      <c r="P2" s="80">
        <v>90296.333329999994</v>
      </c>
      <c r="Q2" s="98">
        <v>1.7000000000000001E-2</v>
      </c>
      <c r="R2" s="81" t="s">
        <v>208</v>
      </c>
      <c r="AG2" s="109" t="s">
        <v>101</v>
      </c>
      <c r="AH2" s="110" t="s">
        <v>886</v>
      </c>
      <c r="AI2" s="110" t="s">
        <v>890</v>
      </c>
      <c r="AJ2" s="110" t="s">
        <v>1168</v>
      </c>
      <c r="AK2" s="110" t="s">
        <v>634</v>
      </c>
      <c r="AL2" s="110" t="s">
        <v>874</v>
      </c>
      <c r="AM2" s="110" t="s">
        <v>876</v>
      </c>
      <c r="AN2" s="110" t="s">
        <v>829</v>
      </c>
      <c r="AO2" s="110" t="s">
        <v>1241</v>
      </c>
      <c r="AP2" s="110" t="s">
        <v>831</v>
      </c>
      <c r="AQ2" s="110" t="s">
        <v>833</v>
      </c>
      <c r="AR2" s="110" t="s">
        <v>638</v>
      </c>
      <c r="AS2" s="110" t="s">
        <v>825</v>
      </c>
      <c r="AT2" s="110" t="s">
        <v>835</v>
      </c>
      <c r="AU2" s="110" t="s">
        <v>765</v>
      </c>
      <c r="AV2" s="110" t="s">
        <v>827</v>
      </c>
      <c r="AW2" s="110" t="s">
        <v>884</v>
      </c>
      <c r="AX2" s="110" t="s">
        <v>882</v>
      </c>
      <c r="AY2" s="110" t="s">
        <v>845</v>
      </c>
      <c r="AZ2" s="110" t="s">
        <v>755</v>
      </c>
      <c r="BA2" s="110" t="s">
        <v>847</v>
      </c>
      <c r="BB2" s="110" t="s">
        <v>636</v>
      </c>
    </row>
    <row r="3" spans="1:54" x14ac:dyDescent="0.2">
      <c r="A3" s="78" t="s">
        <v>35</v>
      </c>
      <c r="B3" s="79" t="s">
        <v>132</v>
      </c>
      <c r="C3" s="80">
        <v>2</v>
      </c>
      <c r="D3" s="80" t="s">
        <v>202</v>
      </c>
      <c r="E3" s="97">
        <v>2</v>
      </c>
      <c r="F3" s="80">
        <v>175583.3333</v>
      </c>
      <c r="G3" s="98">
        <v>2.7E-2</v>
      </c>
      <c r="H3" s="81" t="s">
        <v>208</v>
      </c>
      <c r="K3" s="86" t="s">
        <v>836</v>
      </c>
      <c r="L3" s="83" t="s">
        <v>837</v>
      </c>
      <c r="M3" s="80">
        <v>2</v>
      </c>
      <c r="N3" s="80" t="s">
        <v>202</v>
      </c>
      <c r="O3" s="97">
        <v>2</v>
      </c>
      <c r="P3" s="80">
        <v>124927</v>
      </c>
      <c r="Q3" s="98">
        <v>1.2999999999999999E-2</v>
      </c>
      <c r="R3" s="81" t="s">
        <v>208</v>
      </c>
      <c r="AG3" s="109" t="s">
        <v>207</v>
      </c>
      <c r="AH3" s="111" t="s">
        <v>352</v>
      </c>
      <c r="AI3" s="111" t="s">
        <v>352</v>
      </c>
      <c r="AJ3" s="111" t="s">
        <v>352</v>
      </c>
      <c r="AK3" s="111" t="s">
        <v>352</v>
      </c>
      <c r="AL3" s="111" t="s">
        <v>352</v>
      </c>
      <c r="AM3" s="111" t="s">
        <v>352</v>
      </c>
      <c r="AN3" s="111" t="s">
        <v>352</v>
      </c>
      <c r="AO3" s="111" t="s">
        <v>352</v>
      </c>
      <c r="AP3" s="111" t="s">
        <v>352</v>
      </c>
      <c r="AQ3" s="111" t="s">
        <v>352</v>
      </c>
      <c r="AR3" s="111" t="s">
        <v>352</v>
      </c>
      <c r="AS3" s="111" t="s">
        <v>352</v>
      </c>
      <c r="AT3" s="111" t="s">
        <v>352</v>
      </c>
      <c r="AU3" s="111" t="s">
        <v>352</v>
      </c>
      <c r="AV3" s="111" t="s">
        <v>352</v>
      </c>
      <c r="AW3" s="111" t="s">
        <v>352</v>
      </c>
      <c r="AX3" s="112" t="s">
        <v>355</v>
      </c>
      <c r="AY3" s="112" t="s">
        <v>355</v>
      </c>
      <c r="AZ3" s="112" t="s">
        <v>355</v>
      </c>
      <c r="BA3" s="112" t="s">
        <v>355</v>
      </c>
      <c r="BB3" s="112" t="s">
        <v>355</v>
      </c>
    </row>
    <row r="4" spans="1:54" x14ac:dyDescent="0.2">
      <c r="A4" s="78" t="s">
        <v>372</v>
      </c>
      <c r="B4" s="79" t="s">
        <v>462</v>
      </c>
      <c r="C4" s="80">
        <v>3</v>
      </c>
      <c r="D4" s="80" t="s">
        <v>202</v>
      </c>
      <c r="E4" s="97">
        <v>2</v>
      </c>
      <c r="F4" s="80">
        <v>98653.333329999994</v>
      </c>
      <c r="G4" s="98">
        <v>2.3E-2</v>
      </c>
      <c r="H4" s="81" t="s">
        <v>208</v>
      </c>
      <c r="K4" s="86" t="s">
        <v>854</v>
      </c>
      <c r="L4" s="83" t="s">
        <v>855</v>
      </c>
      <c r="M4" s="80">
        <v>2</v>
      </c>
      <c r="N4" s="80" t="s">
        <v>202</v>
      </c>
      <c r="O4" s="97">
        <v>2</v>
      </c>
      <c r="P4" s="80">
        <v>51647.666669999999</v>
      </c>
      <c r="Q4" s="98">
        <v>1.0999999999999999E-2</v>
      </c>
      <c r="R4" s="81" t="s">
        <v>208</v>
      </c>
    </row>
    <row r="5" spans="1:54" x14ac:dyDescent="0.2">
      <c r="A5" s="78" t="s">
        <v>7</v>
      </c>
      <c r="B5" s="79" t="s">
        <v>104</v>
      </c>
      <c r="C5" s="80">
        <v>2</v>
      </c>
      <c r="D5" s="80" t="s">
        <v>202</v>
      </c>
      <c r="E5" s="97">
        <v>2</v>
      </c>
      <c r="F5" s="80">
        <v>125239.6667</v>
      </c>
      <c r="G5" s="98">
        <v>2.5000000000000001E-2</v>
      </c>
      <c r="H5" s="81" t="s">
        <v>208</v>
      </c>
      <c r="K5" s="86" t="s">
        <v>766</v>
      </c>
      <c r="L5" s="83" t="s">
        <v>767</v>
      </c>
      <c r="M5" s="80">
        <v>2</v>
      </c>
      <c r="N5" s="80" t="s">
        <v>202</v>
      </c>
      <c r="O5" s="97">
        <v>2</v>
      </c>
      <c r="P5" s="80">
        <v>70541.333329999994</v>
      </c>
      <c r="Q5" s="98">
        <v>8.9999999999999993E-3</v>
      </c>
      <c r="R5" s="81" t="s">
        <v>208</v>
      </c>
      <c r="AG5" s="74" t="s">
        <v>4</v>
      </c>
      <c r="AH5" s="109" t="s">
        <v>101</v>
      </c>
      <c r="AI5" s="76" t="s">
        <v>197</v>
      </c>
      <c r="AJ5" s="76" t="s">
        <v>201</v>
      </c>
      <c r="AK5" s="76" t="s">
        <v>204</v>
      </c>
      <c r="AL5" s="76" t="s">
        <v>206</v>
      </c>
      <c r="AM5" s="76" t="s">
        <v>1232</v>
      </c>
      <c r="AN5" s="109" t="s">
        <v>207</v>
      </c>
    </row>
    <row r="6" spans="1:54" x14ac:dyDescent="0.2">
      <c r="A6" s="78" t="s">
        <v>8</v>
      </c>
      <c r="B6" s="79" t="s">
        <v>105</v>
      </c>
      <c r="C6" s="80">
        <v>2</v>
      </c>
      <c r="D6" s="80" t="s">
        <v>202</v>
      </c>
      <c r="E6" s="97">
        <v>2</v>
      </c>
      <c r="F6" s="80">
        <v>96832</v>
      </c>
      <c r="G6" s="98">
        <v>1.7000000000000001E-2</v>
      </c>
      <c r="H6" s="81" t="s">
        <v>208</v>
      </c>
      <c r="K6" s="86" t="s">
        <v>627</v>
      </c>
      <c r="L6" s="83" t="s">
        <v>628</v>
      </c>
      <c r="M6" s="80">
        <v>2</v>
      </c>
      <c r="N6" s="80" t="s">
        <v>202</v>
      </c>
      <c r="O6" s="97">
        <v>2</v>
      </c>
      <c r="P6" s="80">
        <v>103269.3333</v>
      </c>
      <c r="Q6" s="98">
        <v>1.2E-2</v>
      </c>
      <c r="R6" s="81" t="s">
        <v>208</v>
      </c>
      <c r="AG6" s="78" t="s">
        <v>885</v>
      </c>
      <c r="AH6" s="110" t="s">
        <v>886</v>
      </c>
      <c r="AI6" s="80">
        <v>2</v>
      </c>
      <c r="AJ6" s="80" t="s">
        <v>202</v>
      </c>
      <c r="AK6" s="97">
        <v>1</v>
      </c>
      <c r="AL6" s="80">
        <v>48301.666669999999</v>
      </c>
      <c r="AM6" s="98">
        <v>8.9999999999999993E-3</v>
      </c>
      <c r="AN6" s="111" t="s">
        <v>352</v>
      </c>
    </row>
    <row r="7" spans="1:54" x14ac:dyDescent="0.2">
      <c r="A7" s="78" t="s">
        <v>9</v>
      </c>
      <c r="B7" s="79" t="s">
        <v>106</v>
      </c>
      <c r="C7" s="80">
        <v>2</v>
      </c>
      <c r="D7" s="80" t="s">
        <v>202</v>
      </c>
      <c r="E7" s="97">
        <v>2</v>
      </c>
      <c r="F7" s="80">
        <v>89942</v>
      </c>
      <c r="G7" s="98">
        <v>1.6E-2</v>
      </c>
      <c r="H7" s="81" t="s">
        <v>208</v>
      </c>
      <c r="K7" s="86" t="s">
        <v>639</v>
      </c>
      <c r="L7" s="83" t="s">
        <v>1224</v>
      </c>
      <c r="M7" s="80">
        <v>3</v>
      </c>
      <c r="N7" s="80" t="s">
        <v>202</v>
      </c>
      <c r="O7" s="97">
        <v>2</v>
      </c>
      <c r="P7" s="80">
        <v>39699.666669999999</v>
      </c>
      <c r="Q7" s="98">
        <v>8.0000000000000002E-3</v>
      </c>
      <c r="R7" s="81" t="s">
        <v>208</v>
      </c>
      <c r="AG7" s="78" t="s">
        <v>889</v>
      </c>
      <c r="AH7" s="110" t="s">
        <v>890</v>
      </c>
      <c r="AI7" s="80">
        <v>2</v>
      </c>
      <c r="AJ7" s="80" t="s">
        <v>202</v>
      </c>
      <c r="AK7" s="97">
        <v>3</v>
      </c>
      <c r="AL7" s="80">
        <v>106380</v>
      </c>
      <c r="AM7" s="98">
        <v>1.2E-2</v>
      </c>
      <c r="AN7" s="111" t="s">
        <v>352</v>
      </c>
    </row>
    <row r="8" spans="1:54" x14ac:dyDescent="0.2">
      <c r="A8" s="78" t="s">
        <v>10</v>
      </c>
      <c r="B8" s="79" t="s">
        <v>107</v>
      </c>
      <c r="C8" s="80">
        <v>2</v>
      </c>
      <c r="D8" s="80" t="s">
        <v>202</v>
      </c>
      <c r="E8" s="97">
        <v>2</v>
      </c>
      <c r="F8" s="80">
        <v>128469</v>
      </c>
      <c r="G8" s="98">
        <v>1.7999999999999999E-2</v>
      </c>
      <c r="H8" s="81" t="s">
        <v>208</v>
      </c>
      <c r="K8" s="86" t="s">
        <v>758</v>
      </c>
      <c r="L8" s="83" t="s">
        <v>1225</v>
      </c>
      <c r="M8" s="80">
        <v>2</v>
      </c>
      <c r="N8" s="80" t="s">
        <v>202</v>
      </c>
      <c r="O8" s="97">
        <v>2</v>
      </c>
      <c r="P8" s="80">
        <v>106926</v>
      </c>
      <c r="Q8" s="98">
        <v>1.0999999999999999E-2</v>
      </c>
      <c r="R8" s="81" t="s">
        <v>208</v>
      </c>
      <c r="AG8" s="78" t="s">
        <v>1167</v>
      </c>
      <c r="AH8" s="110" t="s">
        <v>1168</v>
      </c>
      <c r="AI8" s="80">
        <v>2</v>
      </c>
      <c r="AJ8" s="80" t="s">
        <v>202</v>
      </c>
      <c r="AK8" s="97">
        <v>1</v>
      </c>
      <c r="AL8" s="80">
        <v>38636</v>
      </c>
      <c r="AM8" s="98">
        <v>1.0999999999999999E-2</v>
      </c>
      <c r="AN8" s="111" t="s">
        <v>352</v>
      </c>
    </row>
    <row r="9" spans="1:54" x14ac:dyDescent="0.2">
      <c r="A9" s="78" t="s">
        <v>11</v>
      </c>
      <c r="B9" s="79" t="s">
        <v>108</v>
      </c>
      <c r="C9" s="80">
        <v>3</v>
      </c>
      <c r="D9" s="80" t="s">
        <v>202</v>
      </c>
      <c r="E9" s="97">
        <v>2</v>
      </c>
      <c r="F9" s="80">
        <v>85075.333329999994</v>
      </c>
      <c r="G9" s="98">
        <v>1.4E-2</v>
      </c>
      <c r="H9" s="81" t="s">
        <v>208</v>
      </c>
      <c r="K9" s="86" t="s">
        <v>768</v>
      </c>
      <c r="L9" s="83" t="s">
        <v>769</v>
      </c>
      <c r="M9" s="80">
        <v>2</v>
      </c>
      <c r="N9" s="80" t="s">
        <v>202</v>
      </c>
      <c r="O9" s="97">
        <v>2</v>
      </c>
      <c r="P9" s="80">
        <v>63695</v>
      </c>
      <c r="Q9" s="98">
        <v>8.0000000000000002E-3</v>
      </c>
      <c r="R9" s="81" t="s">
        <v>208</v>
      </c>
      <c r="AG9" s="78" t="s">
        <v>633</v>
      </c>
      <c r="AH9" s="110" t="s">
        <v>634</v>
      </c>
      <c r="AI9" s="80">
        <v>2</v>
      </c>
      <c r="AJ9" s="80" t="s">
        <v>202</v>
      </c>
      <c r="AK9" s="97">
        <v>2</v>
      </c>
      <c r="AL9" s="80">
        <v>116120.3333</v>
      </c>
      <c r="AM9" s="98">
        <v>1.2E-2</v>
      </c>
      <c r="AN9" s="111" t="s">
        <v>352</v>
      </c>
    </row>
    <row r="10" spans="1:54" x14ac:dyDescent="0.2">
      <c r="A10" s="78" t="s">
        <v>41</v>
      </c>
      <c r="B10" s="79" t="s">
        <v>138</v>
      </c>
      <c r="C10" s="80">
        <v>3</v>
      </c>
      <c r="D10" s="80" t="s">
        <v>202</v>
      </c>
      <c r="E10" s="97">
        <v>4</v>
      </c>
      <c r="F10" s="80">
        <v>106398.6667</v>
      </c>
      <c r="G10" s="98">
        <v>2.1000000000000001E-2</v>
      </c>
      <c r="H10" s="81" t="s">
        <v>208</v>
      </c>
      <c r="K10" s="86" t="s">
        <v>641</v>
      </c>
      <c r="L10" s="83" t="s">
        <v>642</v>
      </c>
      <c r="M10" s="80">
        <v>2</v>
      </c>
      <c r="N10" s="80" t="s">
        <v>202</v>
      </c>
      <c r="O10" s="97">
        <v>2</v>
      </c>
      <c r="P10" s="80">
        <v>44091.666669999999</v>
      </c>
      <c r="Q10" s="98">
        <v>0.01</v>
      </c>
      <c r="R10" s="81" t="s">
        <v>208</v>
      </c>
      <c r="AG10" s="78" t="s">
        <v>873</v>
      </c>
      <c r="AH10" s="110" t="s">
        <v>874</v>
      </c>
      <c r="AI10" s="80">
        <v>3</v>
      </c>
      <c r="AJ10" s="80" t="s">
        <v>202</v>
      </c>
      <c r="AK10" s="97">
        <v>1</v>
      </c>
      <c r="AL10" s="80">
        <v>120238.6667</v>
      </c>
      <c r="AM10" s="98">
        <v>1.2999999999999999E-2</v>
      </c>
      <c r="AN10" s="111" t="s">
        <v>352</v>
      </c>
    </row>
    <row r="11" spans="1:54" x14ac:dyDescent="0.2">
      <c r="A11" s="78" t="s">
        <v>12</v>
      </c>
      <c r="B11" s="79" t="s">
        <v>109</v>
      </c>
      <c r="C11" s="80">
        <v>2</v>
      </c>
      <c r="D11" s="80" t="s">
        <v>202</v>
      </c>
      <c r="E11" s="97">
        <v>2</v>
      </c>
      <c r="F11" s="80">
        <v>135327</v>
      </c>
      <c r="G11" s="98">
        <v>2.1999999999999999E-2</v>
      </c>
      <c r="H11" s="81" t="s">
        <v>208</v>
      </c>
      <c r="K11" s="86" t="s">
        <v>649</v>
      </c>
      <c r="L11" s="83" t="s">
        <v>650</v>
      </c>
      <c r="M11" s="80">
        <v>2</v>
      </c>
      <c r="N11" s="80" t="s">
        <v>202</v>
      </c>
      <c r="O11" s="97">
        <v>2</v>
      </c>
      <c r="P11" s="80">
        <v>92505</v>
      </c>
      <c r="Q11" s="98">
        <v>1.7999999999999999E-2</v>
      </c>
      <c r="R11" s="81" t="s">
        <v>208</v>
      </c>
      <c r="AG11" s="78" t="s">
        <v>875</v>
      </c>
      <c r="AH11" s="110" t="s">
        <v>876</v>
      </c>
      <c r="AI11" s="80">
        <v>2</v>
      </c>
      <c r="AJ11" s="80" t="s">
        <v>202</v>
      </c>
      <c r="AK11" s="97">
        <v>1</v>
      </c>
      <c r="AL11" s="80">
        <v>75298.333329999994</v>
      </c>
      <c r="AM11" s="98">
        <v>0.01</v>
      </c>
      <c r="AN11" s="111" t="s">
        <v>352</v>
      </c>
    </row>
    <row r="12" spans="1:54" x14ac:dyDescent="0.2">
      <c r="A12" s="78" t="s">
        <v>13</v>
      </c>
      <c r="B12" s="79" t="s">
        <v>110</v>
      </c>
      <c r="C12" s="80">
        <v>2</v>
      </c>
      <c r="D12" s="80" t="s">
        <v>202</v>
      </c>
      <c r="E12" s="97">
        <v>2</v>
      </c>
      <c r="F12" s="80">
        <v>162098.3333</v>
      </c>
      <c r="G12" s="98">
        <v>2.3E-2</v>
      </c>
      <c r="H12" s="81" t="s">
        <v>208</v>
      </c>
      <c r="K12" s="86" t="s">
        <v>629</v>
      </c>
      <c r="L12" s="83" t="s">
        <v>630</v>
      </c>
      <c r="M12" s="80">
        <v>2</v>
      </c>
      <c r="N12" s="80" t="s">
        <v>202</v>
      </c>
      <c r="O12" s="97">
        <v>2</v>
      </c>
      <c r="P12" s="80">
        <v>88250.666670000006</v>
      </c>
      <c r="Q12" s="98">
        <v>1.4E-2</v>
      </c>
      <c r="R12" s="81" t="s">
        <v>208</v>
      </c>
      <c r="AG12" s="78" t="s">
        <v>828</v>
      </c>
      <c r="AH12" s="110" t="s">
        <v>829</v>
      </c>
      <c r="AI12" s="80">
        <v>2</v>
      </c>
      <c r="AJ12" s="80" t="s">
        <v>202</v>
      </c>
      <c r="AK12" s="97">
        <v>2</v>
      </c>
      <c r="AL12" s="80">
        <v>57127</v>
      </c>
      <c r="AM12" s="98">
        <v>1.2E-2</v>
      </c>
      <c r="AN12" s="111" t="s">
        <v>352</v>
      </c>
    </row>
    <row r="13" spans="1:54" x14ac:dyDescent="0.2">
      <c r="A13" s="78" t="s">
        <v>14</v>
      </c>
      <c r="B13" s="79" t="s">
        <v>111</v>
      </c>
      <c r="C13" s="80">
        <v>2</v>
      </c>
      <c r="D13" s="80" t="s">
        <v>202</v>
      </c>
      <c r="E13" s="97">
        <v>2</v>
      </c>
      <c r="F13" s="80">
        <v>93442</v>
      </c>
      <c r="G13" s="98">
        <v>2.1999999999999999E-2</v>
      </c>
      <c r="H13" s="81" t="s">
        <v>208</v>
      </c>
      <c r="K13" s="86" t="s">
        <v>850</v>
      </c>
      <c r="L13" s="83" t="s">
        <v>851</v>
      </c>
      <c r="M13" s="80">
        <v>2</v>
      </c>
      <c r="N13" s="80" t="s">
        <v>202</v>
      </c>
      <c r="O13" s="97">
        <v>1</v>
      </c>
      <c r="P13" s="80">
        <v>80932.333329999994</v>
      </c>
      <c r="Q13" s="98">
        <v>1.2E-2</v>
      </c>
      <c r="R13" s="81" t="s">
        <v>208</v>
      </c>
      <c r="AG13" s="78" t="s">
        <v>869</v>
      </c>
      <c r="AH13" s="110" t="s">
        <v>1241</v>
      </c>
      <c r="AI13" s="80">
        <v>2</v>
      </c>
      <c r="AJ13" s="80" t="s">
        <v>202</v>
      </c>
      <c r="AK13" s="97">
        <v>2</v>
      </c>
      <c r="AL13" s="80">
        <v>63760.333330000001</v>
      </c>
      <c r="AM13" s="98">
        <v>0.01</v>
      </c>
      <c r="AN13" s="111" t="s">
        <v>352</v>
      </c>
    </row>
    <row r="14" spans="1:54" x14ac:dyDescent="0.2">
      <c r="A14" s="78" t="s">
        <v>15</v>
      </c>
      <c r="B14" s="79" t="s">
        <v>112</v>
      </c>
      <c r="C14" s="80">
        <v>2</v>
      </c>
      <c r="D14" s="80" t="s">
        <v>202</v>
      </c>
      <c r="E14" s="97">
        <v>2</v>
      </c>
      <c r="F14" s="80">
        <v>193283.6667</v>
      </c>
      <c r="G14" s="98">
        <v>2.4E-2</v>
      </c>
      <c r="H14" s="81" t="s">
        <v>208</v>
      </c>
      <c r="K14" s="86" t="s">
        <v>617</v>
      </c>
      <c r="L14" s="83" t="s">
        <v>618</v>
      </c>
      <c r="M14" s="80">
        <v>3</v>
      </c>
      <c r="N14" s="80" t="s">
        <v>202</v>
      </c>
      <c r="O14" s="97">
        <v>1</v>
      </c>
      <c r="P14" s="80">
        <v>121646.6667</v>
      </c>
      <c r="Q14" s="98">
        <v>2.1999999999999999E-2</v>
      </c>
      <c r="R14" s="81" t="s">
        <v>208</v>
      </c>
      <c r="AG14" s="78" t="s">
        <v>830</v>
      </c>
      <c r="AH14" s="110" t="s">
        <v>831</v>
      </c>
      <c r="AI14" s="80">
        <v>2</v>
      </c>
      <c r="AJ14" s="80" t="s">
        <v>202</v>
      </c>
      <c r="AK14" s="97">
        <v>2</v>
      </c>
      <c r="AL14" s="80">
        <v>104822</v>
      </c>
      <c r="AM14" s="98">
        <v>1.2999999999999999E-2</v>
      </c>
      <c r="AN14" s="111" t="s">
        <v>352</v>
      </c>
    </row>
    <row r="15" spans="1:54" x14ac:dyDescent="0.2">
      <c r="A15" s="78" t="s">
        <v>48</v>
      </c>
      <c r="B15" s="79" t="s">
        <v>145</v>
      </c>
      <c r="C15" s="80">
        <v>3</v>
      </c>
      <c r="D15" s="80" t="s">
        <v>202</v>
      </c>
      <c r="E15" s="97">
        <v>4</v>
      </c>
      <c r="F15" s="80">
        <v>116197</v>
      </c>
      <c r="G15" s="98">
        <v>1.7999999999999999E-2</v>
      </c>
      <c r="H15" s="81" t="s">
        <v>208</v>
      </c>
      <c r="K15" s="86" t="s">
        <v>774</v>
      </c>
      <c r="L15" s="83" t="s">
        <v>775</v>
      </c>
      <c r="M15" s="80">
        <v>2</v>
      </c>
      <c r="N15" s="80" t="s">
        <v>202</v>
      </c>
      <c r="O15" s="97">
        <v>2</v>
      </c>
      <c r="P15" s="80">
        <v>113607.3333</v>
      </c>
      <c r="Q15" s="98">
        <v>1.2999999999999999E-2</v>
      </c>
      <c r="R15" s="81" t="s">
        <v>208</v>
      </c>
      <c r="AG15" s="78" t="s">
        <v>832</v>
      </c>
      <c r="AH15" s="110" t="s">
        <v>833</v>
      </c>
      <c r="AI15" s="80">
        <v>2</v>
      </c>
      <c r="AJ15" s="80" t="s">
        <v>202</v>
      </c>
      <c r="AK15" s="97">
        <v>1</v>
      </c>
      <c r="AL15" s="80">
        <v>98708.333329999994</v>
      </c>
      <c r="AM15" s="98">
        <v>1.2E-2</v>
      </c>
      <c r="AN15" s="111" t="s">
        <v>352</v>
      </c>
    </row>
    <row r="16" spans="1:54" x14ac:dyDescent="0.2">
      <c r="A16" s="78" t="s">
        <v>49</v>
      </c>
      <c r="B16" s="79" t="s">
        <v>146</v>
      </c>
      <c r="C16" s="80">
        <v>2</v>
      </c>
      <c r="D16" s="80" t="s">
        <v>202</v>
      </c>
      <c r="E16" s="97">
        <v>2</v>
      </c>
      <c r="F16" s="80">
        <v>114078.6667</v>
      </c>
      <c r="G16" s="98">
        <v>1.6E-2</v>
      </c>
      <c r="H16" s="81" t="s">
        <v>208</v>
      </c>
      <c r="K16" s="86" t="s">
        <v>643</v>
      </c>
      <c r="L16" s="83" t="s">
        <v>644</v>
      </c>
      <c r="M16" s="80">
        <v>2</v>
      </c>
      <c r="N16" s="80" t="s">
        <v>202</v>
      </c>
      <c r="O16" s="97">
        <v>2</v>
      </c>
      <c r="P16" s="80">
        <v>77033.666670000006</v>
      </c>
      <c r="Q16" s="98">
        <v>1.0999999999999999E-2</v>
      </c>
      <c r="R16" s="81" t="s">
        <v>208</v>
      </c>
      <c r="AG16" s="78" t="s">
        <v>637</v>
      </c>
      <c r="AH16" s="110" t="s">
        <v>638</v>
      </c>
      <c r="AI16" s="80">
        <v>2</v>
      </c>
      <c r="AJ16" s="80" t="s">
        <v>202</v>
      </c>
      <c r="AK16" s="97">
        <v>1</v>
      </c>
      <c r="AL16" s="80">
        <v>74513</v>
      </c>
      <c r="AM16" s="98">
        <v>1.4E-2</v>
      </c>
      <c r="AN16" s="111" t="s">
        <v>352</v>
      </c>
    </row>
    <row r="17" spans="1:40" x14ac:dyDescent="0.2">
      <c r="A17" s="78" t="s">
        <v>16</v>
      </c>
      <c r="B17" s="79" t="s">
        <v>113</v>
      </c>
      <c r="C17" s="80">
        <v>2</v>
      </c>
      <c r="D17" s="80" t="s">
        <v>202</v>
      </c>
      <c r="E17" s="97">
        <v>2</v>
      </c>
      <c r="F17" s="80">
        <v>112606.6667</v>
      </c>
      <c r="G17" s="98">
        <v>2.1999999999999999E-2</v>
      </c>
      <c r="H17" s="81" t="s">
        <v>208</v>
      </c>
      <c r="K17" s="86" t="s">
        <v>619</v>
      </c>
      <c r="L17" s="83" t="s">
        <v>620</v>
      </c>
      <c r="M17" s="80">
        <v>2</v>
      </c>
      <c r="N17" s="80" t="s">
        <v>202</v>
      </c>
      <c r="O17" s="97">
        <v>1</v>
      </c>
      <c r="P17" s="80">
        <v>106846.3333</v>
      </c>
      <c r="Q17" s="98">
        <v>1.4999999999999999E-2</v>
      </c>
      <c r="R17" s="81" t="s">
        <v>208</v>
      </c>
      <c r="AG17" s="78" t="s">
        <v>824</v>
      </c>
      <c r="AH17" s="110" t="s">
        <v>825</v>
      </c>
      <c r="AI17" s="80">
        <v>2</v>
      </c>
      <c r="AJ17" s="80" t="s">
        <v>202</v>
      </c>
      <c r="AK17" s="97">
        <v>2</v>
      </c>
      <c r="AL17" s="80">
        <v>81491</v>
      </c>
      <c r="AM17" s="98">
        <v>1.6E-2</v>
      </c>
      <c r="AN17" s="111" t="s">
        <v>352</v>
      </c>
    </row>
    <row r="18" spans="1:40" x14ac:dyDescent="0.2">
      <c r="A18" s="78" t="s">
        <v>54</v>
      </c>
      <c r="B18" s="79" t="s">
        <v>151</v>
      </c>
      <c r="C18" s="80">
        <v>3</v>
      </c>
      <c r="D18" s="80" t="s">
        <v>202</v>
      </c>
      <c r="E18" s="97">
        <v>3</v>
      </c>
      <c r="F18" s="80">
        <v>189190</v>
      </c>
      <c r="G18" s="98">
        <v>2.4E-2</v>
      </c>
      <c r="H18" s="81" t="s">
        <v>208</v>
      </c>
      <c r="K18" s="86" t="s">
        <v>651</v>
      </c>
      <c r="L18" s="83" t="s">
        <v>1226</v>
      </c>
      <c r="M18" s="80">
        <v>3</v>
      </c>
      <c r="N18" s="80" t="s">
        <v>202</v>
      </c>
      <c r="O18" s="97">
        <v>2</v>
      </c>
      <c r="P18" s="80">
        <v>83808.333329999994</v>
      </c>
      <c r="Q18" s="98">
        <v>8.0000000000000002E-3</v>
      </c>
      <c r="R18" s="81" t="s">
        <v>208</v>
      </c>
      <c r="AG18" s="78" t="s">
        <v>834</v>
      </c>
      <c r="AH18" s="110" t="s">
        <v>835</v>
      </c>
      <c r="AI18" s="80">
        <v>2</v>
      </c>
      <c r="AJ18" s="80" t="s">
        <v>202</v>
      </c>
      <c r="AK18" s="97">
        <v>1</v>
      </c>
      <c r="AL18" s="80">
        <v>101737</v>
      </c>
      <c r="AM18" s="98">
        <v>1.6E-2</v>
      </c>
      <c r="AN18" s="111" t="s">
        <v>352</v>
      </c>
    </row>
    <row r="19" spans="1:40" x14ac:dyDescent="0.2">
      <c r="A19" s="78" t="s">
        <v>21</v>
      </c>
      <c r="B19" s="79" t="s">
        <v>118</v>
      </c>
      <c r="C19" s="80">
        <v>2</v>
      </c>
      <c r="D19" s="80" t="s">
        <v>202</v>
      </c>
      <c r="E19" s="97">
        <v>3</v>
      </c>
      <c r="F19" s="80">
        <v>59764.333330000001</v>
      </c>
      <c r="G19" s="98">
        <v>1.2999999999999999E-2</v>
      </c>
      <c r="H19" s="81" t="s">
        <v>208</v>
      </c>
      <c r="K19" s="86" t="s">
        <v>653</v>
      </c>
      <c r="L19" s="83" t="s">
        <v>654</v>
      </c>
      <c r="M19" s="80">
        <v>2</v>
      </c>
      <c r="N19" s="80" t="s">
        <v>202</v>
      </c>
      <c r="O19" s="97">
        <v>2</v>
      </c>
      <c r="P19" s="80">
        <v>92037</v>
      </c>
      <c r="Q19" s="98">
        <v>1.6E-2</v>
      </c>
      <c r="R19" s="81" t="s">
        <v>208</v>
      </c>
      <c r="AG19" s="78" t="s">
        <v>764</v>
      </c>
      <c r="AH19" s="110" t="s">
        <v>765</v>
      </c>
      <c r="AI19" s="80">
        <v>5</v>
      </c>
      <c r="AJ19" s="80" t="s">
        <v>202</v>
      </c>
      <c r="AK19" s="97">
        <v>1</v>
      </c>
      <c r="AL19" s="80">
        <v>119923.6667</v>
      </c>
      <c r="AM19" s="98">
        <v>0.02</v>
      </c>
      <c r="AN19" s="111" t="s">
        <v>352</v>
      </c>
    </row>
    <row r="20" spans="1:40" x14ac:dyDescent="0.2">
      <c r="A20" s="78" t="s">
        <v>22</v>
      </c>
      <c r="B20" s="79" t="s">
        <v>119</v>
      </c>
      <c r="C20" s="80">
        <v>4</v>
      </c>
      <c r="D20" s="80" t="s">
        <v>202</v>
      </c>
      <c r="E20" s="97">
        <v>3</v>
      </c>
      <c r="F20" s="80">
        <v>126912.3333</v>
      </c>
      <c r="G20" s="98">
        <v>2.7E-2</v>
      </c>
      <c r="H20" s="81" t="s">
        <v>208</v>
      </c>
      <c r="K20" s="86" t="s">
        <v>760</v>
      </c>
      <c r="L20" s="83" t="s">
        <v>761</v>
      </c>
      <c r="M20" s="80">
        <v>3</v>
      </c>
      <c r="N20" s="80" t="s">
        <v>202</v>
      </c>
      <c r="O20" s="97">
        <v>2</v>
      </c>
      <c r="P20" s="80">
        <v>79659</v>
      </c>
      <c r="Q20" s="98">
        <v>1.2E-2</v>
      </c>
      <c r="R20" s="81" t="s">
        <v>208</v>
      </c>
      <c r="AG20" s="78" t="s">
        <v>826</v>
      </c>
      <c r="AH20" s="110" t="s">
        <v>827</v>
      </c>
      <c r="AI20" s="80">
        <v>3</v>
      </c>
      <c r="AJ20" s="80" t="s">
        <v>202</v>
      </c>
      <c r="AK20" s="97">
        <v>1</v>
      </c>
      <c r="AL20" s="80">
        <v>81859.333329999994</v>
      </c>
      <c r="AM20" s="98">
        <v>1.4E-2</v>
      </c>
      <c r="AN20" s="111" t="s">
        <v>352</v>
      </c>
    </row>
    <row r="21" spans="1:40" x14ac:dyDescent="0.2">
      <c r="A21" s="78" t="s">
        <v>23</v>
      </c>
      <c r="B21" s="79" t="s">
        <v>120</v>
      </c>
      <c r="C21" s="80">
        <v>3</v>
      </c>
      <c r="D21" s="80" t="s">
        <v>202</v>
      </c>
      <c r="E21" s="97">
        <v>3</v>
      </c>
      <c r="F21" s="80">
        <v>109463</v>
      </c>
      <c r="G21" s="98">
        <v>0.02</v>
      </c>
      <c r="H21" s="81" t="s">
        <v>208</v>
      </c>
      <c r="K21" s="86" t="s">
        <v>631</v>
      </c>
      <c r="L21" s="83" t="s">
        <v>632</v>
      </c>
      <c r="M21" s="80">
        <v>3</v>
      </c>
      <c r="N21" s="80" t="s">
        <v>202</v>
      </c>
      <c r="O21" s="97">
        <v>1</v>
      </c>
      <c r="P21" s="80">
        <v>79749</v>
      </c>
      <c r="Q21" s="98">
        <v>1.2999999999999999E-2</v>
      </c>
      <c r="R21" s="81" t="s">
        <v>208</v>
      </c>
      <c r="AG21" s="78" t="s">
        <v>883</v>
      </c>
      <c r="AH21" s="110" t="s">
        <v>884</v>
      </c>
      <c r="AI21" s="80">
        <v>3</v>
      </c>
      <c r="AJ21" s="80" t="s">
        <v>202</v>
      </c>
      <c r="AK21" s="97">
        <v>2</v>
      </c>
      <c r="AL21" s="80">
        <v>98185.666670000006</v>
      </c>
      <c r="AM21" s="98">
        <v>1.7000000000000001E-2</v>
      </c>
      <c r="AN21" s="111" t="s">
        <v>352</v>
      </c>
    </row>
    <row r="22" spans="1:40" x14ac:dyDescent="0.2">
      <c r="A22" s="82" t="s">
        <v>24</v>
      </c>
      <c r="B22" s="83" t="s">
        <v>121</v>
      </c>
      <c r="C22" s="80">
        <v>2</v>
      </c>
      <c r="D22" s="80" t="s">
        <v>202</v>
      </c>
      <c r="E22" s="97">
        <v>3</v>
      </c>
      <c r="F22" s="80">
        <v>129701.6667</v>
      </c>
      <c r="G22" s="98">
        <v>0.02</v>
      </c>
      <c r="H22" s="81" t="s">
        <v>208</v>
      </c>
      <c r="K22" s="86" t="s">
        <v>838</v>
      </c>
      <c r="L22" s="83" t="s">
        <v>839</v>
      </c>
      <c r="M22" s="80">
        <v>2</v>
      </c>
      <c r="N22" s="80" t="s">
        <v>202</v>
      </c>
      <c r="O22" s="97">
        <v>2</v>
      </c>
      <c r="P22" s="80">
        <v>54773</v>
      </c>
      <c r="Q22" s="98">
        <v>0.01</v>
      </c>
      <c r="R22" s="81" t="s">
        <v>208</v>
      </c>
      <c r="AG22" s="78" t="s">
        <v>881</v>
      </c>
      <c r="AH22" s="110" t="s">
        <v>882</v>
      </c>
      <c r="AI22" s="80">
        <v>2</v>
      </c>
      <c r="AJ22" s="80" t="s">
        <v>202</v>
      </c>
      <c r="AK22" s="97">
        <v>2</v>
      </c>
      <c r="AL22" s="80">
        <v>148413.3333</v>
      </c>
      <c r="AM22" s="98">
        <v>1.6E-2</v>
      </c>
      <c r="AN22" s="112" t="s">
        <v>355</v>
      </c>
    </row>
    <row r="23" spans="1:40" x14ac:dyDescent="0.2">
      <c r="A23" s="78" t="s">
        <v>366</v>
      </c>
      <c r="B23" s="79" t="s">
        <v>367</v>
      </c>
      <c r="C23" s="80">
        <v>3</v>
      </c>
      <c r="D23" s="80" t="s">
        <v>202</v>
      </c>
      <c r="E23" s="97">
        <v>2</v>
      </c>
      <c r="F23" s="80">
        <v>84847.666670000006</v>
      </c>
      <c r="G23" s="98">
        <v>2.5999999999999999E-2</v>
      </c>
      <c r="H23" s="87" t="s">
        <v>209</v>
      </c>
      <c r="K23" s="86" t="s">
        <v>645</v>
      </c>
      <c r="L23" s="83" t="s">
        <v>1227</v>
      </c>
      <c r="M23" s="80">
        <v>3</v>
      </c>
      <c r="N23" s="80" t="s">
        <v>202</v>
      </c>
      <c r="O23" s="97">
        <v>1</v>
      </c>
      <c r="P23" s="80">
        <v>51463.666669999999</v>
      </c>
      <c r="Q23" s="98">
        <v>6.0000000000000001E-3</v>
      </c>
      <c r="R23" s="81" t="s">
        <v>208</v>
      </c>
      <c r="AG23" s="78" t="s">
        <v>844</v>
      </c>
      <c r="AH23" s="110" t="s">
        <v>845</v>
      </c>
      <c r="AI23" s="80">
        <v>2</v>
      </c>
      <c r="AJ23" s="80" t="s">
        <v>202</v>
      </c>
      <c r="AK23" s="97">
        <v>1</v>
      </c>
      <c r="AL23" s="80">
        <v>227813.3333</v>
      </c>
      <c r="AM23" s="98">
        <v>2.4E-2</v>
      </c>
      <c r="AN23" s="112" t="s">
        <v>355</v>
      </c>
    </row>
    <row r="24" spans="1:40" x14ac:dyDescent="0.2">
      <c r="A24" s="78" t="s">
        <v>368</v>
      </c>
      <c r="B24" s="79" t="s">
        <v>369</v>
      </c>
      <c r="C24" s="80">
        <v>3</v>
      </c>
      <c r="D24" s="80" t="s">
        <v>202</v>
      </c>
      <c r="E24" s="97">
        <v>2</v>
      </c>
      <c r="F24" s="80">
        <v>117157.6667</v>
      </c>
      <c r="G24" s="98">
        <v>3.5000000000000003E-2</v>
      </c>
      <c r="H24" s="87" t="s">
        <v>209</v>
      </c>
      <c r="K24" s="86" t="s">
        <v>647</v>
      </c>
      <c r="L24" s="83" t="s">
        <v>648</v>
      </c>
      <c r="M24" s="80">
        <v>1</v>
      </c>
      <c r="N24" s="80" t="s">
        <v>202</v>
      </c>
      <c r="O24" s="97">
        <v>1</v>
      </c>
      <c r="P24" s="80">
        <v>82851.666670000006</v>
      </c>
      <c r="Q24" s="98">
        <v>0.01</v>
      </c>
      <c r="R24" s="81" t="s">
        <v>208</v>
      </c>
      <c r="AG24" s="78" t="s">
        <v>754</v>
      </c>
      <c r="AH24" s="110" t="s">
        <v>755</v>
      </c>
      <c r="AI24" s="80">
        <v>3</v>
      </c>
      <c r="AJ24" s="80" t="s">
        <v>202</v>
      </c>
      <c r="AK24" s="97">
        <v>1</v>
      </c>
      <c r="AL24" s="80">
        <v>145931</v>
      </c>
      <c r="AM24" s="98">
        <v>1.9E-2</v>
      </c>
      <c r="AN24" s="112" t="s">
        <v>355</v>
      </c>
    </row>
    <row r="25" spans="1:40" x14ac:dyDescent="0.2">
      <c r="A25" s="78" t="s">
        <v>6</v>
      </c>
      <c r="B25" s="79" t="s">
        <v>103</v>
      </c>
      <c r="C25" s="80">
        <v>3</v>
      </c>
      <c r="D25" s="80" t="s">
        <v>202</v>
      </c>
      <c r="E25" s="97">
        <v>4</v>
      </c>
      <c r="F25" s="80">
        <v>137402</v>
      </c>
      <c r="G25" s="98">
        <v>2.8000000000000001E-2</v>
      </c>
      <c r="H25" s="87" t="s">
        <v>209</v>
      </c>
      <c r="K25" s="86" t="s">
        <v>621</v>
      </c>
      <c r="L25" s="83" t="s">
        <v>622</v>
      </c>
      <c r="M25" s="80">
        <v>2</v>
      </c>
      <c r="N25" s="80" t="s">
        <v>202</v>
      </c>
      <c r="O25" s="97">
        <v>1</v>
      </c>
      <c r="P25" s="80">
        <v>100680.6667</v>
      </c>
      <c r="Q25" s="98">
        <v>8.9999999999999993E-3</v>
      </c>
      <c r="R25" s="81" t="s">
        <v>208</v>
      </c>
      <c r="AG25" s="78" t="s">
        <v>846</v>
      </c>
      <c r="AH25" s="110" t="s">
        <v>847</v>
      </c>
      <c r="AI25" s="80">
        <v>2</v>
      </c>
      <c r="AJ25" s="80" t="s">
        <v>202</v>
      </c>
      <c r="AK25" s="97">
        <v>1</v>
      </c>
      <c r="AL25" s="80">
        <v>145535.6667</v>
      </c>
      <c r="AM25" s="98">
        <v>1.7000000000000001E-2</v>
      </c>
      <c r="AN25" s="112" t="s">
        <v>355</v>
      </c>
    </row>
    <row r="26" spans="1:40" x14ac:dyDescent="0.2">
      <c r="A26" s="78" t="s">
        <v>36</v>
      </c>
      <c r="B26" s="79" t="s">
        <v>133</v>
      </c>
      <c r="C26" s="80">
        <v>3</v>
      </c>
      <c r="D26" s="80" t="s">
        <v>202</v>
      </c>
      <c r="E26" s="97">
        <v>2</v>
      </c>
      <c r="F26" s="80">
        <v>203058.6667</v>
      </c>
      <c r="G26" s="98">
        <v>3.5999999999999997E-2</v>
      </c>
      <c r="H26" s="87" t="s">
        <v>209</v>
      </c>
      <c r="K26" s="86" t="s">
        <v>776</v>
      </c>
      <c r="L26" s="83" t="s">
        <v>777</v>
      </c>
      <c r="M26" s="80">
        <v>3</v>
      </c>
      <c r="N26" s="80" t="s">
        <v>202</v>
      </c>
      <c r="O26" s="97">
        <v>1</v>
      </c>
      <c r="P26" s="80">
        <v>67552</v>
      </c>
      <c r="Q26" s="98">
        <v>1.2E-2</v>
      </c>
      <c r="R26" s="81" t="s">
        <v>208</v>
      </c>
      <c r="AG26" s="78" t="s">
        <v>635</v>
      </c>
      <c r="AH26" s="110" t="s">
        <v>636</v>
      </c>
      <c r="AI26" s="80">
        <v>2</v>
      </c>
      <c r="AJ26" s="80" t="s">
        <v>202</v>
      </c>
      <c r="AK26" s="97">
        <v>1</v>
      </c>
      <c r="AL26" s="80">
        <v>235811</v>
      </c>
      <c r="AM26" s="98">
        <v>0.03</v>
      </c>
      <c r="AN26" s="112" t="s">
        <v>355</v>
      </c>
    </row>
    <row r="27" spans="1:40" x14ac:dyDescent="0.2">
      <c r="A27" s="78" t="s">
        <v>37</v>
      </c>
      <c r="B27" s="79" t="s">
        <v>134</v>
      </c>
      <c r="C27" s="80">
        <v>3</v>
      </c>
      <c r="D27" s="80" t="s">
        <v>202</v>
      </c>
      <c r="E27" s="97">
        <v>4</v>
      </c>
      <c r="F27" s="80">
        <v>211281</v>
      </c>
      <c r="G27" s="98">
        <v>3.5999999999999997E-2</v>
      </c>
      <c r="H27" s="87" t="s">
        <v>209</v>
      </c>
      <c r="K27" s="86" t="s">
        <v>623</v>
      </c>
      <c r="L27" s="83" t="s">
        <v>624</v>
      </c>
      <c r="M27" s="80">
        <v>2</v>
      </c>
      <c r="N27" s="80" t="s">
        <v>202</v>
      </c>
      <c r="O27" s="97">
        <v>1</v>
      </c>
      <c r="P27" s="80">
        <v>110469</v>
      </c>
      <c r="Q27" s="98">
        <v>2.1999999999999999E-2</v>
      </c>
      <c r="R27" s="81" t="s">
        <v>208</v>
      </c>
    </row>
    <row r="28" spans="1:40" x14ac:dyDescent="0.2">
      <c r="A28" s="78" t="s">
        <v>38</v>
      </c>
      <c r="B28" s="79" t="s">
        <v>135</v>
      </c>
      <c r="C28" s="80">
        <v>2</v>
      </c>
      <c r="D28" s="80" t="s">
        <v>202</v>
      </c>
      <c r="E28" s="97">
        <v>2</v>
      </c>
      <c r="F28" s="80">
        <v>162620</v>
      </c>
      <c r="G28" s="98">
        <v>2.4E-2</v>
      </c>
      <c r="H28" s="87" t="s">
        <v>209</v>
      </c>
      <c r="K28" s="86" t="s">
        <v>770</v>
      </c>
      <c r="L28" s="83" t="s">
        <v>771</v>
      </c>
      <c r="M28" s="80">
        <v>2</v>
      </c>
      <c r="N28" s="80" t="s">
        <v>202</v>
      </c>
      <c r="O28" s="97">
        <v>2</v>
      </c>
      <c r="P28" s="80">
        <v>110919.6667</v>
      </c>
      <c r="Q28" s="98">
        <v>1.2999999999999999E-2</v>
      </c>
      <c r="R28" s="81" t="s">
        <v>208</v>
      </c>
    </row>
    <row r="29" spans="1:40" x14ac:dyDescent="0.2">
      <c r="A29" s="78" t="s">
        <v>39</v>
      </c>
      <c r="B29" s="79" t="s">
        <v>136</v>
      </c>
      <c r="C29" s="80">
        <v>3</v>
      </c>
      <c r="D29" s="80" t="s">
        <v>202</v>
      </c>
      <c r="E29" s="97">
        <v>2</v>
      </c>
      <c r="F29" s="80">
        <v>223033</v>
      </c>
      <c r="G29" s="98">
        <v>2.5000000000000001E-2</v>
      </c>
      <c r="H29" s="87" t="s">
        <v>209</v>
      </c>
      <c r="K29" s="86" t="s">
        <v>655</v>
      </c>
      <c r="L29" s="83" t="s">
        <v>656</v>
      </c>
      <c r="M29" s="80">
        <v>2</v>
      </c>
      <c r="N29" s="80" t="s">
        <v>202</v>
      </c>
      <c r="O29" s="97">
        <v>2</v>
      </c>
      <c r="P29" s="80">
        <v>102363</v>
      </c>
      <c r="Q29" s="98">
        <v>1.4E-2</v>
      </c>
      <c r="R29" s="81" t="s">
        <v>208</v>
      </c>
    </row>
    <row r="30" spans="1:40" x14ac:dyDescent="0.2">
      <c r="A30" s="78" t="s">
        <v>42</v>
      </c>
      <c r="B30" s="79" t="s">
        <v>139</v>
      </c>
      <c r="C30" s="80">
        <v>3</v>
      </c>
      <c r="D30" s="80" t="s">
        <v>202</v>
      </c>
      <c r="E30" s="97">
        <v>2</v>
      </c>
      <c r="F30" s="80">
        <v>142343</v>
      </c>
      <c r="G30" s="98">
        <v>3.2000000000000001E-2</v>
      </c>
      <c r="H30" s="87" t="s">
        <v>209</v>
      </c>
      <c r="K30" s="86" t="s">
        <v>657</v>
      </c>
      <c r="L30" s="83" t="s">
        <v>1228</v>
      </c>
      <c r="M30" s="80">
        <v>3</v>
      </c>
      <c r="N30" s="80" t="s">
        <v>202</v>
      </c>
      <c r="O30" s="97">
        <v>2</v>
      </c>
      <c r="P30" s="80">
        <v>167146</v>
      </c>
      <c r="Q30" s="98">
        <v>2.3E-2</v>
      </c>
      <c r="R30" s="81" t="s">
        <v>208</v>
      </c>
    </row>
    <row r="31" spans="1:40" x14ac:dyDescent="0.2">
      <c r="A31" s="78" t="s">
        <v>76</v>
      </c>
      <c r="B31" s="79" t="s">
        <v>173</v>
      </c>
      <c r="C31" s="80">
        <v>3</v>
      </c>
      <c r="D31" s="80" t="s">
        <v>353</v>
      </c>
      <c r="E31" s="97">
        <v>4</v>
      </c>
      <c r="F31" s="80">
        <v>306111.3333</v>
      </c>
      <c r="G31" s="98">
        <v>4.7E-2</v>
      </c>
      <c r="H31" s="87" t="s">
        <v>209</v>
      </c>
      <c r="K31" s="86" t="s">
        <v>659</v>
      </c>
      <c r="L31" s="83" t="s">
        <v>1229</v>
      </c>
      <c r="M31" s="80">
        <v>3</v>
      </c>
      <c r="N31" s="80" t="s">
        <v>202</v>
      </c>
      <c r="O31" s="97">
        <v>2</v>
      </c>
      <c r="P31" s="80">
        <v>106468.6667</v>
      </c>
      <c r="Q31" s="98">
        <v>1.7999999999999999E-2</v>
      </c>
      <c r="R31" s="81" t="s">
        <v>208</v>
      </c>
    </row>
    <row r="32" spans="1:40" x14ac:dyDescent="0.2">
      <c r="A32" s="78" t="s">
        <v>43</v>
      </c>
      <c r="B32" s="79" t="s">
        <v>140</v>
      </c>
      <c r="C32" s="80">
        <v>3</v>
      </c>
      <c r="D32" s="80" t="s">
        <v>202</v>
      </c>
      <c r="E32" s="97">
        <v>2</v>
      </c>
      <c r="F32" s="80">
        <v>158177</v>
      </c>
      <c r="G32" s="98">
        <v>0.03</v>
      </c>
      <c r="H32" s="87" t="s">
        <v>209</v>
      </c>
      <c r="K32" s="86" t="s">
        <v>756</v>
      </c>
      <c r="L32" s="83" t="s">
        <v>757</v>
      </c>
      <c r="M32" s="80">
        <v>3</v>
      </c>
      <c r="N32" s="80" t="s">
        <v>202</v>
      </c>
      <c r="O32" s="97">
        <v>2</v>
      </c>
      <c r="P32" s="80">
        <v>228063.6667</v>
      </c>
      <c r="Q32" s="98">
        <v>0.02</v>
      </c>
      <c r="R32" s="87" t="s">
        <v>209</v>
      </c>
    </row>
    <row r="33" spans="1:18" x14ac:dyDescent="0.2">
      <c r="A33" s="78" t="s">
        <v>45</v>
      </c>
      <c r="B33" s="79" t="s">
        <v>142</v>
      </c>
      <c r="C33" s="80">
        <v>3</v>
      </c>
      <c r="D33" s="80" t="s">
        <v>353</v>
      </c>
      <c r="E33" s="97">
        <v>2</v>
      </c>
      <c r="F33" s="80">
        <v>238192.3333</v>
      </c>
      <c r="G33" s="98">
        <v>5.1999999999999998E-2</v>
      </c>
      <c r="H33" s="87" t="s">
        <v>209</v>
      </c>
      <c r="K33" s="86" t="s">
        <v>1205</v>
      </c>
      <c r="L33" s="83" t="s">
        <v>1206</v>
      </c>
      <c r="M33" s="80">
        <v>3</v>
      </c>
      <c r="N33" s="80" t="s">
        <v>202</v>
      </c>
      <c r="O33" s="97">
        <v>2</v>
      </c>
      <c r="P33" s="80">
        <v>43229</v>
      </c>
      <c r="Q33" s="98">
        <v>1.9E-2</v>
      </c>
      <c r="R33" s="87" t="s">
        <v>209</v>
      </c>
    </row>
    <row r="34" spans="1:18" x14ac:dyDescent="0.2">
      <c r="A34" s="78" t="s">
        <v>46</v>
      </c>
      <c r="B34" s="79" t="s">
        <v>143</v>
      </c>
      <c r="C34" s="80">
        <v>2</v>
      </c>
      <c r="D34" s="80" t="s">
        <v>202</v>
      </c>
      <c r="E34" s="97">
        <v>2</v>
      </c>
      <c r="F34" s="80">
        <v>149897.6667</v>
      </c>
      <c r="G34" s="98">
        <v>2.4E-2</v>
      </c>
      <c r="H34" s="87" t="s">
        <v>209</v>
      </c>
      <c r="K34" s="86" t="s">
        <v>1207</v>
      </c>
      <c r="L34" s="83" t="s">
        <v>1208</v>
      </c>
      <c r="M34" s="80">
        <v>3</v>
      </c>
      <c r="N34" s="80" t="s">
        <v>202</v>
      </c>
      <c r="O34" s="97">
        <v>2</v>
      </c>
      <c r="P34" s="80">
        <v>90127</v>
      </c>
      <c r="Q34" s="98">
        <v>1.7999999999999999E-2</v>
      </c>
      <c r="R34" s="87" t="s">
        <v>209</v>
      </c>
    </row>
    <row r="35" spans="1:18" x14ac:dyDescent="0.2">
      <c r="A35" s="78" t="s">
        <v>47</v>
      </c>
      <c r="B35" s="79" t="s">
        <v>144</v>
      </c>
      <c r="C35" s="80">
        <v>3</v>
      </c>
      <c r="D35" s="80" t="s">
        <v>202</v>
      </c>
      <c r="E35" s="97">
        <v>2</v>
      </c>
      <c r="F35" s="80">
        <v>228635</v>
      </c>
      <c r="G35" s="98">
        <v>2.8000000000000001E-2</v>
      </c>
      <c r="H35" s="87" t="s">
        <v>209</v>
      </c>
      <c r="K35" s="86" t="s">
        <v>852</v>
      </c>
      <c r="L35" s="83" t="s">
        <v>853</v>
      </c>
      <c r="M35" s="80">
        <v>3</v>
      </c>
      <c r="N35" s="80" t="s">
        <v>202</v>
      </c>
      <c r="O35" s="97">
        <v>2</v>
      </c>
      <c r="P35" s="80">
        <v>125367.6667</v>
      </c>
      <c r="Q35" s="98">
        <v>2.4E-2</v>
      </c>
      <c r="R35" s="87" t="s">
        <v>209</v>
      </c>
    </row>
    <row r="36" spans="1:18" x14ac:dyDescent="0.2">
      <c r="A36" s="78" t="s">
        <v>79</v>
      </c>
      <c r="B36" s="79" t="s">
        <v>176</v>
      </c>
      <c r="C36" s="80">
        <v>3</v>
      </c>
      <c r="D36" s="80" t="s">
        <v>202</v>
      </c>
      <c r="E36" s="97">
        <v>2</v>
      </c>
      <c r="F36" s="80">
        <v>264102.3333</v>
      </c>
      <c r="G36" s="98">
        <v>3.7999999999999999E-2</v>
      </c>
      <c r="H36" s="87" t="s">
        <v>209</v>
      </c>
      <c r="K36" s="86" t="s">
        <v>840</v>
      </c>
      <c r="L36" s="83" t="s">
        <v>1230</v>
      </c>
      <c r="M36" s="80">
        <v>3</v>
      </c>
      <c r="N36" s="80" t="s">
        <v>202</v>
      </c>
      <c r="O36" s="97">
        <v>2</v>
      </c>
      <c r="P36" s="80">
        <v>85998</v>
      </c>
      <c r="Q36" s="98">
        <v>2.1000000000000001E-2</v>
      </c>
      <c r="R36" s="87" t="s">
        <v>209</v>
      </c>
    </row>
    <row r="37" spans="1:18" x14ac:dyDescent="0.2">
      <c r="A37" s="78" t="s">
        <v>50</v>
      </c>
      <c r="B37" s="79" t="s">
        <v>147</v>
      </c>
      <c r="C37" s="80">
        <v>3</v>
      </c>
      <c r="D37" s="80" t="s">
        <v>202</v>
      </c>
      <c r="E37" s="97">
        <v>2</v>
      </c>
      <c r="F37" s="80">
        <v>151561.3333</v>
      </c>
      <c r="G37" s="98">
        <v>2.7E-2</v>
      </c>
      <c r="H37" s="87" t="s">
        <v>209</v>
      </c>
      <c r="K37" s="86" t="s">
        <v>871</v>
      </c>
      <c r="L37" s="83" t="s">
        <v>872</v>
      </c>
      <c r="M37" s="80">
        <v>3</v>
      </c>
      <c r="N37" s="80" t="s">
        <v>202</v>
      </c>
      <c r="O37" s="97">
        <v>2</v>
      </c>
      <c r="P37" s="80">
        <v>308781</v>
      </c>
      <c r="Q37" s="98">
        <v>3.5999999999999997E-2</v>
      </c>
      <c r="R37" s="88" t="s">
        <v>210</v>
      </c>
    </row>
    <row r="38" spans="1:18" x14ac:dyDescent="0.2">
      <c r="A38" s="78" t="s">
        <v>51</v>
      </c>
      <c r="B38" s="79" t="s">
        <v>148</v>
      </c>
      <c r="C38" s="80">
        <v>3</v>
      </c>
      <c r="D38" s="80" t="s">
        <v>202</v>
      </c>
      <c r="E38" s="97">
        <v>2</v>
      </c>
      <c r="F38" s="80">
        <v>256772.6667</v>
      </c>
      <c r="G38" s="98">
        <v>5.0999999999999997E-2</v>
      </c>
      <c r="H38" s="87" t="s">
        <v>209</v>
      </c>
      <c r="K38" s="86" t="s">
        <v>848</v>
      </c>
      <c r="L38" s="83" t="s">
        <v>849</v>
      </c>
      <c r="M38" s="80">
        <v>3</v>
      </c>
      <c r="N38" s="80" t="s">
        <v>202</v>
      </c>
      <c r="O38" s="97">
        <v>2</v>
      </c>
      <c r="P38" s="80">
        <v>255657.3333</v>
      </c>
      <c r="Q38" s="98">
        <v>4.7E-2</v>
      </c>
      <c r="R38" s="88" t="s">
        <v>210</v>
      </c>
    </row>
    <row r="39" spans="1:18" x14ac:dyDescent="0.2">
      <c r="A39" s="78" t="s">
        <v>17</v>
      </c>
      <c r="B39" s="79" t="s">
        <v>114</v>
      </c>
      <c r="C39" s="80">
        <v>3</v>
      </c>
      <c r="D39" s="80" t="s">
        <v>353</v>
      </c>
      <c r="E39" s="97">
        <v>2</v>
      </c>
      <c r="F39" s="80">
        <v>130225</v>
      </c>
      <c r="G39" s="98">
        <v>2.5999999999999999E-2</v>
      </c>
      <c r="H39" s="87" t="s">
        <v>209</v>
      </c>
      <c r="K39" s="86" t="s">
        <v>762</v>
      </c>
      <c r="L39" s="83" t="s">
        <v>1231</v>
      </c>
      <c r="M39" s="80">
        <v>4</v>
      </c>
      <c r="N39" s="80" t="s">
        <v>202</v>
      </c>
      <c r="O39" s="97">
        <v>2</v>
      </c>
      <c r="P39" s="80">
        <v>270272.6667</v>
      </c>
      <c r="Q39" s="98">
        <v>2.9000000000000001E-2</v>
      </c>
      <c r="R39" s="88" t="s">
        <v>210</v>
      </c>
    </row>
    <row r="40" spans="1:18" x14ac:dyDescent="0.2">
      <c r="A40" s="78" t="s">
        <v>52</v>
      </c>
      <c r="B40" s="79" t="s">
        <v>149</v>
      </c>
      <c r="C40" s="80">
        <v>3</v>
      </c>
      <c r="D40" s="80" t="s">
        <v>202</v>
      </c>
      <c r="E40" s="97">
        <v>2</v>
      </c>
      <c r="F40" s="80">
        <v>199533.3333</v>
      </c>
      <c r="G40" s="98">
        <v>0.03</v>
      </c>
      <c r="H40" s="87" t="s">
        <v>209</v>
      </c>
    </row>
    <row r="41" spans="1:18" x14ac:dyDescent="0.2">
      <c r="A41" s="78" t="s">
        <v>53</v>
      </c>
      <c r="B41" s="79" t="s">
        <v>150</v>
      </c>
      <c r="C41" s="80">
        <v>2</v>
      </c>
      <c r="D41" s="80" t="s">
        <v>202</v>
      </c>
      <c r="E41" s="97">
        <v>3</v>
      </c>
      <c r="F41" s="80">
        <v>216276</v>
      </c>
      <c r="G41" s="98">
        <v>0.03</v>
      </c>
      <c r="H41" s="87" t="s">
        <v>209</v>
      </c>
    </row>
    <row r="42" spans="1:18" x14ac:dyDescent="0.2">
      <c r="A42" s="78" t="s">
        <v>89</v>
      </c>
      <c r="B42" s="79" t="s">
        <v>186</v>
      </c>
      <c r="C42" s="80">
        <v>3</v>
      </c>
      <c r="D42" s="80" t="s">
        <v>202</v>
      </c>
      <c r="E42" s="97">
        <v>3</v>
      </c>
      <c r="F42" s="80">
        <v>306685.6667</v>
      </c>
      <c r="G42" s="98">
        <v>3.5000000000000003E-2</v>
      </c>
      <c r="H42" s="87" t="s">
        <v>209</v>
      </c>
    </row>
    <row r="43" spans="1:18" x14ac:dyDescent="0.2">
      <c r="A43" s="85" t="s">
        <v>18</v>
      </c>
      <c r="B43" s="79" t="s">
        <v>115</v>
      </c>
      <c r="C43" s="80">
        <v>2</v>
      </c>
      <c r="D43" s="80" t="s">
        <v>202</v>
      </c>
      <c r="E43" s="97">
        <v>3</v>
      </c>
      <c r="F43" s="80">
        <v>132434.3333</v>
      </c>
      <c r="G43" s="98">
        <v>0.03</v>
      </c>
      <c r="H43" s="87" t="s">
        <v>209</v>
      </c>
    </row>
    <row r="44" spans="1:18" x14ac:dyDescent="0.2">
      <c r="A44" s="85" t="s">
        <v>55</v>
      </c>
      <c r="B44" s="79" t="s">
        <v>152</v>
      </c>
      <c r="C44" s="80">
        <v>3</v>
      </c>
      <c r="D44" s="80" t="s">
        <v>202</v>
      </c>
      <c r="E44" s="97">
        <v>3</v>
      </c>
      <c r="F44" s="80">
        <v>210092.6667</v>
      </c>
      <c r="G44" s="98">
        <v>3.7999999999999999E-2</v>
      </c>
      <c r="H44" s="87" t="s">
        <v>209</v>
      </c>
    </row>
    <row r="45" spans="1:18" x14ac:dyDescent="0.2">
      <c r="A45" s="85" t="s">
        <v>19</v>
      </c>
      <c r="B45" s="79" t="s">
        <v>116</v>
      </c>
      <c r="C45" s="80">
        <v>3</v>
      </c>
      <c r="D45" s="80" t="s">
        <v>202</v>
      </c>
      <c r="E45" s="97">
        <v>3</v>
      </c>
      <c r="F45" s="80">
        <v>173710.6667</v>
      </c>
      <c r="G45" s="98">
        <v>0.04</v>
      </c>
      <c r="H45" s="87" t="s">
        <v>209</v>
      </c>
    </row>
    <row r="46" spans="1:18" x14ac:dyDescent="0.2">
      <c r="A46" s="78" t="s">
        <v>20</v>
      </c>
      <c r="B46" s="79" t="s">
        <v>117</v>
      </c>
      <c r="C46" s="80">
        <v>3</v>
      </c>
      <c r="D46" s="80" t="s">
        <v>202</v>
      </c>
      <c r="E46" s="97">
        <v>3</v>
      </c>
      <c r="F46" s="80">
        <v>153342.6667</v>
      </c>
      <c r="G46" s="98">
        <v>3.3000000000000002E-2</v>
      </c>
      <c r="H46" s="87" t="s">
        <v>209</v>
      </c>
    </row>
    <row r="47" spans="1:18" x14ac:dyDescent="0.2">
      <c r="A47" s="82" t="s">
        <v>58</v>
      </c>
      <c r="B47" s="83" t="s">
        <v>155</v>
      </c>
      <c r="C47" s="80">
        <v>3</v>
      </c>
      <c r="D47" s="80" t="s">
        <v>202</v>
      </c>
      <c r="E47" s="97">
        <v>3</v>
      </c>
      <c r="F47" s="80">
        <v>191912</v>
      </c>
      <c r="G47" s="98">
        <v>2.5999999999999999E-2</v>
      </c>
      <c r="H47" s="87" t="s">
        <v>209</v>
      </c>
    </row>
    <row r="48" spans="1:18" x14ac:dyDescent="0.2">
      <c r="A48" s="82" t="s">
        <v>25</v>
      </c>
      <c r="B48" s="83" t="s">
        <v>122</v>
      </c>
      <c r="C48" s="80">
        <v>3</v>
      </c>
      <c r="D48" s="80" t="s">
        <v>202</v>
      </c>
      <c r="E48" s="97">
        <v>3</v>
      </c>
      <c r="F48" s="80">
        <v>120956</v>
      </c>
      <c r="G48" s="98">
        <v>2.5999999999999999E-2</v>
      </c>
      <c r="H48" s="87" t="s">
        <v>209</v>
      </c>
    </row>
    <row r="49" spans="1:8" x14ac:dyDescent="0.2">
      <c r="A49" s="82" t="s">
        <v>26</v>
      </c>
      <c r="B49" s="83" t="s">
        <v>123</v>
      </c>
      <c r="C49" s="80">
        <v>2</v>
      </c>
      <c r="D49" s="80" t="s">
        <v>202</v>
      </c>
      <c r="E49" s="97">
        <v>3</v>
      </c>
      <c r="F49" s="80">
        <v>220811</v>
      </c>
      <c r="G49" s="98">
        <v>2.1999999999999999E-2</v>
      </c>
      <c r="H49" s="87" t="s">
        <v>209</v>
      </c>
    </row>
    <row r="50" spans="1:8" x14ac:dyDescent="0.2">
      <c r="A50" s="82" t="s">
        <v>27</v>
      </c>
      <c r="B50" s="83" t="s">
        <v>124</v>
      </c>
      <c r="C50" s="80">
        <v>2</v>
      </c>
      <c r="D50" s="80" t="s">
        <v>202</v>
      </c>
      <c r="E50" s="97">
        <v>3</v>
      </c>
      <c r="F50" s="80">
        <v>150243</v>
      </c>
      <c r="G50" s="98">
        <v>3.1E-2</v>
      </c>
      <c r="H50" s="87" t="s">
        <v>209</v>
      </c>
    </row>
    <row r="51" spans="1:8" x14ac:dyDescent="0.2">
      <c r="A51" s="82" t="s">
        <v>60</v>
      </c>
      <c r="B51" s="83" t="s">
        <v>157</v>
      </c>
      <c r="C51" s="80">
        <v>2</v>
      </c>
      <c r="D51" s="80"/>
      <c r="E51" s="97"/>
      <c r="F51" s="80">
        <v>74679.333329999994</v>
      </c>
      <c r="G51" s="98">
        <v>2.3E-2</v>
      </c>
      <c r="H51" s="87" t="s">
        <v>209</v>
      </c>
    </row>
    <row r="52" spans="1:8" x14ac:dyDescent="0.2">
      <c r="A52" s="78" t="s">
        <v>84</v>
      </c>
      <c r="B52" s="79" t="s">
        <v>181</v>
      </c>
      <c r="C52" s="80">
        <v>4</v>
      </c>
      <c r="D52" s="80" t="s">
        <v>202</v>
      </c>
      <c r="E52" s="97">
        <v>3</v>
      </c>
      <c r="F52" s="80">
        <v>227863</v>
      </c>
      <c r="G52" s="98">
        <v>4.3999999999999997E-2</v>
      </c>
      <c r="H52" s="88" t="s">
        <v>210</v>
      </c>
    </row>
    <row r="53" spans="1:8" x14ac:dyDescent="0.2">
      <c r="A53" s="78" t="s">
        <v>66</v>
      </c>
      <c r="B53" s="79" t="s">
        <v>163</v>
      </c>
      <c r="C53" s="80">
        <v>5</v>
      </c>
      <c r="D53" s="80" t="s">
        <v>353</v>
      </c>
      <c r="E53" s="97">
        <v>4</v>
      </c>
      <c r="F53" s="80">
        <v>915786.33330000006</v>
      </c>
      <c r="G53" s="98">
        <v>8.6999999999999994E-2</v>
      </c>
      <c r="H53" s="88" t="s">
        <v>210</v>
      </c>
    </row>
    <row r="54" spans="1:8" x14ac:dyDescent="0.2">
      <c r="A54" s="78" t="s">
        <v>67</v>
      </c>
      <c r="B54" s="79" t="s">
        <v>164</v>
      </c>
      <c r="C54" s="80">
        <v>4</v>
      </c>
      <c r="D54" s="80" t="s">
        <v>353</v>
      </c>
      <c r="E54" s="97">
        <v>4</v>
      </c>
      <c r="F54" s="80">
        <v>741700.66669999994</v>
      </c>
      <c r="G54" s="98">
        <v>7.4999999999999997E-2</v>
      </c>
      <c r="H54" s="88" t="s">
        <v>210</v>
      </c>
    </row>
    <row r="55" spans="1:8" x14ac:dyDescent="0.2">
      <c r="A55" s="78" t="s">
        <v>68</v>
      </c>
      <c r="B55" s="79" t="s">
        <v>165</v>
      </c>
      <c r="C55" s="80">
        <v>4</v>
      </c>
      <c r="D55" s="80" t="s">
        <v>353</v>
      </c>
      <c r="E55" s="97">
        <v>4</v>
      </c>
      <c r="F55" s="80">
        <v>568537.33330000006</v>
      </c>
      <c r="G55" s="98">
        <v>8.1000000000000003E-2</v>
      </c>
      <c r="H55" s="88" t="s">
        <v>210</v>
      </c>
    </row>
    <row r="56" spans="1:8" x14ac:dyDescent="0.2">
      <c r="A56" s="78" t="s">
        <v>69</v>
      </c>
      <c r="B56" s="79" t="s">
        <v>166</v>
      </c>
      <c r="C56" s="80">
        <v>4</v>
      </c>
      <c r="D56" s="80" t="s">
        <v>353</v>
      </c>
      <c r="E56" s="97">
        <v>2</v>
      </c>
      <c r="F56" s="80">
        <v>488082.3333</v>
      </c>
      <c r="G56" s="98">
        <v>6.8000000000000005E-2</v>
      </c>
      <c r="H56" s="88" t="s">
        <v>210</v>
      </c>
    </row>
    <row r="57" spans="1:8" x14ac:dyDescent="0.2">
      <c r="A57" s="78" t="s">
        <v>70</v>
      </c>
      <c r="B57" s="90" t="s">
        <v>167</v>
      </c>
      <c r="C57" s="80">
        <v>4</v>
      </c>
      <c r="D57" s="80" t="s">
        <v>353</v>
      </c>
      <c r="E57" s="97">
        <v>2</v>
      </c>
      <c r="F57" s="80">
        <v>666719.33330000006</v>
      </c>
      <c r="G57" s="98">
        <v>0.10199999999999999</v>
      </c>
      <c r="H57" s="88" t="s">
        <v>210</v>
      </c>
    </row>
    <row r="58" spans="1:8" x14ac:dyDescent="0.2">
      <c r="A58" s="78" t="s">
        <v>71</v>
      </c>
      <c r="B58" s="79" t="s">
        <v>168</v>
      </c>
      <c r="C58" s="80">
        <v>3</v>
      </c>
      <c r="D58" s="80" t="s">
        <v>353</v>
      </c>
      <c r="E58" s="97">
        <v>2</v>
      </c>
      <c r="F58" s="80">
        <v>556227</v>
      </c>
      <c r="G58" s="98">
        <v>7.5999999999999998E-2</v>
      </c>
      <c r="H58" s="88" t="s">
        <v>210</v>
      </c>
    </row>
    <row r="59" spans="1:8" x14ac:dyDescent="0.2">
      <c r="A59" s="78" t="s">
        <v>40</v>
      </c>
      <c r="B59" s="90" t="s">
        <v>137</v>
      </c>
      <c r="C59" s="80">
        <v>2</v>
      </c>
      <c r="D59" s="80" t="s">
        <v>353</v>
      </c>
      <c r="E59" s="97">
        <v>4</v>
      </c>
      <c r="F59" s="80">
        <v>323018</v>
      </c>
      <c r="G59" s="98">
        <v>0.04</v>
      </c>
      <c r="H59" s="88" t="s">
        <v>210</v>
      </c>
    </row>
    <row r="60" spans="1:8" x14ac:dyDescent="0.2">
      <c r="A60" s="78" t="s">
        <v>72</v>
      </c>
      <c r="B60" s="90" t="s">
        <v>169</v>
      </c>
      <c r="C60" s="80">
        <v>2</v>
      </c>
      <c r="D60" s="80" t="s">
        <v>353</v>
      </c>
      <c r="E60" s="97">
        <v>2</v>
      </c>
      <c r="F60" s="80">
        <v>322968.6667</v>
      </c>
      <c r="G60" s="98">
        <v>3.5000000000000003E-2</v>
      </c>
      <c r="H60" s="88" t="s">
        <v>210</v>
      </c>
    </row>
    <row r="61" spans="1:8" x14ac:dyDescent="0.2">
      <c r="A61" s="78" t="s">
        <v>73</v>
      </c>
      <c r="B61" s="79" t="s">
        <v>170</v>
      </c>
      <c r="C61" s="80">
        <v>4</v>
      </c>
      <c r="D61" s="80" t="s">
        <v>353</v>
      </c>
      <c r="E61" s="97">
        <v>2</v>
      </c>
      <c r="F61" s="80">
        <v>951798.66669999994</v>
      </c>
      <c r="G61" s="98">
        <v>0.10100000000000001</v>
      </c>
      <c r="H61" s="88" t="s">
        <v>210</v>
      </c>
    </row>
    <row r="62" spans="1:8" x14ac:dyDescent="0.2">
      <c r="A62" s="78" t="s">
        <v>74</v>
      </c>
      <c r="B62" s="79" t="s">
        <v>171</v>
      </c>
      <c r="C62" s="80">
        <v>3</v>
      </c>
      <c r="D62" s="80" t="s">
        <v>353</v>
      </c>
      <c r="E62" s="97">
        <v>2</v>
      </c>
      <c r="F62" s="80">
        <v>314859.3333</v>
      </c>
      <c r="G62" s="98">
        <v>4.4999999999999998E-2</v>
      </c>
      <c r="H62" s="88" t="s">
        <v>210</v>
      </c>
    </row>
    <row r="63" spans="1:8" x14ac:dyDescent="0.2">
      <c r="A63" s="78" t="s">
        <v>75</v>
      </c>
      <c r="B63" s="79" t="s">
        <v>172</v>
      </c>
      <c r="C63" s="80">
        <v>3</v>
      </c>
      <c r="D63" s="80" t="s">
        <v>353</v>
      </c>
      <c r="E63" s="97">
        <v>4</v>
      </c>
      <c r="F63" s="80">
        <v>311930</v>
      </c>
      <c r="G63" s="98">
        <v>0.04</v>
      </c>
      <c r="H63" s="88" t="s">
        <v>210</v>
      </c>
    </row>
    <row r="64" spans="1:8" x14ac:dyDescent="0.2">
      <c r="A64" s="78" t="s">
        <v>77</v>
      </c>
      <c r="B64" s="79" t="s">
        <v>174</v>
      </c>
      <c r="C64" s="80">
        <v>5</v>
      </c>
      <c r="D64" s="80" t="s">
        <v>353</v>
      </c>
      <c r="E64" s="97">
        <v>2</v>
      </c>
      <c r="F64" s="80">
        <v>363993.3333</v>
      </c>
      <c r="G64" s="98">
        <v>6.5000000000000002E-2</v>
      </c>
      <c r="H64" s="88" t="s">
        <v>210</v>
      </c>
    </row>
    <row r="65" spans="1:8" x14ac:dyDescent="0.2">
      <c r="A65" s="78" t="s">
        <v>78</v>
      </c>
      <c r="B65" s="79" t="s">
        <v>175</v>
      </c>
      <c r="C65" s="80">
        <v>3</v>
      </c>
      <c r="D65" s="80" t="s">
        <v>353</v>
      </c>
      <c r="E65" s="97">
        <v>2</v>
      </c>
      <c r="F65" s="80">
        <v>468081</v>
      </c>
      <c r="G65" s="98">
        <v>3.3000000000000002E-2</v>
      </c>
      <c r="H65" s="88" t="s">
        <v>210</v>
      </c>
    </row>
    <row r="66" spans="1:8" x14ac:dyDescent="0.2">
      <c r="A66" s="78" t="s">
        <v>80</v>
      </c>
      <c r="B66" s="90" t="s">
        <v>177</v>
      </c>
      <c r="C66" s="80">
        <v>2</v>
      </c>
      <c r="D66" s="80" t="s">
        <v>353</v>
      </c>
      <c r="E66" s="97">
        <v>2</v>
      </c>
      <c r="F66" s="80">
        <v>297106</v>
      </c>
      <c r="G66" s="98">
        <v>3.9E-2</v>
      </c>
      <c r="H66" s="88" t="s">
        <v>210</v>
      </c>
    </row>
    <row r="67" spans="1:8" x14ac:dyDescent="0.2">
      <c r="A67" s="78" t="s">
        <v>44</v>
      </c>
      <c r="B67" s="79" t="s">
        <v>141</v>
      </c>
      <c r="C67" s="80">
        <v>2</v>
      </c>
      <c r="D67" s="80" t="s">
        <v>353</v>
      </c>
      <c r="E67" s="97">
        <v>4</v>
      </c>
      <c r="F67" s="80">
        <v>246185.3333</v>
      </c>
      <c r="G67" s="98">
        <v>3.5999999999999997E-2</v>
      </c>
      <c r="H67" s="88" t="s">
        <v>210</v>
      </c>
    </row>
    <row r="68" spans="1:8" x14ac:dyDescent="0.2">
      <c r="A68" s="78" t="s">
        <v>81</v>
      </c>
      <c r="B68" s="79" t="s">
        <v>178</v>
      </c>
      <c r="C68" s="80">
        <v>2</v>
      </c>
      <c r="D68" s="80" t="s">
        <v>353</v>
      </c>
      <c r="E68" s="97">
        <v>2</v>
      </c>
      <c r="F68" s="80">
        <v>331503</v>
      </c>
      <c r="G68" s="98">
        <v>0.04</v>
      </c>
      <c r="H68" s="88" t="s">
        <v>210</v>
      </c>
    </row>
    <row r="69" spans="1:8" x14ac:dyDescent="0.2">
      <c r="A69" s="78" t="s">
        <v>82</v>
      </c>
      <c r="B69" s="79" t="s">
        <v>179</v>
      </c>
      <c r="C69" s="80">
        <v>4</v>
      </c>
      <c r="D69" s="80" t="s">
        <v>353</v>
      </c>
      <c r="E69" s="97">
        <v>2</v>
      </c>
      <c r="F69" s="80">
        <v>550976</v>
      </c>
      <c r="G69" s="98">
        <v>7.3999999999999996E-2</v>
      </c>
      <c r="H69" s="88" t="s">
        <v>210</v>
      </c>
    </row>
    <row r="70" spans="1:8" x14ac:dyDescent="0.2">
      <c r="A70" s="85" t="s">
        <v>450</v>
      </c>
      <c r="B70" s="79" t="s">
        <v>451</v>
      </c>
      <c r="C70" s="80">
        <v>5</v>
      </c>
      <c r="D70" s="80" t="s">
        <v>353</v>
      </c>
      <c r="E70" s="97">
        <v>3</v>
      </c>
      <c r="F70" s="80">
        <v>348904</v>
      </c>
      <c r="G70" s="98">
        <v>9.1999999999999998E-2</v>
      </c>
      <c r="H70" s="88" t="s">
        <v>210</v>
      </c>
    </row>
    <row r="71" spans="1:8" x14ac:dyDescent="0.2">
      <c r="A71" s="85" t="s">
        <v>83</v>
      </c>
      <c r="B71" s="79" t="s">
        <v>180</v>
      </c>
      <c r="C71" s="80">
        <v>4</v>
      </c>
      <c r="D71" s="80" t="s">
        <v>353</v>
      </c>
      <c r="E71" s="97">
        <v>3</v>
      </c>
      <c r="F71" s="80">
        <v>310686.6667</v>
      </c>
      <c r="G71" s="98">
        <v>6.4000000000000001E-2</v>
      </c>
      <c r="H71" s="88" t="s">
        <v>210</v>
      </c>
    </row>
    <row r="72" spans="1:8" x14ac:dyDescent="0.2">
      <c r="A72" s="85" t="s">
        <v>85</v>
      </c>
      <c r="B72" s="79" t="s">
        <v>182</v>
      </c>
      <c r="C72" s="80">
        <v>4</v>
      </c>
      <c r="D72" s="80" t="s">
        <v>353</v>
      </c>
      <c r="E72" s="97">
        <v>3</v>
      </c>
      <c r="F72" s="80">
        <v>363200.3333</v>
      </c>
      <c r="G72" s="98">
        <v>4.3999999999999997E-2</v>
      </c>
      <c r="H72" s="88" t="s">
        <v>210</v>
      </c>
    </row>
    <row r="73" spans="1:8" x14ac:dyDescent="0.2">
      <c r="A73" s="85" t="s">
        <v>56</v>
      </c>
      <c r="B73" s="79" t="s">
        <v>153</v>
      </c>
      <c r="C73" s="80">
        <v>2</v>
      </c>
      <c r="D73" s="80" t="s">
        <v>353</v>
      </c>
      <c r="E73" s="97">
        <v>3</v>
      </c>
      <c r="F73" s="80">
        <v>295304.6667</v>
      </c>
      <c r="G73" s="98">
        <v>2.4E-2</v>
      </c>
      <c r="H73" s="88" t="s">
        <v>210</v>
      </c>
    </row>
    <row r="74" spans="1:8" x14ac:dyDescent="0.2">
      <c r="A74" s="85" t="s">
        <v>86</v>
      </c>
      <c r="B74" s="79" t="s">
        <v>183</v>
      </c>
      <c r="C74" s="80">
        <v>3</v>
      </c>
      <c r="D74" s="80" t="s">
        <v>353</v>
      </c>
      <c r="E74" s="97">
        <v>3</v>
      </c>
      <c r="F74" s="80">
        <v>315941.6667</v>
      </c>
      <c r="G74" s="98">
        <v>4.1000000000000002E-2</v>
      </c>
      <c r="H74" s="88" t="s">
        <v>210</v>
      </c>
    </row>
    <row r="75" spans="1:8" x14ac:dyDescent="0.2">
      <c r="A75" s="86" t="s">
        <v>57</v>
      </c>
      <c r="B75" s="83" t="s">
        <v>154</v>
      </c>
      <c r="C75" s="80">
        <v>3</v>
      </c>
      <c r="D75" s="80" t="s">
        <v>353</v>
      </c>
      <c r="E75" s="97">
        <v>3</v>
      </c>
      <c r="F75" s="80">
        <v>185956.3333</v>
      </c>
      <c r="G75" s="98">
        <v>4.1000000000000002E-2</v>
      </c>
      <c r="H75" s="88" t="s">
        <v>210</v>
      </c>
    </row>
    <row r="76" spans="1:8" x14ac:dyDescent="0.2">
      <c r="A76" s="86" t="s">
        <v>87</v>
      </c>
      <c r="B76" s="83" t="s">
        <v>184</v>
      </c>
      <c r="C76" s="80">
        <v>4</v>
      </c>
      <c r="D76" s="80" t="s">
        <v>353</v>
      </c>
      <c r="E76" s="97">
        <v>3</v>
      </c>
      <c r="F76" s="80">
        <v>848794</v>
      </c>
      <c r="G76" s="98">
        <v>9.1999999999999998E-2</v>
      </c>
      <c r="H76" s="88" t="s">
        <v>210</v>
      </c>
    </row>
    <row r="77" spans="1:8" x14ac:dyDescent="0.2">
      <c r="A77" s="86" t="s">
        <v>88</v>
      </c>
      <c r="B77" s="83" t="s">
        <v>185</v>
      </c>
      <c r="C77" s="80">
        <v>4</v>
      </c>
      <c r="D77" s="80" t="s">
        <v>353</v>
      </c>
      <c r="E77" s="97">
        <v>3</v>
      </c>
      <c r="F77" s="80">
        <v>503799.3333</v>
      </c>
      <c r="G77" s="98">
        <v>6.2E-2</v>
      </c>
      <c r="H77" s="88" t="s">
        <v>210</v>
      </c>
    </row>
    <row r="78" spans="1:8" x14ac:dyDescent="0.2">
      <c r="A78" s="86" t="s">
        <v>59</v>
      </c>
      <c r="B78" s="83" t="s">
        <v>156</v>
      </c>
      <c r="C78" s="80">
        <v>3</v>
      </c>
      <c r="D78" s="80" t="s">
        <v>353</v>
      </c>
      <c r="E78" s="97">
        <v>3</v>
      </c>
      <c r="F78" s="80">
        <v>250966.6667</v>
      </c>
      <c r="G78" s="98">
        <v>0.06</v>
      </c>
      <c r="H78" s="88" t="s">
        <v>210</v>
      </c>
    </row>
    <row r="79" spans="1:8" x14ac:dyDescent="0.2">
      <c r="A79" s="86" t="s">
        <v>91</v>
      </c>
      <c r="B79" s="83" t="s">
        <v>188</v>
      </c>
      <c r="C79" s="80" t="e">
        <v>#N/A</v>
      </c>
      <c r="D79" s="80" t="e">
        <v>#N/A</v>
      </c>
      <c r="E79" s="97" t="e">
        <v>#N/A</v>
      </c>
      <c r="F79" s="80">
        <v>41234.666669999999</v>
      </c>
      <c r="G79" s="98">
        <v>3.9E-2</v>
      </c>
      <c r="H79" s="88" t="s">
        <v>210</v>
      </c>
    </row>
  </sheetData>
  <autoFilter ref="K1:R39" xr:uid="{00000000-0009-0000-0000-00000D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Y479"/>
  <sheetViews>
    <sheetView workbookViewId="0"/>
  </sheetViews>
  <sheetFormatPr baseColWidth="10" defaultColWidth="12.5703125" defaultRowHeight="15.75" customHeight="1" x14ac:dyDescent="0.2"/>
  <sheetData>
    <row r="1" spans="1:51" x14ac:dyDescent="0.2">
      <c r="A1" s="65">
        <v>1</v>
      </c>
      <c r="B1" s="65">
        <v>2</v>
      </c>
      <c r="C1" s="65">
        <v>3</v>
      </c>
      <c r="D1" s="65">
        <v>4</v>
      </c>
      <c r="E1" s="65">
        <v>5</v>
      </c>
      <c r="F1" s="65">
        <v>6</v>
      </c>
      <c r="G1" s="65">
        <v>7</v>
      </c>
      <c r="H1" s="65">
        <v>8</v>
      </c>
      <c r="I1" s="65">
        <v>9</v>
      </c>
      <c r="J1" s="65">
        <v>10</v>
      </c>
      <c r="K1" s="65">
        <v>11</v>
      </c>
      <c r="L1" s="65">
        <v>12</v>
      </c>
      <c r="M1" s="65">
        <v>13</v>
      </c>
      <c r="N1" s="65">
        <v>14</v>
      </c>
      <c r="O1" s="65">
        <v>15</v>
      </c>
      <c r="P1" s="65">
        <v>16</v>
      </c>
      <c r="Q1" s="65">
        <v>17</v>
      </c>
      <c r="R1" s="65">
        <v>18</v>
      </c>
      <c r="S1" s="65">
        <v>19</v>
      </c>
      <c r="T1" s="65">
        <v>20</v>
      </c>
      <c r="U1" s="65">
        <v>21</v>
      </c>
      <c r="V1" s="65">
        <v>22</v>
      </c>
      <c r="W1" s="65">
        <v>23</v>
      </c>
      <c r="X1" s="65">
        <v>24</v>
      </c>
      <c r="Y1" s="65">
        <v>25</v>
      </c>
      <c r="Z1" s="65">
        <v>26</v>
      </c>
      <c r="AA1" s="65">
        <v>27</v>
      </c>
      <c r="AB1" s="65">
        <v>28</v>
      </c>
      <c r="AC1" s="65">
        <v>29</v>
      </c>
      <c r="AD1" s="65">
        <v>30</v>
      </c>
      <c r="AE1" s="65">
        <v>31</v>
      </c>
      <c r="AF1" s="65">
        <v>32</v>
      </c>
      <c r="AG1" s="65">
        <v>33</v>
      </c>
      <c r="AH1" s="65">
        <v>34</v>
      </c>
      <c r="AI1" s="65">
        <v>35</v>
      </c>
      <c r="AJ1" s="65">
        <v>36</v>
      </c>
      <c r="AK1" s="65">
        <v>37</v>
      </c>
      <c r="AL1" s="65">
        <v>38</v>
      </c>
      <c r="AM1" s="65">
        <v>39</v>
      </c>
      <c r="AN1" s="65">
        <v>40</v>
      </c>
      <c r="AO1" s="65">
        <v>41</v>
      </c>
      <c r="AP1" s="65">
        <v>42</v>
      </c>
      <c r="AQ1" s="65">
        <v>43</v>
      </c>
      <c r="AR1" s="65">
        <v>44</v>
      </c>
      <c r="AS1" s="65">
        <v>45</v>
      </c>
      <c r="AT1" s="65">
        <v>46</v>
      </c>
      <c r="AU1" s="65">
        <v>47</v>
      </c>
      <c r="AV1" s="65">
        <v>48</v>
      </c>
      <c r="AW1" s="65">
        <v>49</v>
      </c>
      <c r="AX1" s="65">
        <v>50</v>
      </c>
      <c r="AY1" s="65">
        <v>51</v>
      </c>
    </row>
    <row r="2" spans="1:51" x14ac:dyDescent="0.2">
      <c r="A2" s="65" t="s">
        <v>1374</v>
      </c>
      <c r="B2" s="65" t="s">
        <v>345</v>
      </c>
      <c r="C2" s="65" t="s">
        <v>346</v>
      </c>
      <c r="D2" s="65" t="s">
        <v>1375</v>
      </c>
      <c r="E2" s="65" t="s">
        <v>1376</v>
      </c>
      <c r="F2" s="65" t="s">
        <v>1377</v>
      </c>
      <c r="G2" s="65" t="s">
        <v>1378</v>
      </c>
      <c r="H2" s="65" t="s">
        <v>1379</v>
      </c>
      <c r="I2" s="65" t="s">
        <v>1380</v>
      </c>
      <c r="J2" s="65" t="s">
        <v>1381</v>
      </c>
      <c r="K2" s="65" t="s">
        <v>1382</v>
      </c>
      <c r="L2" s="65" t="s">
        <v>1383</v>
      </c>
      <c r="M2" s="65" t="s">
        <v>357</v>
      </c>
      <c r="N2" s="65" t="s">
        <v>1384</v>
      </c>
      <c r="O2" s="65" t="s">
        <v>1385</v>
      </c>
      <c r="P2" s="65" t="s">
        <v>1386</v>
      </c>
      <c r="Q2" s="65" t="s">
        <v>1387</v>
      </c>
      <c r="R2" s="65" t="s">
        <v>1388</v>
      </c>
      <c r="S2" s="65" t="s">
        <v>1389</v>
      </c>
      <c r="T2" s="65" t="s">
        <v>1390</v>
      </c>
      <c r="U2" s="65" t="s">
        <v>1391</v>
      </c>
      <c r="V2" s="65" t="s">
        <v>1392</v>
      </c>
      <c r="W2" s="65" t="s">
        <v>1393</v>
      </c>
      <c r="X2" s="65" t="s">
        <v>1394</v>
      </c>
      <c r="Y2" s="65" t="s">
        <v>1395</v>
      </c>
      <c r="Z2" s="65" t="s">
        <v>1396</v>
      </c>
      <c r="AA2" s="65" t="s">
        <v>1397</v>
      </c>
      <c r="AB2" s="65" t="s">
        <v>349</v>
      </c>
      <c r="AC2" s="65" t="s">
        <v>350</v>
      </c>
      <c r="AD2" s="65" t="s">
        <v>351</v>
      </c>
      <c r="AE2" s="65" t="s">
        <v>1398</v>
      </c>
      <c r="AF2" s="65" t="s">
        <v>1399</v>
      </c>
      <c r="AG2" s="65" t="s">
        <v>1400</v>
      </c>
      <c r="AH2" s="65" t="s">
        <v>1401</v>
      </c>
      <c r="AI2" s="65" t="s">
        <v>1402</v>
      </c>
      <c r="AJ2" s="65" t="s">
        <v>1403</v>
      </c>
      <c r="AK2" s="65" t="s">
        <v>1404</v>
      </c>
      <c r="AL2" s="65" t="s">
        <v>453</v>
      </c>
      <c r="AM2" s="65" t="s">
        <v>1405</v>
      </c>
      <c r="AN2" s="65" t="s">
        <v>1406</v>
      </c>
      <c r="AO2" s="65" t="s">
        <v>1407</v>
      </c>
      <c r="AP2" s="127" t="s">
        <v>452</v>
      </c>
      <c r="AQ2" s="65" t="s">
        <v>348</v>
      </c>
      <c r="AR2" s="65" t="s">
        <v>1408</v>
      </c>
      <c r="AS2" s="65" t="s">
        <v>1409</v>
      </c>
      <c r="AT2" s="65" t="s">
        <v>1410</v>
      </c>
      <c r="AU2" s="65" t="s">
        <v>1411</v>
      </c>
      <c r="AV2" s="65" t="s">
        <v>356</v>
      </c>
      <c r="AW2" s="127" t="s">
        <v>347</v>
      </c>
      <c r="AX2" s="65" t="s">
        <v>1412</v>
      </c>
      <c r="AY2" s="65" t="s">
        <v>1413</v>
      </c>
    </row>
    <row r="3" spans="1:51" x14ac:dyDescent="0.2">
      <c r="A3" s="65" t="s">
        <v>1313</v>
      </c>
      <c r="B3" s="65" t="s">
        <v>778</v>
      </c>
      <c r="C3" s="65" t="s">
        <v>779</v>
      </c>
      <c r="D3" s="65" t="s">
        <v>1414</v>
      </c>
      <c r="E3" s="65" t="s">
        <v>353</v>
      </c>
      <c r="F3" s="65" t="s">
        <v>1415</v>
      </c>
      <c r="G3" s="65" t="s">
        <v>1416</v>
      </c>
      <c r="H3" s="65" t="s">
        <v>1417</v>
      </c>
      <c r="I3" s="65" t="s">
        <v>1418</v>
      </c>
      <c r="J3" s="65">
        <v>3144341774</v>
      </c>
      <c r="K3" s="65" t="s">
        <v>1419</v>
      </c>
      <c r="L3" s="65" t="s">
        <v>1420</v>
      </c>
      <c r="M3" s="65" t="s">
        <v>365</v>
      </c>
      <c r="N3" s="65" t="s">
        <v>1421</v>
      </c>
      <c r="O3" s="65" t="s">
        <v>1422</v>
      </c>
      <c r="P3" s="65" t="s">
        <v>1423</v>
      </c>
      <c r="Q3" s="65" t="s">
        <v>1424</v>
      </c>
      <c r="R3" s="65" t="s">
        <v>1425</v>
      </c>
      <c r="S3" s="65" t="s">
        <v>1426</v>
      </c>
      <c r="T3" s="65" t="s">
        <v>1427</v>
      </c>
      <c r="U3" s="65" t="s">
        <v>1428</v>
      </c>
      <c r="V3" s="65" t="s">
        <v>1429</v>
      </c>
      <c r="W3" s="65" t="s">
        <v>1430</v>
      </c>
      <c r="X3" s="65" t="s">
        <v>1431</v>
      </c>
      <c r="Y3" s="65" t="s">
        <v>1432</v>
      </c>
      <c r="Z3" s="65" t="s">
        <v>1313</v>
      </c>
      <c r="AA3" s="65" t="s">
        <v>1433</v>
      </c>
      <c r="AB3" s="65">
        <v>3</v>
      </c>
      <c r="AC3" s="65" t="s">
        <v>1434</v>
      </c>
      <c r="AD3" s="65" t="s">
        <v>1435</v>
      </c>
      <c r="AE3" s="65" t="s">
        <v>1436</v>
      </c>
      <c r="AF3" s="65" t="s">
        <v>1437</v>
      </c>
      <c r="AG3" s="65">
        <v>2</v>
      </c>
      <c r="AH3" s="65">
        <v>2</v>
      </c>
      <c r="AI3" s="65">
        <v>2</v>
      </c>
      <c r="AJ3" s="65">
        <v>1</v>
      </c>
      <c r="AK3" s="65" t="s">
        <v>202</v>
      </c>
      <c r="AL3" s="128">
        <v>44983</v>
      </c>
      <c r="AM3" s="65">
        <v>6</v>
      </c>
      <c r="AN3" s="65">
        <v>2</v>
      </c>
      <c r="AO3" s="65" t="s">
        <v>202</v>
      </c>
      <c r="AP3" s="65">
        <v>4</v>
      </c>
      <c r="AQ3" s="65" t="s">
        <v>352</v>
      </c>
      <c r="AR3" s="65" t="s">
        <v>202</v>
      </c>
      <c r="AS3" s="65">
        <v>1</v>
      </c>
      <c r="AT3" s="65">
        <v>1</v>
      </c>
      <c r="AU3" s="65" t="s">
        <v>1438</v>
      </c>
      <c r="AV3" s="65" t="s">
        <v>1439</v>
      </c>
      <c r="AW3" s="65" t="s">
        <v>202</v>
      </c>
      <c r="AX3" s="65" t="s">
        <v>202</v>
      </c>
      <c r="AY3" s="65" t="s">
        <v>353</v>
      </c>
    </row>
    <row r="4" spans="1:51" x14ac:dyDescent="0.2">
      <c r="A4" s="65" t="s">
        <v>1313</v>
      </c>
      <c r="B4" s="65" t="s">
        <v>473</v>
      </c>
      <c r="C4" s="65" t="s">
        <v>474</v>
      </c>
      <c r="D4" s="65" t="s">
        <v>1440</v>
      </c>
      <c r="E4" s="65" t="s">
        <v>353</v>
      </c>
      <c r="F4" s="65" t="s">
        <v>1415</v>
      </c>
      <c r="G4" s="65" t="s">
        <v>1416</v>
      </c>
      <c r="H4" s="65" t="s">
        <v>1417</v>
      </c>
      <c r="I4" s="65" t="s">
        <v>1418</v>
      </c>
      <c r="J4" s="65">
        <v>3144341774</v>
      </c>
      <c r="K4" s="65" t="s">
        <v>1419</v>
      </c>
      <c r="L4" s="65" t="s">
        <v>1420</v>
      </c>
      <c r="M4" s="65" t="s">
        <v>365</v>
      </c>
      <c r="N4" s="65" t="s">
        <v>1421</v>
      </c>
      <c r="O4" s="65" t="s">
        <v>1422</v>
      </c>
      <c r="P4" s="65" t="s">
        <v>1423</v>
      </c>
      <c r="Q4" s="65" t="s">
        <v>1424</v>
      </c>
      <c r="R4" s="65" t="s">
        <v>1425</v>
      </c>
      <c r="S4" s="65" t="s">
        <v>1426</v>
      </c>
      <c r="T4" s="65" t="s">
        <v>1427</v>
      </c>
      <c r="U4" s="65" t="s">
        <v>1428</v>
      </c>
      <c r="V4" s="65" t="s">
        <v>1429</v>
      </c>
      <c r="W4" s="65" t="s">
        <v>1430</v>
      </c>
      <c r="X4" s="65" t="s">
        <v>1431</v>
      </c>
      <c r="Y4" s="65" t="s">
        <v>1441</v>
      </c>
      <c r="Z4" s="65" t="s">
        <v>1313</v>
      </c>
      <c r="AA4" s="65" t="s">
        <v>1442</v>
      </c>
      <c r="AB4" s="65">
        <v>3</v>
      </c>
      <c r="AC4" s="65" t="s">
        <v>1443</v>
      </c>
      <c r="AD4" s="65" t="s">
        <v>1444</v>
      </c>
      <c r="AE4" s="65" t="s">
        <v>1445</v>
      </c>
      <c r="AF4" s="65" t="s">
        <v>1446</v>
      </c>
      <c r="AG4" s="65">
        <v>1</v>
      </c>
      <c r="AH4" s="65">
        <v>0</v>
      </c>
      <c r="AI4" s="65">
        <v>2</v>
      </c>
      <c r="AJ4" s="65">
        <v>1</v>
      </c>
      <c r="AK4" s="65" t="s">
        <v>202</v>
      </c>
      <c r="AL4" s="128">
        <v>45000</v>
      </c>
      <c r="AM4" s="65">
        <v>4</v>
      </c>
      <c r="AN4" s="65">
        <v>1</v>
      </c>
      <c r="AO4" s="65" t="s">
        <v>202</v>
      </c>
      <c r="AP4" s="65">
        <v>1</v>
      </c>
      <c r="AQ4" s="65" t="s">
        <v>352</v>
      </c>
      <c r="AR4" s="65" t="s">
        <v>202</v>
      </c>
      <c r="AS4" s="65">
        <v>1</v>
      </c>
      <c r="AT4" s="65">
        <v>1</v>
      </c>
      <c r="AU4" s="65" t="s">
        <v>1438</v>
      </c>
      <c r="AV4" s="65" t="s">
        <v>1439</v>
      </c>
      <c r="AW4" s="65" t="s">
        <v>202</v>
      </c>
      <c r="AX4" s="65" t="s">
        <v>202</v>
      </c>
      <c r="AY4" s="65" t="s">
        <v>353</v>
      </c>
    </row>
    <row r="5" spans="1:51" x14ac:dyDescent="0.2">
      <c r="A5" s="65" t="s">
        <v>1313</v>
      </c>
      <c r="B5" s="65" t="s">
        <v>475</v>
      </c>
      <c r="C5" s="65" t="s">
        <v>476</v>
      </c>
      <c r="D5" s="65" t="s">
        <v>1447</v>
      </c>
      <c r="E5" s="65" t="s">
        <v>353</v>
      </c>
      <c r="F5" s="65" t="s">
        <v>1415</v>
      </c>
      <c r="G5" s="65" t="s">
        <v>1416</v>
      </c>
      <c r="H5" s="65" t="s">
        <v>1417</v>
      </c>
      <c r="I5" s="65" t="s">
        <v>1418</v>
      </c>
      <c r="J5" s="65">
        <v>3144341774</v>
      </c>
      <c r="K5" s="65" t="s">
        <v>1419</v>
      </c>
      <c r="L5" s="65" t="s">
        <v>1420</v>
      </c>
      <c r="M5" s="65" t="s">
        <v>365</v>
      </c>
      <c r="N5" s="65" t="s">
        <v>1421</v>
      </c>
      <c r="O5" s="65" t="s">
        <v>1422</v>
      </c>
      <c r="P5" s="65" t="s">
        <v>1423</v>
      </c>
      <c r="Q5" s="65" t="s">
        <v>1424</v>
      </c>
      <c r="R5" s="65" t="s">
        <v>1425</v>
      </c>
      <c r="S5" s="65" t="s">
        <v>1426</v>
      </c>
      <c r="T5" s="65" t="s">
        <v>1427</v>
      </c>
      <c r="U5" s="65" t="s">
        <v>1428</v>
      </c>
      <c r="V5" s="65" t="s">
        <v>1429</v>
      </c>
      <c r="W5" s="65" t="s">
        <v>1430</v>
      </c>
      <c r="X5" s="65" t="s">
        <v>1431</v>
      </c>
      <c r="Y5" s="65" t="s">
        <v>1432</v>
      </c>
      <c r="Z5" s="65" t="s">
        <v>1313</v>
      </c>
      <c r="AA5" s="65" t="s">
        <v>1448</v>
      </c>
      <c r="AB5" s="65">
        <v>2</v>
      </c>
      <c r="AC5" s="65" t="s">
        <v>1449</v>
      </c>
      <c r="AD5" s="65" t="s">
        <v>1450</v>
      </c>
      <c r="AE5" s="65" t="s">
        <v>1451</v>
      </c>
      <c r="AF5" s="65" t="s">
        <v>1437</v>
      </c>
      <c r="AG5" s="65">
        <v>1</v>
      </c>
      <c r="AH5" s="65">
        <v>0</v>
      </c>
      <c r="AI5" s="65">
        <v>2</v>
      </c>
      <c r="AJ5" s="65">
        <v>1</v>
      </c>
      <c r="AK5" s="65" t="s">
        <v>202</v>
      </c>
      <c r="AL5" s="128">
        <v>45077</v>
      </c>
      <c r="AM5" s="65">
        <v>4</v>
      </c>
      <c r="AN5" s="65">
        <v>2</v>
      </c>
      <c r="AO5" s="65" t="s">
        <v>202</v>
      </c>
      <c r="AP5" s="65">
        <v>1</v>
      </c>
      <c r="AQ5" s="65" t="s">
        <v>352</v>
      </c>
      <c r="AR5" s="65" t="s">
        <v>202</v>
      </c>
      <c r="AS5" s="65">
        <v>1</v>
      </c>
      <c r="AT5" s="65">
        <v>1</v>
      </c>
      <c r="AU5" s="65" t="s">
        <v>1438</v>
      </c>
      <c r="AV5" s="65" t="s">
        <v>1439</v>
      </c>
      <c r="AW5" s="65" t="s">
        <v>202</v>
      </c>
      <c r="AX5" s="65" t="s">
        <v>202</v>
      </c>
      <c r="AY5" s="65" t="s">
        <v>353</v>
      </c>
    </row>
    <row r="6" spans="1:51" x14ac:dyDescent="0.2">
      <c r="A6" s="65" t="s">
        <v>1313</v>
      </c>
      <c r="B6" s="65" t="s">
        <v>487</v>
      </c>
      <c r="C6" s="65" t="s">
        <v>488</v>
      </c>
      <c r="D6" s="65" t="s">
        <v>1452</v>
      </c>
      <c r="E6" s="65" t="s">
        <v>353</v>
      </c>
      <c r="F6" s="65" t="s">
        <v>1415</v>
      </c>
      <c r="G6" s="65" t="s">
        <v>1416</v>
      </c>
      <c r="H6" s="65" t="s">
        <v>1417</v>
      </c>
      <c r="I6" s="65" t="s">
        <v>1418</v>
      </c>
      <c r="J6" s="65">
        <v>3144341774</v>
      </c>
      <c r="K6" s="65" t="s">
        <v>1419</v>
      </c>
      <c r="L6" s="65" t="s">
        <v>1420</v>
      </c>
      <c r="M6" s="65" t="s">
        <v>365</v>
      </c>
      <c r="N6" s="65" t="s">
        <v>1421</v>
      </c>
      <c r="O6" s="65" t="s">
        <v>1422</v>
      </c>
      <c r="P6" s="65" t="s">
        <v>1423</v>
      </c>
      <c r="Q6" s="65" t="s">
        <v>1424</v>
      </c>
      <c r="R6" s="65" t="s">
        <v>1425</v>
      </c>
      <c r="S6" s="65" t="s">
        <v>1426</v>
      </c>
      <c r="T6" s="65" t="s">
        <v>1427</v>
      </c>
      <c r="U6" s="65" t="s">
        <v>1428</v>
      </c>
      <c r="V6" s="65" t="s">
        <v>1429</v>
      </c>
      <c r="W6" s="65" t="s">
        <v>1430</v>
      </c>
      <c r="X6" s="65" t="s">
        <v>1431</v>
      </c>
      <c r="Y6" s="65" t="s">
        <v>1453</v>
      </c>
      <c r="Z6" s="65" t="s">
        <v>1313</v>
      </c>
      <c r="AA6" s="65" t="s">
        <v>1454</v>
      </c>
      <c r="AB6" s="65">
        <v>4</v>
      </c>
      <c r="AC6" s="65" t="s">
        <v>1443</v>
      </c>
      <c r="AD6" s="65" t="s">
        <v>1449</v>
      </c>
      <c r="AE6" s="65" t="s">
        <v>1455</v>
      </c>
      <c r="AF6" s="65" t="s">
        <v>1446</v>
      </c>
      <c r="AG6" s="65">
        <v>0</v>
      </c>
      <c r="AH6" s="65">
        <v>0</v>
      </c>
      <c r="AI6" s="65">
        <v>2</v>
      </c>
      <c r="AJ6" s="65">
        <v>1</v>
      </c>
      <c r="AK6" s="65" t="s">
        <v>202</v>
      </c>
      <c r="AL6" s="128">
        <v>45002</v>
      </c>
      <c r="AM6" s="65">
        <v>4</v>
      </c>
      <c r="AN6" s="65">
        <v>1</v>
      </c>
      <c r="AO6" s="65" t="s">
        <v>202</v>
      </c>
      <c r="AP6" s="65">
        <v>1</v>
      </c>
      <c r="AQ6" s="65" t="s">
        <v>355</v>
      </c>
      <c r="AR6" s="65" t="s">
        <v>202</v>
      </c>
      <c r="AS6" s="65">
        <v>1</v>
      </c>
      <c r="AT6" s="65">
        <v>1</v>
      </c>
      <c r="AU6" s="65" t="s">
        <v>1438</v>
      </c>
      <c r="AV6" s="65" t="s">
        <v>198</v>
      </c>
      <c r="AW6" s="65" t="s">
        <v>202</v>
      </c>
      <c r="AX6" s="65" t="s">
        <v>202</v>
      </c>
      <c r="AY6" s="65" t="s">
        <v>353</v>
      </c>
    </row>
    <row r="7" spans="1:51" x14ac:dyDescent="0.2">
      <c r="A7" s="65" t="s">
        <v>1313</v>
      </c>
      <c r="B7" s="65" t="s">
        <v>491</v>
      </c>
      <c r="C7" s="65" t="s">
        <v>492</v>
      </c>
      <c r="D7" s="65" t="s">
        <v>1456</v>
      </c>
      <c r="E7" s="65" t="s">
        <v>353</v>
      </c>
      <c r="F7" s="65" t="s">
        <v>1415</v>
      </c>
      <c r="G7" s="65" t="s">
        <v>1416</v>
      </c>
      <c r="H7" s="65" t="s">
        <v>1417</v>
      </c>
      <c r="I7" s="65" t="s">
        <v>1418</v>
      </c>
      <c r="J7" s="65">
        <v>3144341774</v>
      </c>
      <c r="K7" s="65" t="s">
        <v>1419</v>
      </c>
      <c r="L7" s="65" t="s">
        <v>1420</v>
      </c>
      <c r="M7" s="65" t="s">
        <v>365</v>
      </c>
      <c r="N7" s="65" t="s">
        <v>1421</v>
      </c>
      <c r="O7" s="65" t="s">
        <v>1422</v>
      </c>
      <c r="P7" s="65" t="s">
        <v>1423</v>
      </c>
      <c r="Q7" s="65" t="s">
        <v>1424</v>
      </c>
      <c r="R7" s="65" t="s">
        <v>1425</v>
      </c>
      <c r="S7" s="65" t="s">
        <v>1426</v>
      </c>
      <c r="T7" s="65" t="s">
        <v>1427</v>
      </c>
      <c r="U7" s="65" t="s">
        <v>1428</v>
      </c>
      <c r="V7" s="65" t="s">
        <v>1429</v>
      </c>
      <c r="W7" s="65" t="s">
        <v>1430</v>
      </c>
      <c r="X7" s="65" t="s">
        <v>1431</v>
      </c>
      <c r="Y7" s="65" t="s">
        <v>1457</v>
      </c>
      <c r="Z7" s="65" t="s">
        <v>1313</v>
      </c>
      <c r="AA7" s="65" t="s">
        <v>1458</v>
      </c>
      <c r="AB7" s="65">
        <v>3</v>
      </c>
      <c r="AC7" s="65" t="s">
        <v>1459</v>
      </c>
      <c r="AD7" s="65" t="s">
        <v>1460</v>
      </c>
      <c r="AE7" s="65" t="s">
        <v>1461</v>
      </c>
      <c r="AF7" s="65" t="s">
        <v>1437</v>
      </c>
      <c r="AG7" s="65">
        <v>3</v>
      </c>
      <c r="AH7" s="65">
        <v>0</v>
      </c>
      <c r="AI7" s="65">
        <v>2</v>
      </c>
      <c r="AJ7" s="65">
        <v>1</v>
      </c>
      <c r="AK7" s="65" t="s">
        <v>202</v>
      </c>
      <c r="AL7" s="128">
        <v>45192</v>
      </c>
      <c r="AM7" s="65">
        <v>4</v>
      </c>
      <c r="AN7" s="65">
        <v>1</v>
      </c>
      <c r="AO7" s="65" t="s">
        <v>353</v>
      </c>
      <c r="AP7" s="65">
        <v>4</v>
      </c>
      <c r="AQ7" s="65" t="s">
        <v>355</v>
      </c>
      <c r="AR7" s="65" t="s">
        <v>202</v>
      </c>
      <c r="AS7" s="65">
        <v>1</v>
      </c>
      <c r="AT7" s="65">
        <v>1</v>
      </c>
      <c r="AU7" s="65" t="s">
        <v>1438</v>
      </c>
      <c r="AV7" s="65" t="s">
        <v>1439</v>
      </c>
      <c r="AW7" s="65" t="s">
        <v>202</v>
      </c>
      <c r="AX7" s="65" t="s">
        <v>202</v>
      </c>
      <c r="AY7" s="65" t="s">
        <v>353</v>
      </c>
    </row>
    <row r="8" spans="1:51" x14ac:dyDescent="0.2">
      <c r="A8" s="65" t="s">
        <v>1313</v>
      </c>
      <c r="B8" s="65" t="s">
        <v>681</v>
      </c>
      <c r="C8" s="65" t="s">
        <v>682</v>
      </c>
      <c r="D8" s="65" t="s">
        <v>1462</v>
      </c>
      <c r="E8" s="65" t="s">
        <v>353</v>
      </c>
      <c r="F8" s="65" t="s">
        <v>1415</v>
      </c>
      <c r="G8" s="65" t="s">
        <v>1416</v>
      </c>
      <c r="H8" s="65" t="s">
        <v>1417</v>
      </c>
      <c r="I8" s="65" t="s">
        <v>1418</v>
      </c>
      <c r="J8" s="65">
        <v>3144341774</v>
      </c>
      <c r="K8" s="65" t="s">
        <v>1419</v>
      </c>
      <c r="L8" s="65" t="s">
        <v>1420</v>
      </c>
      <c r="M8" s="65" t="s">
        <v>365</v>
      </c>
      <c r="N8" s="65" t="s">
        <v>1421</v>
      </c>
      <c r="O8" s="65" t="s">
        <v>1422</v>
      </c>
      <c r="P8" s="65" t="s">
        <v>1423</v>
      </c>
      <c r="Q8" s="65" t="s">
        <v>1424</v>
      </c>
      <c r="R8" s="65" t="s">
        <v>1425</v>
      </c>
      <c r="S8" s="65" t="s">
        <v>1426</v>
      </c>
      <c r="T8" s="65" t="s">
        <v>1427</v>
      </c>
      <c r="U8" s="65" t="s">
        <v>1428</v>
      </c>
      <c r="V8" s="65" t="s">
        <v>1429</v>
      </c>
      <c r="W8" s="65" t="s">
        <v>1430</v>
      </c>
      <c r="X8" s="65" t="s">
        <v>1431</v>
      </c>
      <c r="Y8" s="65" t="s">
        <v>1432</v>
      </c>
      <c r="Z8" s="65" t="s">
        <v>1313</v>
      </c>
      <c r="AA8" s="65" t="s">
        <v>1463</v>
      </c>
      <c r="AB8" s="65">
        <v>2</v>
      </c>
      <c r="AC8" s="65" t="s">
        <v>1464</v>
      </c>
      <c r="AD8" s="65" t="s">
        <v>1465</v>
      </c>
      <c r="AE8" s="65" t="s">
        <v>1466</v>
      </c>
      <c r="AF8" s="65" t="s">
        <v>1437</v>
      </c>
      <c r="AG8" s="65">
        <v>2</v>
      </c>
      <c r="AH8" s="65">
        <v>1</v>
      </c>
      <c r="AI8" s="65">
        <v>2</v>
      </c>
      <c r="AJ8" s="65">
        <v>1</v>
      </c>
      <c r="AK8" s="65" t="s">
        <v>202</v>
      </c>
      <c r="AL8" s="128">
        <v>45351</v>
      </c>
      <c r="AM8" s="65">
        <v>6</v>
      </c>
      <c r="AN8" s="65">
        <v>2</v>
      </c>
      <c r="AO8" s="65" t="s">
        <v>202</v>
      </c>
      <c r="AP8" s="65">
        <v>2</v>
      </c>
      <c r="AQ8" s="65" t="s">
        <v>355</v>
      </c>
      <c r="AR8" s="65" t="s">
        <v>202</v>
      </c>
      <c r="AS8" s="65">
        <v>1</v>
      </c>
      <c r="AT8" s="65">
        <v>1</v>
      </c>
      <c r="AU8" s="65" t="s">
        <v>1438</v>
      </c>
      <c r="AV8" s="65" t="s">
        <v>1439</v>
      </c>
      <c r="AW8" s="65" t="s">
        <v>202</v>
      </c>
      <c r="AX8" s="65" t="s">
        <v>202</v>
      </c>
      <c r="AY8" s="65" t="s">
        <v>353</v>
      </c>
    </row>
    <row r="9" spans="1:51" x14ac:dyDescent="0.2">
      <c r="A9" s="65" t="s">
        <v>1313</v>
      </c>
      <c r="B9" s="65" t="s">
        <v>458</v>
      </c>
      <c r="C9" s="65" t="s">
        <v>459</v>
      </c>
      <c r="D9" s="65" t="s">
        <v>1467</v>
      </c>
      <c r="E9" s="65" t="s">
        <v>353</v>
      </c>
      <c r="F9" s="65" t="s">
        <v>1415</v>
      </c>
      <c r="G9" s="65" t="s">
        <v>1416</v>
      </c>
      <c r="H9" s="65" t="s">
        <v>1417</v>
      </c>
      <c r="I9" s="65" t="s">
        <v>1418</v>
      </c>
      <c r="J9" s="65">
        <v>3144341774</v>
      </c>
      <c r="K9" s="65" t="s">
        <v>1419</v>
      </c>
      <c r="L9" s="65" t="s">
        <v>1420</v>
      </c>
      <c r="M9" s="65" t="s">
        <v>365</v>
      </c>
      <c r="N9" s="65" t="s">
        <v>1421</v>
      </c>
      <c r="O9" s="65" t="s">
        <v>1422</v>
      </c>
      <c r="P9" s="65" t="s">
        <v>1423</v>
      </c>
      <c r="Q9" s="65" t="s">
        <v>1424</v>
      </c>
      <c r="R9" s="65" t="s">
        <v>1425</v>
      </c>
      <c r="S9" s="65" t="s">
        <v>1426</v>
      </c>
      <c r="T9" s="65" t="s">
        <v>1427</v>
      </c>
      <c r="U9" s="65" t="s">
        <v>1428</v>
      </c>
      <c r="V9" s="65" t="s">
        <v>1429</v>
      </c>
      <c r="W9" s="65" t="s">
        <v>1430</v>
      </c>
      <c r="X9" s="65" t="s">
        <v>1431</v>
      </c>
      <c r="Y9" s="65" t="s">
        <v>1468</v>
      </c>
      <c r="Z9" s="65" t="s">
        <v>1313</v>
      </c>
      <c r="AA9" s="65" t="s">
        <v>1469</v>
      </c>
      <c r="AB9" s="65">
        <v>4</v>
      </c>
      <c r="AC9" s="65" t="s">
        <v>1470</v>
      </c>
      <c r="AD9" s="65" t="s">
        <v>1449</v>
      </c>
      <c r="AE9" s="65" t="s">
        <v>1471</v>
      </c>
      <c r="AF9" s="65" t="s">
        <v>1437</v>
      </c>
      <c r="AG9" s="65">
        <v>1</v>
      </c>
      <c r="AH9" s="65">
        <v>0</v>
      </c>
      <c r="AI9" s="65">
        <v>2</v>
      </c>
      <c r="AJ9" s="65">
        <v>2</v>
      </c>
      <c r="AK9" s="65" t="s">
        <v>202</v>
      </c>
      <c r="AL9" s="128">
        <v>45016</v>
      </c>
      <c r="AM9" s="65">
        <v>6</v>
      </c>
      <c r="AN9" s="65">
        <v>2</v>
      </c>
      <c r="AO9" s="65" t="s">
        <v>202</v>
      </c>
      <c r="AP9" s="65">
        <v>4</v>
      </c>
      <c r="AQ9" s="65" t="s">
        <v>355</v>
      </c>
      <c r="AR9" s="65" t="s">
        <v>202</v>
      </c>
      <c r="AS9" s="65">
        <v>1</v>
      </c>
      <c r="AT9" s="65">
        <v>1</v>
      </c>
      <c r="AU9" s="65" t="s">
        <v>1438</v>
      </c>
      <c r="AV9" s="65" t="s">
        <v>198</v>
      </c>
      <c r="AW9" s="65" t="s">
        <v>202</v>
      </c>
      <c r="AX9" s="65" t="s">
        <v>202</v>
      </c>
      <c r="AY9" s="65" t="s">
        <v>353</v>
      </c>
    </row>
    <row r="10" spans="1:51" x14ac:dyDescent="0.2">
      <c r="A10" s="65" t="s">
        <v>1313</v>
      </c>
      <c r="B10" s="65" t="s">
        <v>671</v>
      </c>
      <c r="C10" s="65" t="s">
        <v>672</v>
      </c>
      <c r="D10" s="65" t="s">
        <v>1472</v>
      </c>
      <c r="E10" s="65" t="s">
        <v>353</v>
      </c>
      <c r="F10" s="65" t="s">
        <v>1415</v>
      </c>
      <c r="G10" s="65" t="s">
        <v>1416</v>
      </c>
      <c r="H10" s="65" t="s">
        <v>1417</v>
      </c>
      <c r="I10" s="65" t="s">
        <v>1418</v>
      </c>
      <c r="J10" s="65">
        <v>3144341774</v>
      </c>
      <c r="K10" s="65" t="s">
        <v>1419</v>
      </c>
      <c r="L10" s="65" t="s">
        <v>1420</v>
      </c>
      <c r="M10" s="65" t="s">
        <v>365</v>
      </c>
      <c r="N10" s="65" t="s">
        <v>1421</v>
      </c>
      <c r="O10" s="65" t="s">
        <v>1422</v>
      </c>
      <c r="P10" s="65" t="s">
        <v>1423</v>
      </c>
      <c r="Q10" s="65" t="s">
        <v>1424</v>
      </c>
      <c r="R10" s="65" t="s">
        <v>1425</v>
      </c>
      <c r="S10" s="65" t="s">
        <v>1426</v>
      </c>
      <c r="T10" s="65" t="s">
        <v>1427</v>
      </c>
      <c r="U10" s="65" t="s">
        <v>1428</v>
      </c>
      <c r="V10" s="65" t="s">
        <v>1429</v>
      </c>
      <c r="W10" s="65" t="s">
        <v>1430</v>
      </c>
      <c r="X10" s="65" t="s">
        <v>1431</v>
      </c>
      <c r="Y10" s="65" t="s">
        <v>1453</v>
      </c>
      <c r="Z10" s="65" t="s">
        <v>1313</v>
      </c>
      <c r="AA10" s="65" t="s">
        <v>1473</v>
      </c>
      <c r="AB10" s="65">
        <v>3</v>
      </c>
      <c r="AC10" s="65" t="s">
        <v>1474</v>
      </c>
      <c r="AD10" s="65" t="s">
        <v>1475</v>
      </c>
      <c r="AE10" s="65" t="s">
        <v>1476</v>
      </c>
      <c r="AF10" s="65" t="s">
        <v>1437</v>
      </c>
      <c r="AG10" s="65">
        <v>2</v>
      </c>
      <c r="AH10" s="65">
        <v>1</v>
      </c>
      <c r="AI10" s="65">
        <v>2</v>
      </c>
      <c r="AJ10" s="65">
        <v>2</v>
      </c>
      <c r="AK10" s="65" t="s">
        <v>202</v>
      </c>
      <c r="AL10" s="128">
        <v>44981</v>
      </c>
      <c r="AM10" s="65">
        <v>5</v>
      </c>
      <c r="AN10" s="65">
        <v>2</v>
      </c>
      <c r="AO10" s="65" t="s">
        <v>202</v>
      </c>
      <c r="AP10" s="65">
        <v>4</v>
      </c>
      <c r="AQ10" s="65" t="s">
        <v>355</v>
      </c>
      <c r="AR10" s="65" t="s">
        <v>202</v>
      </c>
      <c r="AS10" s="65">
        <v>1</v>
      </c>
      <c r="AT10" s="65">
        <v>1</v>
      </c>
      <c r="AU10" s="65" t="s">
        <v>1477</v>
      </c>
      <c r="AV10" s="65" t="s">
        <v>1439</v>
      </c>
      <c r="AW10" s="65" t="s">
        <v>202</v>
      </c>
      <c r="AX10" s="65" t="s">
        <v>202</v>
      </c>
      <c r="AY10" s="65" t="s">
        <v>353</v>
      </c>
    </row>
    <row r="11" spans="1:51" x14ac:dyDescent="0.2">
      <c r="A11" s="65" t="s">
        <v>1313</v>
      </c>
      <c r="B11" s="65" t="s">
        <v>673</v>
      </c>
      <c r="C11" s="65" t="s">
        <v>674</v>
      </c>
      <c r="D11" s="65" t="s">
        <v>1478</v>
      </c>
      <c r="E11" s="65" t="s">
        <v>353</v>
      </c>
      <c r="F11" s="65" t="s">
        <v>1415</v>
      </c>
      <c r="G11" s="65" t="s">
        <v>1416</v>
      </c>
      <c r="H11" s="65" t="s">
        <v>1417</v>
      </c>
      <c r="I11" s="65" t="s">
        <v>1418</v>
      </c>
      <c r="J11" s="65">
        <v>3144341774</v>
      </c>
      <c r="K11" s="65" t="s">
        <v>1419</v>
      </c>
      <c r="L11" s="65" t="s">
        <v>1420</v>
      </c>
      <c r="M11" s="65" t="s">
        <v>365</v>
      </c>
      <c r="N11" s="65" t="s">
        <v>1421</v>
      </c>
      <c r="O11" s="65" t="s">
        <v>1422</v>
      </c>
      <c r="P11" s="65" t="s">
        <v>1423</v>
      </c>
      <c r="Q11" s="65" t="s">
        <v>1424</v>
      </c>
      <c r="R11" s="65" t="s">
        <v>1425</v>
      </c>
      <c r="S11" s="65" t="s">
        <v>1426</v>
      </c>
      <c r="T11" s="65" t="s">
        <v>1427</v>
      </c>
      <c r="U11" s="65" t="s">
        <v>1428</v>
      </c>
      <c r="V11" s="65" t="s">
        <v>1429</v>
      </c>
      <c r="W11" s="65" t="s">
        <v>1430</v>
      </c>
      <c r="X11" s="65" t="s">
        <v>1431</v>
      </c>
      <c r="Y11" s="65" t="s">
        <v>1441</v>
      </c>
      <c r="Z11" s="65" t="s">
        <v>1313</v>
      </c>
      <c r="AA11" s="65" t="s">
        <v>1479</v>
      </c>
      <c r="AB11" s="65">
        <v>3</v>
      </c>
      <c r="AC11" s="65" t="s">
        <v>1480</v>
      </c>
      <c r="AD11" s="65" t="s">
        <v>1481</v>
      </c>
      <c r="AE11" s="65" t="s">
        <v>1482</v>
      </c>
      <c r="AF11" s="65" t="s">
        <v>1437</v>
      </c>
      <c r="AG11" s="65">
        <v>1</v>
      </c>
      <c r="AH11" s="65">
        <v>1</v>
      </c>
      <c r="AI11" s="65">
        <v>2</v>
      </c>
      <c r="AJ11" s="65">
        <v>2</v>
      </c>
      <c r="AK11" s="65" t="s">
        <v>202</v>
      </c>
      <c r="AL11" s="128">
        <v>45073</v>
      </c>
      <c r="AM11" s="65">
        <v>4</v>
      </c>
      <c r="AN11" s="65">
        <v>2</v>
      </c>
      <c r="AO11" s="65" t="s">
        <v>353</v>
      </c>
      <c r="AP11" s="65">
        <v>2</v>
      </c>
      <c r="AQ11" s="65" t="s">
        <v>352</v>
      </c>
      <c r="AR11" s="65" t="s">
        <v>202</v>
      </c>
      <c r="AS11" s="65">
        <v>0</v>
      </c>
      <c r="AT11" s="65">
        <v>1</v>
      </c>
      <c r="AU11" s="65" t="s">
        <v>1438</v>
      </c>
      <c r="AV11" s="65" t="s">
        <v>1439</v>
      </c>
      <c r="AW11" s="65" t="s">
        <v>202</v>
      </c>
      <c r="AX11" s="65" t="s">
        <v>202</v>
      </c>
      <c r="AY11" s="65" t="s">
        <v>353</v>
      </c>
    </row>
    <row r="12" spans="1:51" x14ac:dyDescent="0.2">
      <c r="A12" s="65" t="s">
        <v>1313</v>
      </c>
      <c r="B12" s="65" t="s">
        <v>784</v>
      </c>
      <c r="C12" s="65" t="s">
        <v>785</v>
      </c>
      <c r="D12" s="65" t="s">
        <v>1483</v>
      </c>
      <c r="E12" s="65" t="s">
        <v>353</v>
      </c>
      <c r="F12" s="65" t="s">
        <v>1415</v>
      </c>
      <c r="G12" s="65" t="s">
        <v>1416</v>
      </c>
      <c r="H12" s="65" t="s">
        <v>1417</v>
      </c>
      <c r="I12" s="65" t="s">
        <v>1418</v>
      </c>
      <c r="J12" s="65">
        <v>3144341774</v>
      </c>
      <c r="K12" s="65" t="s">
        <v>1419</v>
      </c>
      <c r="L12" s="65" t="s">
        <v>1420</v>
      </c>
      <c r="M12" s="65" t="s">
        <v>365</v>
      </c>
      <c r="N12" s="65" t="s">
        <v>1421</v>
      </c>
      <c r="O12" s="65" t="s">
        <v>1422</v>
      </c>
      <c r="P12" s="65" t="s">
        <v>1423</v>
      </c>
      <c r="Q12" s="65" t="s">
        <v>1424</v>
      </c>
      <c r="R12" s="65" t="s">
        <v>1425</v>
      </c>
      <c r="S12" s="65" t="s">
        <v>1426</v>
      </c>
      <c r="T12" s="65" t="s">
        <v>1427</v>
      </c>
      <c r="U12" s="65" t="s">
        <v>1428</v>
      </c>
      <c r="V12" s="65" t="s">
        <v>1429</v>
      </c>
      <c r="W12" s="65" t="s">
        <v>1430</v>
      </c>
      <c r="X12" s="65" t="s">
        <v>1431</v>
      </c>
      <c r="Y12" s="65" t="s">
        <v>1441</v>
      </c>
      <c r="Z12" s="65" t="s">
        <v>1313</v>
      </c>
      <c r="AA12" s="65" t="s">
        <v>1484</v>
      </c>
      <c r="AB12" s="65">
        <v>4</v>
      </c>
      <c r="AC12" s="65" t="s">
        <v>1485</v>
      </c>
      <c r="AD12" s="65" t="s">
        <v>1464</v>
      </c>
      <c r="AE12" s="65" t="s">
        <v>1486</v>
      </c>
      <c r="AF12" s="65" t="s">
        <v>1437</v>
      </c>
      <c r="AG12" s="65">
        <v>3</v>
      </c>
      <c r="AH12" s="65">
        <v>2</v>
      </c>
      <c r="AI12" s="65">
        <v>2</v>
      </c>
      <c r="AJ12" s="65">
        <v>2</v>
      </c>
      <c r="AK12" s="65" t="s">
        <v>202</v>
      </c>
      <c r="AL12" s="129">
        <v>45649</v>
      </c>
      <c r="AM12" s="65">
        <v>6</v>
      </c>
      <c r="AN12" s="65">
        <v>2</v>
      </c>
      <c r="AO12" s="65" t="s">
        <v>202</v>
      </c>
      <c r="AP12" s="65">
        <v>3</v>
      </c>
      <c r="AQ12" s="65" t="s">
        <v>354</v>
      </c>
      <c r="AR12" s="65" t="s">
        <v>353</v>
      </c>
      <c r="AS12" s="65">
        <v>1</v>
      </c>
      <c r="AT12" s="65">
        <v>1</v>
      </c>
      <c r="AU12" s="65" t="s">
        <v>1438</v>
      </c>
      <c r="AV12" s="65" t="s">
        <v>198</v>
      </c>
      <c r="AW12" s="65" t="s">
        <v>353</v>
      </c>
      <c r="AX12" s="65" t="s">
        <v>202</v>
      </c>
      <c r="AY12" s="65" t="s">
        <v>353</v>
      </c>
    </row>
    <row r="13" spans="1:51" x14ac:dyDescent="0.2">
      <c r="A13" s="65" t="s">
        <v>1313</v>
      </c>
      <c r="B13" s="65" t="s">
        <v>782</v>
      </c>
      <c r="C13" s="65" t="s">
        <v>783</v>
      </c>
      <c r="D13" s="65" t="s">
        <v>1487</v>
      </c>
      <c r="E13" s="65" t="s">
        <v>353</v>
      </c>
      <c r="F13" s="65" t="s">
        <v>1415</v>
      </c>
      <c r="G13" s="65" t="s">
        <v>1416</v>
      </c>
      <c r="H13" s="65" t="s">
        <v>1417</v>
      </c>
      <c r="I13" s="65" t="s">
        <v>1418</v>
      </c>
      <c r="J13" s="65">
        <v>3144341774</v>
      </c>
      <c r="K13" s="65" t="s">
        <v>1419</v>
      </c>
      <c r="L13" s="65" t="s">
        <v>1420</v>
      </c>
      <c r="M13" s="65" t="s">
        <v>365</v>
      </c>
      <c r="N13" s="65" t="s">
        <v>1421</v>
      </c>
      <c r="O13" s="65" t="s">
        <v>1422</v>
      </c>
      <c r="P13" s="65" t="s">
        <v>1423</v>
      </c>
      <c r="Q13" s="65" t="s">
        <v>1424</v>
      </c>
      <c r="R13" s="65" t="s">
        <v>1425</v>
      </c>
      <c r="S13" s="65" t="s">
        <v>1426</v>
      </c>
      <c r="T13" s="65" t="s">
        <v>1427</v>
      </c>
      <c r="U13" s="65" t="s">
        <v>1428</v>
      </c>
      <c r="V13" s="65" t="s">
        <v>1429</v>
      </c>
      <c r="W13" s="65" t="s">
        <v>1430</v>
      </c>
      <c r="X13" s="65" t="s">
        <v>1431</v>
      </c>
      <c r="Y13" s="65" t="s">
        <v>1441</v>
      </c>
      <c r="Z13" s="65" t="s">
        <v>1313</v>
      </c>
      <c r="AA13" s="65" t="s">
        <v>1488</v>
      </c>
      <c r="AB13" s="65">
        <v>4</v>
      </c>
      <c r="AC13" s="65" t="s">
        <v>1489</v>
      </c>
      <c r="AD13" s="65" t="s">
        <v>1490</v>
      </c>
      <c r="AE13" s="65" t="s">
        <v>1491</v>
      </c>
      <c r="AF13" s="65" t="s">
        <v>1437</v>
      </c>
      <c r="AG13" s="65">
        <v>2</v>
      </c>
      <c r="AH13" s="65">
        <v>2</v>
      </c>
      <c r="AI13" s="65">
        <v>2</v>
      </c>
      <c r="AJ13" s="65">
        <v>2</v>
      </c>
      <c r="AK13" s="65" t="s">
        <v>202</v>
      </c>
      <c r="AL13" s="128">
        <v>45377</v>
      </c>
      <c r="AM13" s="65">
        <v>6</v>
      </c>
      <c r="AN13" s="65">
        <v>2</v>
      </c>
      <c r="AO13" s="65" t="s">
        <v>202</v>
      </c>
      <c r="AP13" s="65">
        <v>1</v>
      </c>
      <c r="AQ13" s="65" t="s">
        <v>354</v>
      </c>
      <c r="AR13" s="65" t="s">
        <v>202</v>
      </c>
      <c r="AS13" s="65">
        <v>1</v>
      </c>
      <c r="AT13" s="65">
        <v>1</v>
      </c>
      <c r="AU13" s="65" t="s">
        <v>1477</v>
      </c>
      <c r="AV13" s="65" t="s">
        <v>198</v>
      </c>
      <c r="AW13" s="65" t="s">
        <v>353</v>
      </c>
      <c r="AX13" s="65" t="s">
        <v>202</v>
      </c>
      <c r="AY13" s="65" t="s">
        <v>353</v>
      </c>
    </row>
    <row r="14" spans="1:51" x14ac:dyDescent="0.2">
      <c r="A14" s="65" t="s">
        <v>1313</v>
      </c>
      <c r="B14" s="65" t="s">
        <v>467</v>
      </c>
      <c r="C14" s="65" t="s">
        <v>468</v>
      </c>
      <c r="D14" s="65" t="s">
        <v>1492</v>
      </c>
      <c r="E14" s="65" t="s">
        <v>353</v>
      </c>
      <c r="F14" s="65" t="s">
        <v>1415</v>
      </c>
      <c r="G14" s="65" t="s">
        <v>1416</v>
      </c>
      <c r="H14" s="65" t="s">
        <v>1417</v>
      </c>
      <c r="I14" s="65" t="s">
        <v>1418</v>
      </c>
      <c r="J14" s="65">
        <v>3144341774</v>
      </c>
      <c r="K14" s="65" t="s">
        <v>1419</v>
      </c>
      <c r="L14" s="65" t="s">
        <v>1420</v>
      </c>
      <c r="M14" s="65" t="s">
        <v>365</v>
      </c>
      <c r="N14" s="65" t="s">
        <v>1421</v>
      </c>
      <c r="O14" s="65" t="s">
        <v>1422</v>
      </c>
      <c r="P14" s="65" t="s">
        <v>1423</v>
      </c>
      <c r="Q14" s="65" t="s">
        <v>1424</v>
      </c>
      <c r="R14" s="65" t="s">
        <v>1425</v>
      </c>
      <c r="S14" s="65" t="s">
        <v>1426</v>
      </c>
      <c r="T14" s="65" t="s">
        <v>1427</v>
      </c>
      <c r="U14" s="65" t="s">
        <v>1428</v>
      </c>
      <c r="V14" s="65" t="s">
        <v>1429</v>
      </c>
      <c r="W14" s="65" t="s">
        <v>1430</v>
      </c>
      <c r="X14" s="65" t="s">
        <v>1431</v>
      </c>
      <c r="Y14" s="65" t="s">
        <v>1441</v>
      </c>
      <c r="Z14" s="65" t="s">
        <v>1313</v>
      </c>
      <c r="AA14" s="65" t="s">
        <v>1493</v>
      </c>
      <c r="AB14" s="65">
        <v>4</v>
      </c>
      <c r="AC14" s="65" t="s">
        <v>1494</v>
      </c>
      <c r="AD14" s="65" t="s">
        <v>1495</v>
      </c>
      <c r="AE14" s="65" t="s">
        <v>1496</v>
      </c>
      <c r="AF14" s="65" t="s">
        <v>1437</v>
      </c>
      <c r="AG14" s="65">
        <v>2</v>
      </c>
      <c r="AH14" s="65">
        <v>0</v>
      </c>
      <c r="AI14" s="65">
        <v>2</v>
      </c>
      <c r="AJ14" s="65">
        <v>2</v>
      </c>
      <c r="AK14" s="65" t="s">
        <v>202</v>
      </c>
      <c r="AL14" s="128">
        <v>45022</v>
      </c>
      <c r="AM14" s="65">
        <v>4</v>
      </c>
      <c r="AN14" s="65">
        <v>1</v>
      </c>
      <c r="AO14" s="65" t="s">
        <v>202</v>
      </c>
      <c r="AP14" s="65">
        <v>1</v>
      </c>
      <c r="AQ14" s="65" t="s">
        <v>354</v>
      </c>
      <c r="AR14" s="65" t="s">
        <v>202</v>
      </c>
      <c r="AS14" s="65">
        <v>1</v>
      </c>
      <c r="AT14" s="65">
        <v>1</v>
      </c>
      <c r="AU14" s="65" t="s">
        <v>1438</v>
      </c>
      <c r="AV14" s="65" t="s">
        <v>198</v>
      </c>
      <c r="AW14" s="65" t="s">
        <v>353</v>
      </c>
      <c r="AX14" s="65" t="s">
        <v>202</v>
      </c>
      <c r="AY14" s="65" t="s">
        <v>353</v>
      </c>
    </row>
    <row r="15" spans="1:51" x14ac:dyDescent="0.2">
      <c r="A15" s="65" t="s">
        <v>1313</v>
      </c>
      <c r="B15" s="65" t="s">
        <v>790</v>
      </c>
      <c r="C15" s="65" t="s">
        <v>791</v>
      </c>
      <c r="D15" s="65" t="s">
        <v>1497</v>
      </c>
      <c r="E15" s="65" t="s">
        <v>353</v>
      </c>
      <c r="F15" s="65" t="s">
        <v>1415</v>
      </c>
      <c r="G15" s="65" t="s">
        <v>1416</v>
      </c>
      <c r="H15" s="65" t="s">
        <v>1417</v>
      </c>
      <c r="I15" s="65" t="s">
        <v>1418</v>
      </c>
      <c r="J15" s="65">
        <v>3144341774</v>
      </c>
      <c r="K15" s="65" t="s">
        <v>1419</v>
      </c>
      <c r="L15" s="65" t="s">
        <v>1420</v>
      </c>
      <c r="M15" s="65" t="s">
        <v>365</v>
      </c>
      <c r="N15" s="65" t="s">
        <v>1421</v>
      </c>
      <c r="O15" s="65" t="s">
        <v>1422</v>
      </c>
      <c r="P15" s="65" t="s">
        <v>1423</v>
      </c>
      <c r="Q15" s="65" t="s">
        <v>1424</v>
      </c>
      <c r="R15" s="65" t="s">
        <v>1425</v>
      </c>
      <c r="S15" s="65" t="s">
        <v>1426</v>
      </c>
      <c r="T15" s="65" t="s">
        <v>1427</v>
      </c>
      <c r="U15" s="65" t="s">
        <v>1428</v>
      </c>
      <c r="V15" s="65" t="s">
        <v>1429</v>
      </c>
      <c r="W15" s="65" t="s">
        <v>1430</v>
      </c>
      <c r="X15" s="65" t="s">
        <v>1431</v>
      </c>
      <c r="Y15" s="65" t="s">
        <v>1441</v>
      </c>
      <c r="Z15" s="65" t="s">
        <v>1313</v>
      </c>
      <c r="AA15" s="65" t="s">
        <v>1498</v>
      </c>
      <c r="AB15" s="65">
        <v>4</v>
      </c>
      <c r="AC15" s="65" t="s">
        <v>1499</v>
      </c>
      <c r="AD15" s="65" t="s">
        <v>1450</v>
      </c>
      <c r="AE15" s="65" t="s">
        <v>1500</v>
      </c>
      <c r="AF15" s="65" t="s">
        <v>1437</v>
      </c>
      <c r="AG15" s="65">
        <v>2</v>
      </c>
      <c r="AH15" s="65">
        <v>2</v>
      </c>
      <c r="AI15" s="65">
        <v>2</v>
      </c>
      <c r="AJ15" s="65">
        <v>2</v>
      </c>
      <c r="AK15" s="65" t="s">
        <v>202</v>
      </c>
      <c r="AL15" s="128">
        <v>45796</v>
      </c>
      <c r="AM15" s="65">
        <v>6</v>
      </c>
      <c r="AN15" s="65">
        <v>2</v>
      </c>
      <c r="AO15" s="65" t="s">
        <v>202</v>
      </c>
      <c r="AP15" s="65">
        <v>3</v>
      </c>
      <c r="AQ15" s="65" t="s">
        <v>354</v>
      </c>
      <c r="AR15" s="65" t="s">
        <v>353</v>
      </c>
      <c r="AS15" s="65">
        <v>0</v>
      </c>
      <c r="AT15" s="65">
        <v>1</v>
      </c>
      <c r="AU15" s="65" t="s">
        <v>1438</v>
      </c>
      <c r="AV15" s="65" t="s">
        <v>198</v>
      </c>
      <c r="AW15" s="65" t="s">
        <v>353</v>
      </c>
      <c r="AX15" s="65" t="s">
        <v>202</v>
      </c>
      <c r="AY15" s="65" t="s">
        <v>353</v>
      </c>
    </row>
    <row r="16" spans="1:51" x14ac:dyDescent="0.2">
      <c r="A16" s="65" t="s">
        <v>1313</v>
      </c>
      <c r="B16" s="65" t="s">
        <v>463</v>
      </c>
      <c r="C16" s="65" t="s">
        <v>464</v>
      </c>
      <c r="D16" s="65" t="s">
        <v>1501</v>
      </c>
      <c r="E16" s="65" t="s">
        <v>353</v>
      </c>
      <c r="F16" s="65" t="s">
        <v>1415</v>
      </c>
      <c r="G16" s="65" t="s">
        <v>1416</v>
      </c>
      <c r="H16" s="65" t="s">
        <v>1417</v>
      </c>
      <c r="I16" s="65" t="s">
        <v>1418</v>
      </c>
      <c r="J16" s="65">
        <v>3144341774</v>
      </c>
      <c r="K16" s="65" t="s">
        <v>1502</v>
      </c>
      <c r="L16" s="65" t="s">
        <v>1503</v>
      </c>
      <c r="M16" s="65" t="s">
        <v>361</v>
      </c>
      <c r="N16" s="65" t="s">
        <v>1504</v>
      </c>
      <c r="O16" s="65" t="s">
        <v>1422</v>
      </c>
      <c r="P16" s="65" t="s">
        <v>1423</v>
      </c>
      <c r="Q16" s="65" t="s">
        <v>1424</v>
      </c>
      <c r="R16" s="65" t="s">
        <v>1425</v>
      </c>
      <c r="S16" s="65" t="s">
        <v>1426</v>
      </c>
      <c r="T16" s="65" t="s">
        <v>1427</v>
      </c>
      <c r="U16" s="65" t="s">
        <v>1428</v>
      </c>
      <c r="V16" s="65" t="s">
        <v>1429</v>
      </c>
      <c r="W16" s="65" t="s">
        <v>1430</v>
      </c>
      <c r="X16" s="65" t="s">
        <v>1431</v>
      </c>
      <c r="Y16" s="65" t="s">
        <v>1441</v>
      </c>
      <c r="Z16" s="65" t="s">
        <v>1313</v>
      </c>
      <c r="AA16" s="65" t="s">
        <v>1505</v>
      </c>
      <c r="AB16" s="65">
        <v>4</v>
      </c>
      <c r="AC16" s="65" t="s">
        <v>1506</v>
      </c>
      <c r="AD16" s="65" t="s">
        <v>1507</v>
      </c>
      <c r="AE16" s="65" t="s">
        <v>1508</v>
      </c>
      <c r="AF16" s="65" t="s">
        <v>1437</v>
      </c>
      <c r="AG16" s="65">
        <v>2</v>
      </c>
      <c r="AH16" s="65">
        <v>0</v>
      </c>
      <c r="AI16" s="65">
        <v>2</v>
      </c>
      <c r="AJ16" s="65">
        <v>2</v>
      </c>
      <c r="AK16" s="65" t="s">
        <v>202</v>
      </c>
      <c r="AL16" s="128">
        <v>44981</v>
      </c>
      <c r="AM16" s="65">
        <v>6</v>
      </c>
      <c r="AN16" s="65">
        <v>2</v>
      </c>
      <c r="AO16" s="65" t="s">
        <v>202</v>
      </c>
      <c r="AP16" s="65">
        <v>4</v>
      </c>
      <c r="AQ16" s="65" t="s">
        <v>354</v>
      </c>
      <c r="AR16" s="65" t="s">
        <v>202</v>
      </c>
      <c r="AS16" s="65">
        <v>1</v>
      </c>
      <c r="AT16" s="65">
        <v>0</v>
      </c>
      <c r="AU16" s="65" t="s">
        <v>1477</v>
      </c>
      <c r="AV16" s="65" t="s">
        <v>198</v>
      </c>
      <c r="AW16" s="65" t="s">
        <v>353</v>
      </c>
      <c r="AX16" s="65" t="s">
        <v>202</v>
      </c>
      <c r="AY16" s="65" t="s">
        <v>353</v>
      </c>
    </row>
    <row r="17" spans="1:51" x14ac:dyDescent="0.2">
      <c r="A17" s="65" t="s">
        <v>1313</v>
      </c>
      <c r="B17" s="65" t="s">
        <v>887</v>
      </c>
      <c r="C17" s="65" t="s">
        <v>888</v>
      </c>
      <c r="D17" s="65" t="s">
        <v>1509</v>
      </c>
      <c r="E17" s="65" t="s">
        <v>353</v>
      </c>
      <c r="F17" s="65" t="s">
        <v>1415</v>
      </c>
      <c r="G17" s="65" t="s">
        <v>1416</v>
      </c>
      <c r="H17" s="65" t="s">
        <v>1417</v>
      </c>
      <c r="I17" s="65" t="s">
        <v>1418</v>
      </c>
      <c r="J17" s="65">
        <v>3144341774</v>
      </c>
      <c r="K17" s="65" t="s">
        <v>1502</v>
      </c>
      <c r="L17" s="65" t="s">
        <v>1503</v>
      </c>
      <c r="M17" s="65" t="s">
        <v>361</v>
      </c>
      <c r="N17" s="65" t="s">
        <v>1504</v>
      </c>
      <c r="O17" s="65" t="s">
        <v>1422</v>
      </c>
      <c r="P17" s="65" t="s">
        <v>1423</v>
      </c>
      <c r="Q17" s="65" t="s">
        <v>1424</v>
      </c>
      <c r="R17" s="65" t="s">
        <v>1425</v>
      </c>
      <c r="S17" s="65" t="s">
        <v>1426</v>
      </c>
      <c r="T17" s="65" t="s">
        <v>1427</v>
      </c>
      <c r="U17" s="65" t="s">
        <v>1428</v>
      </c>
      <c r="V17" s="65" t="s">
        <v>1429</v>
      </c>
      <c r="W17" s="65" t="s">
        <v>1430</v>
      </c>
      <c r="X17" s="65" t="s">
        <v>1431</v>
      </c>
      <c r="Y17" s="65" t="s">
        <v>1441</v>
      </c>
      <c r="Z17" s="65" t="s">
        <v>1313</v>
      </c>
      <c r="AA17" s="65" t="s">
        <v>1510</v>
      </c>
      <c r="AB17" s="65">
        <v>4</v>
      </c>
      <c r="AC17" s="65" t="s">
        <v>1511</v>
      </c>
      <c r="AD17" s="65" t="s">
        <v>1512</v>
      </c>
      <c r="AE17" s="65" t="s">
        <v>1513</v>
      </c>
      <c r="AF17" s="65" t="s">
        <v>1437</v>
      </c>
      <c r="AG17" s="65">
        <v>1</v>
      </c>
      <c r="AH17" s="65">
        <v>5</v>
      </c>
      <c r="AI17" s="65">
        <v>2</v>
      </c>
      <c r="AJ17" s="65">
        <v>2</v>
      </c>
      <c r="AK17" s="65" t="s">
        <v>202</v>
      </c>
      <c r="AL17" s="128">
        <v>45534</v>
      </c>
      <c r="AM17" s="65">
        <v>6</v>
      </c>
      <c r="AN17" s="65">
        <v>2</v>
      </c>
      <c r="AO17" s="65" t="s">
        <v>202</v>
      </c>
      <c r="AP17" s="65">
        <v>2</v>
      </c>
      <c r="AQ17" s="65" t="s">
        <v>354</v>
      </c>
      <c r="AR17" s="65" t="s">
        <v>353</v>
      </c>
      <c r="AS17" s="65">
        <v>1</v>
      </c>
      <c r="AT17" s="65">
        <v>1</v>
      </c>
      <c r="AU17" s="65" t="s">
        <v>1438</v>
      </c>
      <c r="AV17" s="65" t="s">
        <v>198</v>
      </c>
      <c r="AW17" s="65" t="s">
        <v>353</v>
      </c>
      <c r="AX17" s="65" t="s">
        <v>202</v>
      </c>
      <c r="AY17" s="65" t="s">
        <v>353</v>
      </c>
    </row>
    <row r="18" spans="1:51" x14ac:dyDescent="0.2">
      <c r="A18" s="65" t="s">
        <v>1313</v>
      </c>
      <c r="B18" s="65" t="s">
        <v>469</v>
      </c>
      <c r="C18" s="65" t="s">
        <v>470</v>
      </c>
      <c r="D18" s="65" t="s">
        <v>1514</v>
      </c>
      <c r="E18" s="65" t="s">
        <v>353</v>
      </c>
      <c r="F18" s="65" t="s">
        <v>1415</v>
      </c>
      <c r="G18" s="65" t="s">
        <v>1416</v>
      </c>
      <c r="H18" s="65" t="s">
        <v>1417</v>
      </c>
      <c r="I18" s="65" t="s">
        <v>1418</v>
      </c>
      <c r="J18" s="65">
        <v>3144341774</v>
      </c>
      <c r="K18" s="65" t="s">
        <v>1502</v>
      </c>
      <c r="L18" s="65" t="s">
        <v>1503</v>
      </c>
      <c r="M18" s="65" t="s">
        <v>361</v>
      </c>
      <c r="N18" s="65" t="s">
        <v>1504</v>
      </c>
      <c r="O18" s="65" t="s">
        <v>1422</v>
      </c>
      <c r="P18" s="65" t="s">
        <v>1423</v>
      </c>
      <c r="Q18" s="65" t="s">
        <v>1424</v>
      </c>
      <c r="R18" s="65" t="s">
        <v>1425</v>
      </c>
      <c r="S18" s="65" t="s">
        <v>1426</v>
      </c>
      <c r="T18" s="65" t="s">
        <v>1427</v>
      </c>
      <c r="U18" s="65" t="s">
        <v>1428</v>
      </c>
      <c r="V18" s="65" t="s">
        <v>1429</v>
      </c>
      <c r="W18" s="65" t="s">
        <v>1430</v>
      </c>
      <c r="X18" s="65" t="s">
        <v>1431</v>
      </c>
      <c r="Y18" s="65" t="s">
        <v>1515</v>
      </c>
      <c r="Z18" s="65" t="s">
        <v>1313</v>
      </c>
      <c r="AA18" s="65" t="s">
        <v>1516</v>
      </c>
      <c r="AB18" s="65">
        <v>3</v>
      </c>
      <c r="AC18" s="65" t="s">
        <v>1517</v>
      </c>
      <c r="AD18" s="65" t="s">
        <v>1481</v>
      </c>
      <c r="AE18" s="65" t="s">
        <v>1518</v>
      </c>
      <c r="AF18" s="65" t="s">
        <v>1437</v>
      </c>
      <c r="AG18" s="65">
        <v>1</v>
      </c>
      <c r="AH18" s="65">
        <v>0</v>
      </c>
      <c r="AI18" s="65">
        <v>2</v>
      </c>
      <c r="AJ18" s="65">
        <v>1</v>
      </c>
      <c r="AK18" s="65" t="s">
        <v>202</v>
      </c>
      <c r="AL18" s="128">
        <v>45043</v>
      </c>
      <c r="AM18" s="65">
        <v>4</v>
      </c>
      <c r="AN18" s="65">
        <v>1</v>
      </c>
      <c r="AO18" s="65" t="s">
        <v>202</v>
      </c>
      <c r="AP18" s="65">
        <v>2</v>
      </c>
      <c r="AQ18" s="65" t="s">
        <v>352</v>
      </c>
      <c r="AR18" s="65" t="s">
        <v>202</v>
      </c>
      <c r="AS18" s="65">
        <v>0</v>
      </c>
      <c r="AT18" s="65">
        <v>1</v>
      </c>
      <c r="AU18" s="65" t="s">
        <v>1438</v>
      </c>
      <c r="AV18" s="65" t="s">
        <v>1439</v>
      </c>
      <c r="AW18" s="65" t="s">
        <v>202</v>
      </c>
      <c r="AX18" s="65" t="s">
        <v>202</v>
      </c>
      <c r="AY18" s="65" t="s">
        <v>353</v>
      </c>
    </row>
    <row r="19" spans="1:51" x14ac:dyDescent="0.2">
      <c r="A19" s="65" t="s">
        <v>1313</v>
      </c>
      <c r="B19" s="65" t="s">
        <v>903</v>
      </c>
      <c r="C19" s="65" t="s">
        <v>904</v>
      </c>
      <c r="D19" s="65" t="s">
        <v>1519</v>
      </c>
      <c r="E19" s="65" t="s">
        <v>353</v>
      </c>
      <c r="F19" s="65" t="s">
        <v>1415</v>
      </c>
      <c r="G19" s="65" t="s">
        <v>1416</v>
      </c>
      <c r="H19" s="65" t="s">
        <v>1417</v>
      </c>
      <c r="I19" s="65" t="s">
        <v>1418</v>
      </c>
      <c r="J19" s="65">
        <v>3144341774</v>
      </c>
      <c r="K19" s="65" t="s">
        <v>1502</v>
      </c>
      <c r="L19" s="65" t="s">
        <v>1503</v>
      </c>
      <c r="M19" s="65" t="s">
        <v>361</v>
      </c>
      <c r="N19" s="65" t="s">
        <v>1504</v>
      </c>
      <c r="O19" s="65" t="s">
        <v>1422</v>
      </c>
      <c r="P19" s="65" t="s">
        <v>1423</v>
      </c>
      <c r="Q19" s="65" t="s">
        <v>1424</v>
      </c>
      <c r="R19" s="65" t="s">
        <v>1425</v>
      </c>
      <c r="S19" s="65" t="s">
        <v>1426</v>
      </c>
      <c r="T19" s="65" t="s">
        <v>1427</v>
      </c>
      <c r="U19" s="65" t="s">
        <v>1428</v>
      </c>
      <c r="V19" s="65" t="s">
        <v>1429</v>
      </c>
      <c r="W19" s="65" t="s">
        <v>1430</v>
      </c>
      <c r="X19" s="65" t="s">
        <v>1431</v>
      </c>
      <c r="Y19" s="65" t="s">
        <v>1515</v>
      </c>
      <c r="Z19" s="65" t="s">
        <v>1313</v>
      </c>
      <c r="AA19" s="65" t="s">
        <v>1520</v>
      </c>
      <c r="AB19" s="65">
        <v>3</v>
      </c>
      <c r="AC19" s="65" t="s">
        <v>1521</v>
      </c>
      <c r="AD19" s="65" t="s">
        <v>1522</v>
      </c>
      <c r="AE19" s="65" t="s">
        <v>1523</v>
      </c>
      <c r="AF19" s="65" t="s">
        <v>1446</v>
      </c>
      <c r="AG19" s="65">
        <v>2</v>
      </c>
      <c r="AH19" s="65">
        <v>0</v>
      </c>
      <c r="AI19" s="65">
        <v>2</v>
      </c>
      <c r="AJ19" s="65">
        <v>1</v>
      </c>
      <c r="AK19" s="65" t="s">
        <v>202</v>
      </c>
      <c r="AL19" s="128">
        <v>45011</v>
      </c>
      <c r="AM19" s="65">
        <v>6</v>
      </c>
      <c r="AN19" s="65">
        <v>2</v>
      </c>
      <c r="AO19" s="65" t="s">
        <v>202</v>
      </c>
      <c r="AP19" s="65">
        <v>2</v>
      </c>
      <c r="AQ19" s="65" t="s">
        <v>352</v>
      </c>
      <c r="AR19" s="65" t="s">
        <v>202</v>
      </c>
      <c r="AS19" s="65">
        <v>1</v>
      </c>
      <c r="AT19" s="65">
        <v>1</v>
      </c>
      <c r="AU19" s="65" t="s">
        <v>1438</v>
      </c>
      <c r="AV19" s="65" t="s">
        <v>1439</v>
      </c>
      <c r="AW19" s="65" t="s">
        <v>202</v>
      </c>
      <c r="AX19" s="65" t="s">
        <v>202</v>
      </c>
      <c r="AY19" s="65" t="s">
        <v>353</v>
      </c>
    </row>
    <row r="20" spans="1:51" x14ac:dyDescent="0.2">
      <c r="A20" s="65" t="s">
        <v>1313</v>
      </c>
      <c r="B20" s="65" t="s">
        <v>481</v>
      </c>
      <c r="C20" s="65" t="s">
        <v>482</v>
      </c>
      <c r="D20" s="65" t="s">
        <v>1524</v>
      </c>
      <c r="E20" s="65" t="s">
        <v>353</v>
      </c>
      <c r="F20" s="65" t="s">
        <v>1415</v>
      </c>
      <c r="G20" s="65" t="s">
        <v>1416</v>
      </c>
      <c r="H20" s="65" t="s">
        <v>1417</v>
      </c>
      <c r="I20" s="65" t="s">
        <v>1418</v>
      </c>
      <c r="J20" s="65">
        <v>3144341774</v>
      </c>
      <c r="K20" s="65" t="s">
        <v>1502</v>
      </c>
      <c r="L20" s="65" t="s">
        <v>1503</v>
      </c>
      <c r="M20" s="65" t="s">
        <v>361</v>
      </c>
      <c r="N20" s="65" t="s">
        <v>1504</v>
      </c>
      <c r="O20" s="65" t="s">
        <v>1422</v>
      </c>
      <c r="P20" s="65" t="s">
        <v>1423</v>
      </c>
      <c r="Q20" s="65" t="s">
        <v>1424</v>
      </c>
      <c r="R20" s="65" t="s">
        <v>1425</v>
      </c>
      <c r="S20" s="65" t="s">
        <v>1426</v>
      </c>
      <c r="T20" s="65" t="s">
        <v>1427</v>
      </c>
      <c r="U20" s="65" t="s">
        <v>1428</v>
      </c>
      <c r="V20" s="65" t="s">
        <v>1429</v>
      </c>
      <c r="W20" s="65" t="s">
        <v>1430</v>
      </c>
      <c r="X20" s="65" t="s">
        <v>1431</v>
      </c>
      <c r="Y20" s="65" t="s">
        <v>1441</v>
      </c>
      <c r="Z20" s="65" t="s">
        <v>1313</v>
      </c>
      <c r="AA20" s="65" t="s">
        <v>1525</v>
      </c>
      <c r="AB20" s="65">
        <v>3</v>
      </c>
      <c r="AC20" s="65" t="s">
        <v>1526</v>
      </c>
      <c r="AD20" s="65" t="s">
        <v>1527</v>
      </c>
      <c r="AE20" s="65" t="s">
        <v>1528</v>
      </c>
      <c r="AF20" s="65" t="s">
        <v>1437</v>
      </c>
      <c r="AG20" s="65">
        <v>1</v>
      </c>
      <c r="AH20" s="65">
        <v>0</v>
      </c>
      <c r="AI20" s="65">
        <v>2</v>
      </c>
      <c r="AJ20" s="65">
        <v>1</v>
      </c>
      <c r="AK20" s="65" t="s">
        <v>202</v>
      </c>
      <c r="AL20" s="128">
        <v>44984</v>
      </c>
      <c r="AM20" s="65">
        <v>3</v>
      </c>
      <c r="AN20" s="65">
        <v>0</v>
      </c>
      <c r="AO20" s="65" t="s">
        <v>353</v>
      </c>
      <c r="AP20" s="65">
        <v>2</v>
      </c>
      <c r="AQ20" s="65" t="s">
        <v>355</v>
      </c>
      <c r="AR20" s="65" t="s">
        <v>202</v>
      </c>
      <c r="AS20" s="65">
        <v>1</v>
      </c>
      <c r="AT20" s="65">
        <v>1</v>
      </c>
      <c r="AU20" s="65" t="s">
        <v>1529</v>
      </c>
      <c r="AV20" s="65" t="s">
        <v>1439</v>
      </c>
      <c r="AW20" s="65" t="s">
        <v>202</v>
      </c>
      <c r="AX20" s="65" t="s">
        <v>202</v>
      </c>
      <c r="AY20" s="65" t="s">
        <v>353</v>
      </c>
    </row>
    <row r="21" spans="1:51" x14ac:dyDescent="0.2">
      <c r="A21" s="65" t="s">
        <v>1313</v>
      </c>
      <c r="B21" s="65" t="s">
        <v>483</v>
      </c>
      <c r="C21" s="65" t="s">
        <v>484</v>
      </c>
      <c r="D21" s="65" t="s">
        <v>1530</v>
      </c>
      <c r="E21" s="65" t="s">
        <v>353</v>
      </c>
      <c r="F21" s="65" t="s">
        <v>1415</v>
      </c>
      <c r="G21" s="65" t="s">
        <v>1416</v>
      </c>
      <c r="H21" s="65" t="s">
        <v>1417</v>
      </c>
      <c r="I21" s="65" t="s">
        <v>1418</v>
      </c>
      <c r="J21" s="65">
        <v>3144341774</v>
      </c>
      <c r="K21" s="65" t="s">
        <v>1531</v>
      </c>
      <c r="L21" s="65" t="s">
        <v>1532</v>
      </c>
      <c r="M21" s="65" t="s">
        <v>364</v>
      </c>
      <c r="N21" s="65" t="s">
        <v>1533</v>
      </c>
      <c r="O21" s="65" t="s">
        <v>1422</v>
      </c>
      <c r="P21" s="65" t="s">
        <v>1423</v>
      </c>
      <c r="Q21" s="65" t="s">
        <v>1424</v>
      </c>
      <c r="R21" s="65" t="s">
        <v>1425</v>
      </c>
      <c r="S21" s="65" t="s">
        <v>1426</v>
      </c>
      <c r="T21" s="65" t="s">
        <v>1427</v>
      </c>
      <c r="U21" s="65" t="s">
        <v>1428</v>
      </c>
      <c r="V21" s="65" t="s">
        <v>1429</v>
      </c>
      <c r="W21" s="65" t="s">
        <v>1430</v>
      </c>
      <c r="X21" s="65" t="s">
        <v>1431</v>
      </c>
      <c r="Y21" s="65" t="s">
        <v>1441</v>
      </c>
      <c r="Z21" s="65" t="s">
        <v>1313</v>
      </c>
      <c r="AA21" s="65" t="s">
        <v>1534</v>
      </c>
      <c r="AB21" s="65">
        <v>3</v>
      </c>
      <c r="AC21" s="65" t="s">
        <v>1535</v>
      </c>
      <c r="AD21" s="65" t="s">
        <v>1536</v>
      </c>
      <c r="AE21" s="65" t="s">
        <v>1537</v>
      </c>
      <c r="AF21" s="65" t="s">
        <v>1437</v>
      </c>
      <c r="AG21" s="65">
        <v>2</v>
      </c>
      <c r="AH21" s="65">
        <v>0</v>
      </c>
      <c r="AI21" s="65">
        <v>2</v>
      </c>
      <c r="AJ21" s="65">
        <v>1</v>
      </c>
      <c r="AK21" s="65" t="s">
        <v>202</v>
      </c>
      <c r="AL21" s="128">
        <v>45082</v>
      </c>
      <c r="AM21" s="65">
        <v>4</v>
      </c>
      <c r="AN21" s="65">
        <v>1</v>
      </c>
      <c r="AO21" s="65" t="s">
        <v>202</v>
      </c>
      <c r="AP21" s="65">
        <v>1</v>
      </c>
      <c r="AQ21" s="65" t="s">
        <v>352</v>
      </c>
      <c r="AR21" s="65" t="s">
        <v>202</v>
      </c>
      <c r="AS21" s="65">
        <v>1</v>
      </c>
      <c r="AT21" s="65">
        <v>1</v>
      </c>
      <c r="AU21" s="65" t="s">
        <v>1529</v>
      </c>
      <c r="AV21" s="65" t="s">
        <v>1439</v>
      </c>
      <c r="AW21" s="65" t="s">
        <v>202</v>
      </c>
      <c r="AX21" s="65" t="s">
        <v>202</v>
      </c>
      <c r="AY21" s="65" t="s">
        <v>353</v>
      </c>
    </row>
    <row r="22" spans="1:51" x14ac:dyDescent="0.2">
      <c r="A22" s="65" t="s">
        <v>1313</v>
      </c>
      <c r="B22" s="65" t="s">
        <v>895</v>
      </c>
      <c r="C22" s="65" t="s">
        <v>896</v>
      </c>
      <c r="D22" s="65" t="s">
        <v>1538</v>
      </c>
      <c r="E22" s="65" t="s">
        <v>353</v>
      </c>
      <c r="F22" s="65" t="s">
        <v>1415</v>
      </c>
      <c r="G22" s="65" t="s">
        <v>1416</v>
      </c>
      <c r="H22" s="65" t="s">
        <v>1417</v>
      </c>
      <c r="I22" s="65" t="s">
        <v>1418</v>
      </c>
      <c r="J22" s="65">
        <v>3144341774</v>
      </c>
      <c r="K22" s="65" t="s">
        <v>1502</v>
      </c>
      <c r="L22" s="65" t="s">
        <v>1503</v>
      </c>
      <c r="M22" s="65" t="s">
        <v>361</v>
      </c>
      <c r="N22" s="65" t="s">
        <v>1504</v>
      </c>
      <c r="O22" s="65" t="s">
        <v>1422</v>
      </c>
      <c r="P22" s="65" t="s">
        <v>1423</v>
      </c>
      <c r="Q22" s="65" t="s">
        <v>1424</v>
      </c>
      <c r="R22" s="65" t="s">
        <v>1425</v>
      </c>
      <c r="S22" s="65" t="s">
        <v>1426</v>
      </c>
      <c r="T22" s="65" t="s">
        <v>1427</v>
      </c>
      <c r="U22" s="65" t="s">
        <v>1428</v>
      </c>
      <c r="V22" s="65" t="s">
        <v>1429</v>
      </c>
      <c r="W22" s="65" t="s">
        <v>1430</v>
      </c>
      <c r="X22" s="65" t="s">
        <v>1431</v>
      </c>
      <c r="Y22" s="65" t="s">
        <v>1539</v>
      </c>
      <c r="Z22" s="65" t="s">
        <v>1313</v>
      </c>
      <c r="AA22" s="65" t="s">
        <v>1540</v>
      </c>
      <c r="AB22" s="65">
        <v>3</v>
      </c>
      <c r="AC22" s="65" t="s">
        <v>1541</v>
      </c>
      <c r="AD22" s="65" t="s">
        <v>1542</v>
      </c>
      <c r="AE22" s="65" t="s">
        <v>1543</v>
      </c>
      <c r="AF22" s="65" t="s">
        <v>1437</v>
      </c>
      <c r="AG22" s="65">
        <v>2</v>
      </c>
      <c r="AH22" s="65">
        <v>0</v>
      </c>
      <c r="AI22" s="65">
        <v>2</v>
      </c>
      <c r="AJ22" s="65">
        <v>2</v>
      </c>
      <c r="AK22" s="65" t="s">
        <v>202</v>
      </c>
      <c r="AL22" s="128">
        <v>44986</v>
      </c>
      <c r="AM22" s="65">
        <v>6</v>
      </c>
      <c r="AN22" s="65">
        <v>1</v>
      </c>
      <c r="AO22" s="65" t="s">
        <v>202</v>
      </c>
      <c r="AP22" s="65">
        <v>4</v>
      </c>
      <c r="AQ22" s="65" t="s">
        <v>352</v>
      </c>
      <c r="AR22" s="65" t="s">
        <v>202</v>
      </c>
      <c r="AS22" s="65">
        <v>1</v>
      </c>
      <c r="AT22" s="65">
        <v>1</v>
      </c>
      <c r="AU22" s="65" t="s">
        <v>1438</v>
      </c>
      <c r="AV22" s="65" t="s">
        <v>1439</v>
      </c>
      <c r="AW22" s="65" t="s">
        <v>202</v>
      </c>
      <c r="AX22" s="65" t="s">
        <v>202</v>
      </c>
      <c r="AY22" s="65" t="s">
        <v>353</v>
      </c>
    </row>
    <row r="23" spans="1:51" x14ac:dyDescent="0.2">
      <c r="A23" s="65" t="s">
        <v>1313</v>
      </c>
      <c r="B23" s="65" t="s">
        <v>465</v>
      </c>
      <c r="C23" s="65" t="s">
        <v>466</v>
      </c>
      <c r="D23" s="65" t="s">
        <v>1544</v>
      </c>
      <c r="E23" s="65" t="s">
        <v>353</v>
      </c>
      <c r="F23" s="65" t="s">
        <v>1415</v>
      </c>
      <c r="G23" s="65" t="s">
        <v>1416</v>
      </c>
      <c r="H23" s="65" t="s">
        <v>1417</v>
      </c>
      <c r="I23" s="65" t="s">
        <v>1418</v>
      </c>
      <c r="J23" s="65">
        <v>3144341774</v>
      </c>
      <c r="K23" s="65" t="s">
        <v>1502</v>
      </c>
      <c r="L23" s="65" t="s">
        <v>1503</v>
      </c>
      <c r="M23" s="65" t="s">
        <v>361</v>
      </c>
      <c r="N23" s="65" t="s">
        <v>1504</v>
      </c>
      <c r="O23" s="65" t="s">
        <v>1422</v>
      </c>
      <c r="P23" s="65" t="s">
        <v>1423</v>
      </c>
      <c r="Q23" s="65" t="s">
        <v>1424</v>
      </c>
      <c r="R23" s="65" t="s">
        <v>1425</v>
      </c>
      <c r="S23" s="65" t="s">
        <v>1426</v>
      </c>
      <c r="T23" s="65" t="s">
        <v>1427</v>
      </c>
      <c r="U23" s="65" t="s">
        <v>1428</v>
      </c>
      <c r="V23" s="65" t="s">
        <v>1429</v>
      </c>
      <c r="W23" s="65" t="s">
        <v>1430</v>
      </c>
      <c r="X23" s="65" t="s">
        <v>1431</v>
      </c>
      <c r="Y23" s="65" t="s">
        <v>1545</v>
      </c>
      <c r="Z23" s="65" t="s">
        <v>1313</v>
      </c>
      <c r="AA23" s="65" t="s">
        <v>1546</v>
      </c>
      <c r="AB23" s="65">
        <v>3</v>
      </c>
      <c r="AC23" s="65" t="s">
        <v>1547</v>
      </c>
      <c r="AD23" s="65" t="s">
        <v>1548</v>
      </c>
      <c r="AE23" s="65" t="s">
        <v>1549</v>
      </c>
      <c r="AF23" s="65" t="s">
        <v>1437</v>
      </c>
      <c r="AG23" s="65">
        <v>2</v>
      </c>
      <c r="AH23" s="65">
        <v>0</v>
      </c>
      <c r="AI23" s="65">
        <v>2</v>
      </c>
      <c r="AJ23" s="65">
        <v>2</v>
      </c>
      <c r="AK23" s="65" t="s">
        <v>202</v>
      </c>
      <c r="AL23" s="128">
        <v>44992</v>
      </c>
      <c r="AM23" s="65">
        <v>4</v>
      </c>
      <c r="AN23" s="65">
        <v>1</v>
      </c>
      <c r="AO23" s="65" t="s">
        <v>202</v>
      </c>
      <c r="AP23" s="65">
        <v>2</v>
      </c>
      <c r="AQ23" s="65" t="s">
        <v>352</v>
      </c>
      <c r="AR23" s="65" t="s">
        <v>202</v>
      </c>
      <c r="AS23" s="65">
        <v>0</v>
      </c>
      <c r="AT23" s="65">
        <v>1</v>
      </c>
      <c r="AU23" s="65" t="s">
        <v>1438</v>
      </c>
      <c r="AV23" s="65" t="s">
        <v>1439</v>
      </c>
      <c r="AW23" s="65" t="s">
        <v>202</v>
      </c>
      <c r="AX23" s="65" t="s">
        <v>202</v>
      </c>
      <c r="AY23" s="65" t="s">
        <v>353</v>
      </c>
    </row>
    <row r="24" spans="1:51" x14ac:dyDescent="0.2">
      <c r="A24" s="65" t="s">
        <v>1313</v>
      </c>
      <c r="B24" s="65" t="s">
        <v>663</v>
      </c>
      <c r="C24" s="65" t="s">
        <v>664</v>
      </c>
      <c r="D24" s="65" t="s">
        <v>1550</v>
      </c>
      <c r="E24" s="65" t="s">
        <v>353</v>
      </c>
      <c r="F24" s="65" t="s">
        <v>1415</v>
      </c>
      <c r="G24" s="65" t="s">
        <v>1416</v>
      </c>
      <c r="H24" s="65" t="s">
        <v>1417</v>
      </c>
      <c r="I24" s="65" t="s">
        <v>1418</v>
      </c>
      <c r="J24" s="65">
        <v>3144341774</v>
      </c>
      <c r="K24" s="65" t="s">
        <v>1502</v>
      </c>
      <c r="L24" s="65" t="s">
        <v>1503</v>
      </c>
      <c r="M24" s="65" t="s">
        <v>361</v>
      </c>
      <c r="N24" s="65" t="s">
        <v>1504</v>
      </c>
      <c r="O24" s="65" t="s">
        <v>1422</v>
      </c>
      <c r="P24" s="65" t="s">
        <v>1423</v>
      </c>
      <c r="Q24" s="65" t="s">
        <v>1424</v>
      </c>
      <c r="R24" s="65" t="s">
        <v>1425</v>
      </c>
      <c r="S24" s="65" t="s">
        <v>1426</v>
      </c>
      <c r="T24" s="65" t="s">
        <v>1427</v>
      </c>
      <c r="U24" s="65" t="s">
        <v>1428</v>
      </c>
      <c r="V24" s="65" t="s">
        <v>1429</v>
      </c>
      <c r="W24" s="65" t="s">
        <v>1430</v>
      </c>
      <c r="X24" s="65" t="s">
        <v>1431</v>
      </c>
      <c r="Y24" s="65" t="s">
        <v>1551</v>
      </c>
      <c r="Z24" s="65" t="s">
        <v>1313</v>
      </c>
      <c r="AA24" s="65" t="s">
        <v>1552</v>
      </c>
      <c r="AB24" s="65">
        <v>3</v>
      </c>
      <c r="AC24" s="65" t="s">
        <v>1553</v>
      </c>
      <c r="AD24" s="65" t="s">
        <v>1554</v>
      </c>
      <c r="AE24" s="65" t="s">
        <v>1555</v>
      </c>
      <c r="AF24" s="65" t="s">
        <v>1437</v>
      </c>
      <c r="AG24" s="65">
        <v>1</v>
      </c>
      <c r="AH24" s="65">
        <v>1</v>
      </c>
      <c r="AI24" s="65">
        <v>2</v>
      </c>
      <c r="AJ24" s="65">
        <v>2</v>
      </c>
      <c r="AK24" s="65" t="s">
        <v>202</v>
      </c>
      <c r="AL24" s="128">
        <v>45058</v>
      </c>
      <c r="AM24" s="65">
        <v>4</v>
      </c>
      <c r="AN24" s="65">
        <v>2</v>
      </c>
      <c r="AO24" s="65" t="s">
        <v>202</v>
      </c>
      <c r="AP24" s="65">
        <v>2</v>
      </c>
      <c r="AQ24" s="65" t="s">
        <v>352</v>
      </c>
      <c r="AR24" s="65" t="s">
        <v>202</v>
      </c>
      <c r="AS24" s="65">
        <v>1</v>
      </c>
      <c r="AT24" s="65">
        <v>1</v>
      </c>
      <c r="AU24" s="65" t="s">
        <v>1438</v>
      </c>
      <c r="AV24" s="65" t="s">
        <v>1439</v>
      </c>
      <c r="AW24" s="65" t="s">
        <v>202</v>
      </c>
      <c r="AX24" s="65" t="s">
        <v>202</v>
      </c>
      <c r="AY24" s="65" t="s">
        <v>353</v>
      </c>
    </row>
    <row r="25" spans="1:51" x14ac:dyDescent="0.2">
      <c r="A25" s="65" t="s">
        <v>1313</v>
      </c>
      <c r="B25" s="65" t="s">
        <v>665</v>
      </c>
      <c r="C25" s="65" t="s">
        <v>666</v>
      </c>
      <c r="D25" s="65" t="s">
        <v>1556</v>
      </c>
      <c r="E25" s="65" t="s">
        <v>353</v>
      </c>
      <c r="F25" s="65" t="s">
        <v>1415</v>
      </c>
      <c r="G25" s="65" t="s">
        <v>1416</v>
      </c>
      <c r="H25" s="65" t="s">
        <v>1417</v>
      </c>
      <c r="I25" s="65" t="s">
        <v>1418</v>
      </c>
      <c r="J25" s="65">
        <v>3144341774</v>
      </c>
      <c r="K25" s="65" t="s">
        <v>1502</v>
      </c>
      <c r="L25" s="65" t="s">
        <v>1503</v>
      </c>
      <c r="M25" s="65" t="s">
        <v>361</v>
      </c>
      <c r="N25" s="65" t="s">
        <v>1504</v>
      </c>
      <c r="O25" s="65" t="s">
        <v>1422</v>
      </c>
      <c r="P25" s="65" t="s">
        <v>1423</v>
      </c>
      <c r="Q25" s="65" t="s">
        <v>1424</v>
      </c>
      <c r="R25" s="65" t="s">
        <v>1425</v>
      </c>
      <c r="S25" s="65" t="s">
        <v>1426</v>
      </c>
      <c r="T25" s="65" t="s">
        <v>1427</v>
      </c>
      <c r="U25" s="65" t="s">
        <v>1428</v>
      </c>
      <c r="V25" s="65" t="s">
        <v>1429</v>
      </c>
      <c r="W25" s="65" t="s">
        <v>1430</v>
      </c>
      <c r="X25" s="65" t="s">
        <v>1431</v>
      </c>
      <c r="Y25" s="65" t="s">
        <v>1441</v>
      </c>
      <c r="Z25" s="65" t="s">
        <v>1313</v>
      </c>
      <c r="AA25" s="65" t="s">
        <v>1557</v>
      </c>
      <c r="AB25" s="65">
        <v>2</v>
      </c>
      <c r="AC25" s="65" t="s">
        <v>1558</v>
      </c>
      <c r="AD25" s="65" t="s">
        <v>1559</v>
      </c>
      <c r="AE25" s="65" t="s">
        <v>1560</v>
      </c>
      <c r="AF25" s="65" t="s">
        <v>1437</v>
      </c>
      <c r="AG25" s="65">
        <v>2</v>
      </c>
      <c r="AH25" s="65">
        <v>1</v>
      </c>
      <c r="AI25" s="65">
        <v>2</v>
      </c>
      <c r="AJ25" s="65">
        <v>2</v>
      </c>
      <c r="AK25" s="65" t="s">
        <v>202</v>
      </c>
      <c r="AL25" s="128">
        <v>45043</v>
      </c>
      <c r="AM25" s="65">
        <v>4</v>
      </c>
      <c r="AN25" s="65">
        <v>2</v>
      </c>
      <c r="AO25" s="65" t="s">
        <v>202</v>
      </c>
      <c r="AP25" s="65">
        <v>2</v>
      </c>
      <c r="AQ25" s="65" t="s">
        <v>352</v>
      </c>
      <c r="AR25" s="65" t="s">
        <v>202</v>
      </c>
      <c r="AS25" s="65">
        <v>1</v>
      </c>
      <c r="AT25" s="65">
        <v>1</v>
      </c>
      <c r="AU25" s="65" t="s">
        <v>1438</v>
      </c>
      <c r="AV25" s="65" t="s">
        <v>1439</v>
      </c>
      <c r="AW25" s="65" t="s">
        <v>202</v>
      </c>
      <c r="AX25" s="65" t="s">
        <v>202</v>
      </c>
      <c r="AY25" s="65" t="s">
        <v>353</v>
      </c>
    </row>
    <row r="26" spans="1:51" x14ac:dyDescent="0.2">
      <c r="A26" s="65" t="s">
        <v>1313</v>
      </c>
      <c r="B26" s="65" t="s">
        <v>923</v>
      </c>
      <c r="C26" s="65" t="s">
        <v>924</v>
      </c>
      <c r="D26" s="65" t="s">
        <v>1561</v>
      </c>
      <c r="E26" s="65" t="s">
        <v>353</v>
      </c>
      <c r="F26" s="65" t="s">
        <v>1415</v>
      </c>
      <c r="G26" s="65" t="s">
        <v>1416</v>
      </c>
      <c r="H26" s="65" t="s">
        <v>1417</v>
      </c>
      <c r="I26" s="65" t="s">
        <v>1418</v>
      </c>
      <c r="J26" s="65">
        <v>3144341774</v>
      </c>
      <c r="K26" s="65" t="s">
        <v>1502</v>
      </c>
      <c r="L26" s="65" t="s">
        <v>1503</v>
      </c>
      <c r="M26" s="65" t="s">
        <v>361</v>
      </c>
      <c r="N26" s="65" t="s">
        <v>1504</v>
      </c>
      <c r="O26" s="65" t="s">
        <v>1422</v>
      </c>
      <c r="P26" s="65" t="s">
        <v>1423</v>
      </c>
      <c r="Q26" s="65" t="s">
        <v>1424</v>
      </c>
      <c r="R26" s="65" t="s">
        <v>1425</v>
      </c>
      <c r="S26" s="65" t="s">
        <v>1426</v>
      </c>
      <c r="T26" s="65" t="s">
        <v>1427</v>
      </c>
      <c r="U26" s="65" t="s">
        <v>1428</v>
      </c>
      <c r="V26" s="65" t="s">
        <v>1429</v>
      </c>
      <c r="W26" s="65" t="s">
        <v>1430</v>
      </c>
      <c r="X26" s="65" t="s">
        <v>1431</v>
      </c>
      <c r="Y26" s="65" t="s">
        <v>1515</v>
      </c>
      <c r="Z26" s="65" t="s">
        <v>1313</v>
      </c>
      <c r="AA26" s="65" t="s">
        <v>1562</v>
      </c>
      <c r="AB26" s="65">
        <v>3</v>
      </c>
      <c r="AC26" s="65" t="s">
        <v>1485</v>
      </c>
      <c r="AD26" s="65" t="s">
        <v>1464</v>
      </c>
      <c r="AE26" s="65" t="s">
        <v>1563</v>
      </c>
      <c r="AF26" s="65" t="s">
        <v>1446</v>
      </c>
      <c r="AG26" s="65">
        <v>1</v>
      </c>
      <c r="AH26" s="65">
        <v>0</v>
      </c>
      <c r="AI26" s="65">
        <v>2</v>
      </c>
      <c r="AJ26" s="65">
        <v>2</v>
      </c>
      <c r="AK26" s="65" t="s">
        <v>202</v>
      </c>
      <c r="AL26" s="128">
        <v>45050</v>
      </c>
      <c r="AM26" s="65">
        <v>4</v>
      </c>
      <c r="AN26" s="65">
        <v>2</v>
      </c>
      <c r="AO26" s="65" t="s">
        <v>202</v>
      </c>
      <c r="AP26" s="65">
        <v>2</v>
      </c>
      <c r="AQ26" s="65" t="s">
        <v>352</v>
      </c>
      <c r="AR26" s="65" t="s">
        <v>202</v>
      </c>
      <c r="AS26" s="65">
        <v>1</v>
      </c>
      <c r="AT26" s="65">
        <v>1</v>
      </c>
      <c r="AU26" s="65" t="s">
        <v>1438</v>
      </c>
      <c r="AV26" s="65" t="s">
        <v>1439</v>
      </c>
      <c r="AW26" s="65" t="s">
        <v>202</v>
      </c>
      <c r="AX26" s="65" t="s">
        <v>202</v>
      </c>
      <c r="AY26" s="65" t="s">
        <v>353</v>
      </c>
    </row>
    <row r="27" spans="1:51" x14ac:dyDescent="0.2">
      <c r="A27" s="65" t="s">
        <v>1313</v>
      </c>
      <c r="B27" s="65" t="s">
        <v>679</v>
      </c>
      <c r="C27" s="65" t="s">
        <v>680</v>
      </c>
      <c r="D27" s="65" t="s">
        <v>1564</v>
      </c>
      <c r="E27" s="65" t="s">
        <v>353</v>
      </c>
      <c r="F27" s="65" t="s">
        <v>1415</v>
      </c>
      <c r="G27" s="65" t="s">
        <v>1416</v>
      </c>
      <c r="H27" s="65" t="s">
        <v>1417</v>
      </c>
      <c r="I27" s="65" t="s">
        <v>1418</v>
      </c>
      <c r="J27" s="65">
        <v>3144341774</v>
      </c>
      <c r="K27" s="65" t="s">
        <v>1502</v>
      </c>
      <c r="L27" s="65" t="s">
        <v>1503</v>
      </c>
      <c r="M27" s="65" t="s">
        <v>361</v>
      </c>
      <c r="N27" s="65" t="s">
        <v>1504</v>
      </c>
      <c r="O27" s="65" t="s">
        <v>1422</v>
      </c>
      <c r="P27" s="65" t="s">
        <v>1423</v>
      </c>
      <c r="Q27" s="65" t="s">
        <v>1424</v>
      </c>
      <c r="R27" s="65" t="s">
        <v>1425</v>
      </c>
      <c r="S27" s="65" t="s">
        <v>1426</v>
      </c>
      <c r="T27" s="65" t="s">
        <v>1427</v>
      </c>
      <c r="U27" s="65" t="s">
        <v>1428</v>
      </c>
      <c r="V27" s="65" t="s">
        <v>1429</v>
      </c>
      <c r="W27" s="65" t="s">
        <v>1430</v>
      </c>
      <c r="X27" s="65" t="s">
        <v>1431</v>
      </c>
      <c r="Y27" s="65" t="s">
        <v>1515</v>
      </c>
      <c r="Z27" s="65" t="s">
        <v>1313</v>
      </c>
      <c r="AA27" s="65" t="s">
        <v>1565</v>
      </c>
      <c r="AB27" s="65">
        <v>2</v>
      </c>
      <c r="AC27" s="65" t="s">
        <v>1566</v>
      </c>
      <c r="AD27" s="65" t="s">
        <v>1464</v>
      </c>
      <c r="AE27" s="65" t="s">
        <v>1567</v>
      </c>
      <c r="AF27" s="65" t="s">
        <v>1437</v>
      </c>
      <c r="AG27" s="65">
        <v>1</v>
      </c>
      <c r="AH27" s="65">
        <v>1</v>
      </c>
      <c r="AI27" s="65">
        <v>2</v>
      </c>
      <c r="AJ27" s="65">
        <v>2</v>
      </c>
      <c r="AK27" s="65" t="s">
        <v>202</v>
      </c>
      <c r="AL27" s="129">
        <v>45283</v>
      </c>
      <c r="AM27" s="65">
        <v>4</v>
      </c>
      <c r="AN27" s="65">
        <v>2</v>
      </c>
      <c r="AO27" s="65" t="s">
        <v>202</v>
      </c>
      <c r="AP27" s="65">
        <v>1</v>
      </c>
      <c r="AQ27" s="65" t="s">
        <v>352</v>
      </c>
      <c r="AR27" s="65" t="s">
        <v>202</v>
      </c>
      <c r="AS27" s="65">
        <v>1</v>
      </c>
      <c r="AT27" s="65">
        <v>1</v>
      </c>
      <c r="AU27" s="65" t="s">
        <v>1438</v>
      </c>
      <c r="AV27" s="65" t="s">
        <v>1439</v>
      </c>
      <c r="AW27" s="65" t="s">
        <v>202</v>
      </c>
      <c r="AX27" s="65" t="s">
        <v>202</v>
      </c>
      <c r="AY27" s="65" t="s">
        <v>202</v>
      </c>
    </row>
    <row r="28" spans="1:51" x14ac:dyDescent="0.2">
      <c r="A28" s="65" t="s">
        <v>1313</v>
      </c>
      <c r="B28" s="65" t="s">
        <v>689</v>
      </c>
      <c r="C28" s="65" t="s">
        <v>690</v>
      </c>
      <c r="D28" s="65" t="s">
        <v>1568</v>
      </c>
      <c r="E28" s="65" t="s">
        <v>353</v>
      </c>
      <c r="F28" s="65" t="s">
        <v>1415</v>
      </c>
      <c r="G28" s="65" t="s">
        <v>1416</v>
      </c>
      <c r="H28" s="65" t="s">
        <v>1417</v>
      </c>
      <c r="I28" s="65" t="s">
        <v>1418</v>
      </c>
      <c r="J28" s="65">
        <v>3144341774</v>
      </c>
      <c r="K28" s="65" t="s">
        <v>1502</v>
      </c>
      <c r="L28" s="65" t="s">
        <v>1503</v>
      </c>
      <c r="M28" s="65" t="s">
        <v>361</v>
      </c>
      <c r="N28" s="65" t="s">
        <v>1504</v>
      </c>
      <c r="O28" s="65" t="s">
        <v>1422</v>
      </c>
      <c r="P28" s="65" t="s">
        <v>1423</v>
      </c>
      <c r="Q28" s="65" t="s">
        <v>1424</v>
      </c>
      <c r="R28" s="65" t="s">
        <v>1425</v>
      </c>
      <c r="S28" s="65" t="s">
        <v>1426</v>
      </c>
      <c r="T28" s="65" t="s">
        <v>1427</v>
      </c>
      <c r="U28" s="65" t="s">
        <v>1428</v>
      </c>
      <c r="V28" s="65" t="s">
        <v>1429</v>
      </c>
      <c r="W28" s="65" t="s">
        <v>1430</v>
      </c>
      <c r="X28" s="65" t="s">
        <v>1431</v>
      </c>
      <c r="Y28" s="65" t="s">
        <v>1515</v>
      </c>
      <c r="Z28" s="65" t="s">
        <v>1313</v>
      </c>
      <c r="AA28" s="65" t="s">
        <v>1569</v>
      </c>
      <c r="AB28" s="65">
        <v>3</v>
      </c>
      <c r="AC28" s="65" t="s">
        <v>1570</v>
      </c>
      <c r="AD28" s="65" t="s">
        <v>1571</v>
      </c>
      <c r="AE28" s="65" t="s">
        <v>1572</v>
      </c>
      <c r="AF28" s="65" t="s">
        <v>1437</v>
      </c>
      <c r="AG28" s="65">
        <v>3</v>
      </c>
      <c r="AH28" s="65">
        <v>1</v>
      </c>
      <c r="AI28" s="65">
        <v>2</v>
      </c>
      <c r="AJ28" s="65">
        <v>2</v>
      </c>
      <c r="AK28" s="65" t="s">
        <v>202</v>
      </c>
      <c r="AL28" s="128">
        <v>45723</v>
      </c>
      <c r="AM28" s="65">
        <v>6</v>
      </c>
      <c r="AN28" s="65">
        <v>2</v>
      </c>
      <c r="AO28" s="65" t="s">
        <v>202</v>
      </c>
      <c r="AP28" s="65">
        <v>3</v>
      </c>
      <c r="AQ28" s="65" t="s">
        <v>354</v>
      </c>
      <c r="AR28" s="65" t="s">
        <v>353</v>
      </c>
      <c r="AS28" s="65">
        <v>0</v>
      </c>
      <c r="AT28" s="65">
        <v>1</v>
      </c>
      <c r="AU28" s="65" t="s">
        <v>1438</v>
      </c>
      <c r="AV28" s="65" t="s">
        <v>1439</v>
      </c>
      <c r="AW28" s="65" t="s">
        <v>353</v>
      </c>
      <c r="AX28" s="65" t="s">
        <v>202</v>
      </c>
      <c r="AY28" s="65" t="s">
        <v>353</v>
      </c>
    </row>
    <row r="29" spans="1:51" x14ac:dyDescent="0.2">
      <c r="A29" s="65" t="s">
        <v>1313</v>
      </c>
      <c r="B29" s="65" t="s">
        <v>786</v>
      </c>
      <c r="C29" s="65" t="s">
        <v>787</v>
      </c>
      <c r="D29" s="65" t="s">
        <v>1573</v>
      </c>
      <c r="E29" s="65" t="s">
        <v>353</v>
      </c>
      <c r="F29" s="65" t="s">
        <v>1415</v>
      </c>
      <c r="G29" s="65" t="s">
        <v>1416</v>
      </c>
      <c r="H29" s="65" t="s">
        <v>1417</v>
      </c>
      <c r="I29" s="65" t="s">
        <v>1418</v>
      </c>
      <c r="J29" s="65">
        <v>3144341774</v>
      </c>
      <c r="K29" s="65" t="s">
        <v>1502</v>
      </c>
      <c r="L29" s="65" t="s">
        <v>1503</v>
      </c>
      <c r="M29" s="65" t="s">
        <v>361</v>
      </c>
      <c r="N29" s="65" t="s">
        <v>1504</v>
      </c>
      <c r="O29" s="65" t="s">
        <v>1422</v>
      </c>
      <c r="P29" s="65" t="s">
        <v>1423</v>
      </c>
      <c r="Q29" s="65" t="s">
        <v>1424</v>
      </c>
      <c r="R29" s="65" t="s">
        <v>1425</v>
      </c>
      <c r="S29" s="65" t="s">
        <v>1426</v>
      </c>
      <c r="T29" s="65" t="s">
        <v>1427</v>
      </c>
      <c r="U29" s="65" t="s">
        <v>1428</v>
      </c>
      <c r="V29" s="65" t="s">
        <v>1429</v>
      </c>
      <c r="W29" s="65" t="s">
        <v>1430</v>
      </c>
      <c r="X29" s="65" t="s">
        <v>1431</v>
      </c>
      <c r="Y29" s="65" t="s">
        <v>1515</v>
      </c>
      <c r="Z29" s="65" t="s">
        <v>1313</v>
      </c>
      <c r="AA29" s="65" t="s">
        <v>1574</v>
      </c>
      <c r="AB29" s="65">
        <v>4</v>
      </c>
      <c r="AC29" s="65" t="s">
        <v>1575</v>
      </c>
      <c r="AD29" s="65" t="s">
        <v>1576</v>
      </c>
      <c r="AE29" s="65" t="s">
        <v>1577</v>
      </c>
      <c r="AF29" s="65" t="s">
        <v>1437</v>
      </c>
      <c r="AG29" s="65">
        <v>3</v>
      </c>
      <c r="AH29" s="65">
        <v>2</v>
      </c>
      <c r="AI29" s="65">
        <v>3</v>
      </c>
      <c r="AJ29" s="65">
        <v>3</v>
      </c>
      <c r="AK29" s="65" t="s">
        <v>202</v>
      </c>
      <c r="AL29" s="128">
        <v>45747</v>
      </c>
      <c r="AM29" s="65">
        <v>8</v>
      </c>
      <c r="AN29" s="65">
        <v>2</v>
      </c>
      <c r="AO29" s="65" t="s">
        <v>202</v>
      </c>
      <c r="AP29" s="65">
        <v>3</v>
      </c>
      <c r="AQ29" s="65" t="s">
        <v>354</v>
      </c>
      <c r="AR29" s="65" t="s">
        <v>353</v>
      </c>
      <c r="AS29" s="65">
        <v>1</v>
      </c>
      <c r="AT29" s="65">
        <v>1</v>
      </c>
      <c r="AU29" s="65" t="s">
        <v>1477</v>
      </c>
      <c r="AV29" s="65" t="s">
        <v>198</v>
      </c>
      <c r="AW29" s="65" t="s">
        <v>353</v>
      </c>
      <c r="AX29" s="65" t="s">
        <v>202</v>
      </c>
      <c r="AY29" s="65" t="s">
        <v>353</v>
      </c>
    </row>
    <row r="30" spans="1:51" x14ac:dyDescent="0.2">
      <c r="A30" s="65" t="s">
        <v>1313</v>
      </c>
      <c r="B30" s="65" t="s">
        <v>788</v>
      </c>
      <c r="C30" s="65" t="s">
        <v>789</v>
      </c>
      <c r="D30" s="65" t="s">
        <v>1578</v>
      </c>
      <c r="E30" s="65" t="s">
        <v>353</v>
      </c>
      <c r="F30" s="65" t="s">
        <v>1415</v>
      </c>
      <c r="G30" s="65" t="s">
        <v>1416</v>
      </c>
      <c r="H30" s="65" t="s">
        <v>1417</v>
      </c>
      <c r="I30" s="65" t="s">
        <v>1418</v>
      </c>
      <c r="J30" s="65">
        <v>3144341774</v>
      </c>
      <c r="K30" s="65" t="s">
        <v>1502</v>
      </c>
      <c r="L30" s="65" t="s">
        <v>1503</v>
      </c>
      <c r="M30" s="65" t="s">
        <v>361</v>
      </c>
      <c r="N30" s="65" t="s">
        <v>1504</v>
      </c>
      <c r="O30" s="65" t="s">
        <v>1422</v>
      </c>
      <c r="P30" s="65" t="s">
        <v>1423</v>
      </c>
      <c r="Q30" s="65" t="s">
        <v>1424</v>
      </c>
      <c r="R30" s="65" t="s">
        <v>1425</v>
      </c>
      <c r="S30" s="65" t="s">
        <v>1426</v>
      </c>
      <c r="T30" s="65" t="s">
        <v>1427</v>
      </c>
      <c r="U30" s="65" t="s">
        <v>1428</v>
      </c>
      <c r="V30" s="65" t="s">
        <v>1429</v>
      </c>
      <c r="W30" s="65" t="s">
        <v>1430</v>
      </c>
      <c r="X30" s="65" t="s">
        <v>1431</v>
      </c>
      <c r="Y30" s="65" t="s">
        <v>1441</v>
      </c>
      <c r="Z30" s="65" t="s">
        <v>1313</v>
      </c>
      <c r="AA30" s="65" t="s">
        <v>1579</v>
      </c>
      <c r="AB30" s="65">
        <v>4</v>
      </c>
      <c r="AC30" s="65">
        <v>190</v>
      </c>
      <c r="AD30" s="65">
        <v>160</v>
      </c>
      <c r="AE30" s="65" t="s">
        <v>1580</v>
      </c>
      <c r="AL30" s="128">
        <v>45819</v>
      </c>
      <c r="AO30" s="65" t="s">
        <v>202</v>
      </c>
      <c r="AU30" s="65" t="s">
        <v>1529</v>
      </c>
      <c r="AV30" s="65" t="s">
        <v>198</v>
      </c>
      <c r="AX30" s="65" t="s">
        <v>202</v>
      </c>
    </row>
    <row r="31" spans="1:51" x14ac:dyDescent="0.2">
      <c r="A31" s="65" t="s">
        <v>1313</v>
      </c>
      <c r="B31" s="65" t="s">
        <v>460</v>
      </c>
      <c r="C31" s="65" t="s">
        <v>461</v>
      </c>
      <c r="D31" s="65" t="s">
        <v>1581</v>
      </c>
      <c r="E31" s="65" t="s">
        <v>353</v>
      </c>
      <c r="F31" s="65" t="s">
        <v>1415</v>
      </c>
      <c r="G31" s="65" t="s">
        <v>1416</v>
      </c>
      <c r="H31" s="65" t="s">
        <v>1417</v>
      </c>
      <c r="I31" s="65" t="s">
        <v>1418</v>
      </c>
      <c r="J31" s="65">
        <v>3144341774</v>
      </c>
      <c r="K31" s="65" t="s">
        <v>1531</v>
      </c>
      <c r="L31" s="65" t="s">
        <v>1532</v>
      </c>
      <c r="M31" s="65" t="s">
        <v>364</v>
      </c>
      <c r="N31" s="65" t="s">
        <v>1533</v>
      </c>
      <c r="O31" s="65" t="s">
        <v>1422</v>
      </c>
      <c r="P31" s="65" t="s">
        <v>1423</v>
      </c>
      <c r="Q31" s="65" t="s">
        <v>1424</v>
      </c>
      <c r="R31" s="65" t="s">
        <v>1425</v>
      </c>
      <c r="S31" s="65" t="s">
        <v>1426</v>
      </c>
      <c r="T31" s="65" t="s">
        <v>1427</v>
      </c>
      <c r="U31" s="65" t="s">
        <v>1428</v>
      </c>
      <c r="V31" s="65" t="s">
        <v>1429</v>
      </c>
      <c r="W31" s="65" t="s">
        <v>1430</v>
      </c>
      <c r="X31" s="65" t="s">
        <v>1431</v>
      </c>
      <c r="Y31" s="65" t="s">
        <v>1582</v>
      </c>
      <c r="Z31" s="65" t="s">
        <v>1313</v>
      </c>
      <c r="AA31" s="65" t="s">
        <v>1583</v>
      </c>
      <c r="AB31" s="65">
        <v>3</v>
      </c>
      <c r="AC31" s="65" t="s">
        <v>1464</v>
      </c>
      <c r="AD31" s="65" t="s">
        <v>1444</v>
      </c>
      <c r="AE31" s="65" t="s">
        <v>1584</v>
      </c>
      <c r="AF31" s="65" t="s">
        <v>1437</v>
      </c>
      <c r="AG31" s="65">
        <v>2</v>
      </c>
      <c r="AH31" s="65">
        <v>0</v>
      </c>
      <c r="AI31" s="65">
        <v>2</v>
      </c>
      <c r="AJ31" s="65">
        <v>1</v>
      </c>
      <c r="AK31" s="65" t="s">
        <v>202</v>
      </c>
      <c r="AL31" s="128">
        <v>45002</v>
      </c>
      <c r="AM31" s="65">
        <v>4</v>
      </c>
      <c r="AN31" s="65">
        <v>1</v>
      </c>
      <c r="AO31" s="65" t="s">
        <v>202</v>
      </c>
      <c r="AP31" s="65">
        <v>1</v>
      </c>
      <c r="AQ31" s="65" t="s">
        <v>355</v>
      </c>
      <c r="AR31" s="65" t="s">
        <v>202</v>
      </c>
      <c r="AS31" s="65">
        <v>1</v>
      </c>
      <c r="AT31" s="65">
        <v>1</v>
      </c>
      <c r="AU31" s="65" t="s">
        <v>1438</v>
      </c>
      <c r="AV31" s="65" t="s">
        <v>1439</v>
      </c>
      <c r="AW31" s="65" t="s">
        <v>202</v>
      </c>
      <c r="AX31" s="65" t="s">
        <v>202</v>
      </c>
      <c r="AY31" s="65" t="s">
        <v>353</v>
      </c>
    </row>
    <row r="32" spans="1:51" x14ac:dyDescent="0.2">
      <c r="A32" s="65" t="s">
        <v>1313</v>
      </c>
      <c r="B32" s="65" t="s">
        <v>477</v>
      </c>
      <c r="C32" s="65" t="s">
        <v>478</v>
      </c>
      <c r="D32" s="65" t="s">
        <v>1585</v>
      </c>
      <c r="E32" s="65" t="s">
        <v>353</v>
      </c>
      <c r="F32" s="65" t="s">
        <v>1415</v>
      </c>
      <c r="G32" s="65" t="s">
        <v>1416</v>
      </c>
      <c r="H32" s="65" t="s">
        <v>1417</v>
      </c>
      <c r="I32" s="65" t="s">
        <v>1418</v>
      </c>
      <c r="J32" s="65">
        <v>3144341774</v>
      </c>
      <c r="K32" s="65" t="s">
        <v>1531</v>
      </c>
      <c r="L32" s="65" t="s">
        <v>1532</v>
      </c>
      <c r="M32" s="65" t="s">
        <v>364</v>
      </c>
      <c r="N32" s="65" t="s">
        <v>1533</v>
      </c>
      <c r="O32" s="65" t="s">
        <v>1422</v>
      </c>
      <c r="P32" s="65" t="s">
        <v>1423</v>
      </c>
      <c r="Q32" s="65" t="s">
        <v>1586</v>
      </c>
      <c r="R32" s="65" t="s">
        <v>1425</v>
      </c>
      <c r="S32" s="65" t="s">
        <v>1426</v>
      </c>
      <c r="T32" s="65" t="s">
        <v>1427</v>
      </c>
      <c r="U32" s="65" t="s">
        <v>1428</v>
      </c>
      <c r="V32" s="65" t="s">
        <v>1429</v>
      </c>
      <c r="W32" s="65" t="s">
        <v>1430</v>
      </c>
      <c r="X32" s="65" t="s">
        <v>1431</v>
      </c>
      <c r="Y32" s="65" t="s">
        <v>1441</v>
      </c>
      <c r="Z32" s="65" t="s">
        <v>1313</v>
      </c>
      <c r="AA32" s="65" t="s">
        <v>1587</v>
      </c>
      <c r="AB32" s="65">
        <v>3</v>
      </c>
      <c r="AC32" s="65" t="s">
        <v>1588</v>
      </c>
      <c r="AD32" s="65" t="s">
        <v>1526</v>
      </c>
      <c r="AE32" s="65" t="s">
        <v>1589</v>
      </c>
      <c r="AF32" s="65" t="s">
        <v>1446</v>
      </c>
      <c r="AG32" s="65">
        <v>1</v>
      </c>
      <c r="AH32" s="65">
        <v>0</v>
      </c>
      <c r="AI32" s="65">
        <v>2</v>
      </c>
      <c r="AJ32" s="65">
        <v>1</v>
      </c>
      <c r="AK32" s="65" t="s">
        <v>202</v>
      </c>
      <c r="AL32" s="128">
        <v>44985</v>
      </c>
      <c r="AM32" s="65">
        <v>4</v>
      </c>
      <c r="AN32" s="65">
        <v>2</v>
      </c>
      <c r="AO32" s="65" t="s">
        <v>202</v>
      </c>
      <c r="AP32" s="65">
        <v>2</v>
      </c>
      <c r="AQ32" s="65" t="s">
        <v>352</v>
      </c>
      <c r="AR32" s="65" t="s">
        <v>353</v>
      </c>
      <c r="AS32" s="65">
        <v>1</v>
      </c>
      <c r="AT32" s="65">
        <v>1</v>
      </c>
      <c r="AU32" s="65" t="s">
        <v>1438</v>
      </c>
      <c r="AV32" s="65" t="s">
        <v>1439</v>
      </c>
      <c r="AW32" s="65" t="s">
        <v>202</v>
      </c>
      <c r="AX32" s="65" t="s">
        <v>202</v>
      </c>
      <c r="AY32" s="65" t="s">
        <v>353</v>
      </c>
    </row>
    <row r="33" spans="1:51" x14ac:dyDescent="0.2">
      <c r="A33" s="65" t="s">
        <v>1313</v>
      </c>
      <c r="B33" s="65" t="s">
        <v>683</v>
      </c>
      <c r="C33" s="65" t="s">
        <v>684</v>
      </c>
      <c r="D33" s="65" t="s">
        <v>1590</v>
      </c>
      <c r="E33" s="65" t="s">
        <v>353</v>
      </c>
      <c r="F33" s="65" t="s">
        <v>1415</v>
      </c>
      <c r="G33" s="65" t="s">
        <v>1416</v>
      </c>
      <c r="H33" s="65" t="s">
        <v>1417</v>
      </c>
      <c r="I33" s="65" t="s">
        <v>1418</v>
      </c>
      <c r="J33" s="65">
        <v>3144341774</v>
      </c>
      <c r="K33" s="65" t="s">
        <v>1531</v>
      </c>
      <c r="L33" s="65" t="s">
        <v>1532</v>
      </c>
      <c r="M33" s="65" t="s">
        <v>364</v>
      </c>
      <c r="N33" s="65" t="s">
        <v>1533</v>
      </c>
      <c r="O33" s="65" t="s">
        <v>1422</v>
      </c>
      <c r="P33" s="65" t="s">
        <v>1423</v>
      </c>
      <c r="Q33" s="65" t="s">
        <v>1424</v>
      </c>
      <c r="R33" s="65" t="s">
        <v>1425</v>
      </c>
      <c r="S33" s="65" t="s">
        <v>1426</v>
      </c>
      <c r="T33" s="65" t="s">
        <v>1427</v>
      </c>
      <c r="U33" s="65" t="s">
        <v>1428</v>
      </c>
      <c r="V33" s="65" t="s">
        <v>1429</v>
      </c>
      <c r="W33" s="65" t="s">
        <v>1430</v>
      </c>
      <c r="X33" s="65" t="s">
        <v>1431</v>
      </c>
      <c r="Y33" s="65" t="s">
        <v>1441</v>
      </c>
      <c r="Z33" s="65" t="s">
        <v>1313</v>
      </c>
      <c r="AA33" s="65" t="s">
        <v>1591</v>
      </c>
      <c r="AB33" s="65">
        <v>4</v>
      </c>
      <c r="AC33" s="65" t="s">
        <v>1592</v>
      </c>
      <c r="AD33" s="65" t="s">
        <v>1593</v>
      </c>
      <c r="AE33" s="65" t="s">
        <v>1594</v>
      </c>
      <c r="AF33" s="65" t="s">
        <v>1437</v>
      </c>
      <c r="AG33" s="65">
        <v>1</v>
      </c>
      <c r="AH33" s="65">
        <v>1</v>
      </c>
      <c r="AI33" s="65">
        <v>2</v>
      </c>
      <c r="AJ33" s="65">
        <v>1</v>
      </c>
      <c r="AK33" s="65" t="s">
        <v>202</v>
      </c>
      <c r="AL33" s="128">
        <v>45351</v>
      </c>
      <c r="AM33" s="65">
        <v>6</v>
      </c>
      <c r="AN33" s="65">
        <v>2</v>
      </c>
      <c r="AO33" s="65" t="s">
        <v>202</v>
      </c>
      <c r="AP33" s="65">
        <v>2</v>
      </c>
      <c r="AQ33" s="65" t="s">
        <v>354</v>
      </c>
      <c r="AR33" s="65" t="s">
        <v>202</v>
      </c>
      <c r="AS33" s="65">
        <v>1</v>
      </c>
      <c r="AT33" s="65">
        <v>1</v>
      </c>
      <c r="AU33" s="65" t="s">
        <v>1438</v>
      </c>
      <c r="AV33" s="65" t="s">
        <v>198</v>
      </c>
      <c r="AW33" s="65" t="s">
        <v>353</v>
      </c>
      <c r="AX33" s="65" t="s">
        <v>202</v>
      </c>
      <c r="AY33" s="65" t="s">
        <v>353</v>
      </c>
    </row>
    <row r="34" spans="1:51" x14ac:dyDescent="0.2">
      <c r="A34" s="65" t="s">
        <v>1313</v>
      </c>
      <c r="B34" s="65" t="s">
        <v>455</v>
      </c>
      <c r="C34" s="65" t="s">
        <v>456</v>
      </c>
      <c r="D34" s="65" t="s">
        <v>1595</v>
      </c>
      <c r="E34" s="65" t="s">
        <v>353</v>
      </c>
      <c r="F34" s="65" t="s">
        <v>1415</v>
      </c>
      <c r="G34" s="65" t="s">
        <v>1416</v>
      </c>
      <c r="H34" s="65" t="s">
        <v>1417</v>
      </c>
      <c r="I34" s="65" t="s">
        <v>1418</v>
      </c>
      <c r="J34" s="65">
        <v>3144341774</v>
      </c>
      <c r="K34" s="65" t="s">
        <v>1531</v>
      </c>
      <c r="L34" s="65" t="s">
        <v>1532</v>
      </c>
      <c r="M34" s="65" t="s">
        <v>364</v>
      </c>
      <c r="N34" s="65" t="s">
        <v>1533</v>
      </c>
      <c r="O34" s="65" t="s">
        <v>1422</v>
      </c>
      <c r="P34" s="65" t="s">
        <v>1423</v>
      </c>
      <c r="Q34" s="65" t="s">
        <v>1424</v>
      </c>
      <c r="R34" s="65" t="s">
        <v>1425</v>
      </c>
      <c r="S34" s="65" t="s">
        <v>1426</v>
      </c>
      <c r="T34" s="65" t="s">
        <v>1427</v>
      </c>
      <c r="U34" s="65" t="s">
        <v>1428</v>
      </c>
      <c r="V34" s="65" t="s">
        <v>1429</v>
      </c>
      <c r="W34" s="65" t="s">
        <v>1430</v>
      </c>
      <c r="X34" s="65" t="s">
        <v>1431</v>
      </c>
      <c r="Y34" s="65" t="s">
        <v>1582</v>
      </c>
      <c r="Z34" s="65" t="s">
        <v>1313</v>
      </c>
      <c r="AA34" s="65" t="s">
        <v>1596</v>
      </c>
      <c r="AB34" s="65">
        <v>3</v>
      </c>
      <c r="AC34" s="65" t="s">
        <v>1597</v>
      </c>
      <c r="AD34" s="65" t="s">
        <v>1598</v>
      </c>
      <c r="AE34" s="65" t="s">
        <v>1599</v>
      </c>
      <c r="AF34" s="65" t="s">
        <v>1446</v>
      </c>
      <c r="AG34" s="65">
        <v>3</v>
      </c>
      <c r="AH34" s="65">
        <v>0</v>
      </c>
      <c r="AI34" s="65">
        <v>2</v>
      </c>
      <c r="AJ34" s="65">
        <v>2</v>
      </c>
      <c r="AK34" s="65" t="s">
        <v>202</v>
      </c>
      <c r="AL34" s="128">
        <v>44981</v>
      </c>
      <c r="AM34" s="65">
        <v>4</v>
      </c>
      <c r="AN34" s="65">
        <v>1</v>
      </c>
      <c r="AO34" s="65" t="s">
        <v>202</v>
      </c>
      <c r="AP34" s="65">
        <v>2</v>
      </c>
      <c r="AQ34" s="65" t="s">
        <v>352</v>
      </c>
      <c r="AR34" s="65" t="s">
        <v>202</v>
      </c>
      <c r="AS34" s="65">
        <v>1</v>
      </c>
      <c r="AT34" s="65">
        <v>1</v>
      </c>
      <c r="AU34" s="65" t="s">
        <v>1438</v>
      </c>
      <c r="AV34" s="65" t="s">
        <v>1439</v>
      </c>
      <c r="AW34" s="65" t="s">
        <v>202</v>
      </c>
      <c r="AX34" s="65" t="s">
        <v>202</v>
      </c>
      <c r="AY34" s="65" t="s">
        <v>202</v>
      </c>
    </row>
    <row r="35" spans="1:51" x14ac:dyDescent="0.2">
      <c r="A35" s="65" t="s">
        <v>1313</v>
      </c>
      <c r="B35" s="65" t="s">
        <v>661</v>
      </c>
      <c r="C35" s="65" t="s">
        <v>662</v>
      </c>
      <c r="D35" s="65" t="s">
        <v>1600</v>
      </c>
      <c r="E35" s="65" t="s">
        <v>353</v>
      </c>
      <c r="F35" s="65" t="s">
        <v>1415</v>
      </c>
      <c r="G35" s="65" t="s">
        <v>1416</v>
      </c>
      <c r="H35" s="65" t="s">
        <v>1417</v>
      </c>
      <c r="I35" s="65" t="s">
        <v>1418</v>
      </c>
      <c r="J35" s="65">
        <v>3144341774</v>
      </c>
      <c r="K35" s="65" t="s">
        <v>1531</v>
      </c>
      <c r="L35" s="65" t="s">
        <v>1532</v>
      </c>
      <c r="M35" s="65" t="s">
        <v>364</v>
      </c>
      <c r="N35" s="65" t="s">
        <v>1533</v>
      </c>
      <c r="O35" s="65" t="s">
        <v>1422</v>
      </c>
      <c r="P35" s="65" t="s">
        <v>1423</v>
      </c>
      <c r="Q35" s="65" t="s">
        <v>1424</v>
      </c>
      <c r="R35" s="65" t="s">
        <v>1425</v>
      </c>
      <c r="S35" s="65" t="s">
        <v>1426</v>
      </c>
      <c r="T35" s="65" t="s">
        <v>1427</v>
      </c>
      <c r="U35" s="65" t="s">
        <v>1428</v>
      </c>
      <c r="V35" s="65" t="s">
        <v>1429</v>
      </c>
      <c r="W35" s="65" t="s">
        <v>1430</v>
      </c>
      <c r="X35" s="65" t="s">
        <v>1431</v>
      </c>
      <c r="Y35" s="65" t="s">
        <v>1601</v>
      </c>
      <c r="Z35" s="65" t="s">
        <v>1313</v>
      </c>
      <c r="AA35" s="65" t="s">
        <v>1602</v>
      </c>
      <c r="AB35" s="65">
        <v>2</v>
      </c>
      <c r="AC35" s="65" t="s">
        <v>1603</v>
      </c>
      <c r="AD35" s="65" t="s">
        <v>1604</v>
      </c>
      <c r="AE35" s="65" t="s">
        <v>1605</v>
      </c>
      <c r="AF35" s="65" t="s">
        <v>1437</v>
      </c>
      <c r="AG35" s="65">
        <v>3</v>
      </c>
      <c r="AH35" s="65">
        <v>1</v>
      </c>
      <c r="AI35" s="65">
        <v>2</v>
      </c>
      <c r="AJ35" s="65">
        <v>2</v>
      </c>
      <c r="AK35" s="65" t="s">
        <v>202</v>
      </c>
      <c r="AL35" s="128">
        <v>44997</v>
      </c>
      <c r="AM35" s="65">
        <v>4</v>
      </c>
      <c r="AN35" s="65">
        <v>1</v>
      </c>
      <c r="AO35" s="65" t="s">
        <v>202</v>
      </c>
      <c r="AP35" s="65">
        <v>2</v>
      </c>
      <c r="AQ35" s="65" t="s">
        <v>352</v>
      </c>
      <c r="AR35" s="65" t="s">
        <v>202</v>
      </c>
      <c r="AS35" s="65">
        <v>1</v>
      </c>
      <c r="AT35" s="65">
        <v>1</v>
      </c>
      <c r="AU35" s="65" t="s">
        <v>1438</v>
      </c>
      <c r="AV35" s="65" t="s">
        <v>1439</v>
      </c>
      <c r="AW35" s="65" t="s">
        <v>202</v>
      </c>
      <c r="AX35" s="65" t="s">
        <v>202</v>
      </c>
      <c r="AY35" s="65" t="s">
        <v>353</v>
      </c>
    </row>
    <row r="36" spans="1:51" x14ac:dyDescent="0.2">
      <c r="A36" s="65" t="s">
        <v>1309</v>
      </c>
      <c r="B36" s="65" t="s">
        <v>592</v>
      </c>
      <c r="C36" s="65" t="s">
        <v>593</v>
      </c>
      <c r="D36" s="65" t="s">
        <v>1606</v>
      </c>
      <c r="E36" s="65" t="s">
        <v>341</v>
      </c>
      <c r="F36" s="65" t="s">
        <v>1607</v>
      </c>
      <c r="G36" s="65" t="s">
        <v>1608</v>
      </c>
      <c r="H36" s="65" t="s">
        <v>341</v>
      </c>
      <c r="I36" s="65" t="s">
        <v>341</v>
      </c>
      <c r="J36" s="65" t="s">
        <v>341</v>
      </c>
      <c r="K36" s="65" t="s">
        <v>341</v>
      </c>
      <c r="L36" s="65" t="s">
        <v>341</v>
      </c>
      <c r="M36" s="65" t="s">
        <v>341</v>
      </c>
      <c r="N36" s="65" t="s">
        <v>341</v>
      </c>
      <c r="O36" s="65" t="s">
        <v>341</v>
      </c>
      <c r="P36" s="65" t="s">
        <v>341</v>
      </c>
      <c r="Q36" s="65" t="s">
        <v>341</v>
      </c>
      <c r="R36" s="65" t="s">
        <v>341</v>
      </c>
      <c r="S36" s="65" t="s">
        <v>341</v>
      </c>
      <c r="T36" s="65" t="s">
        <v>341</v>
      </c>
      <c r="U36" s="65" t="s">
        <v>341</v>
      </c>
      <c r="V36" s="65" t="s">
        <v>341</v>
      </c>
      <c r="W36" s="65" t="s">
        <v>341</v>
      </c>
      <c r="X36" s="65" t="s">
        <v>341</v>
      </c>
      <c r="Y36" s="65" t="s">
        <v>1609</v>
      </c>
      <c r="Z36" s="65" t="s">
        <v>1610</v>
      </c>
      <c r="AA36" s="65" t="s">
        <v>1611</v>
      </c>
      <c r="AB36" s="65" t="s">
        <v>341</v>
      </c>
      <c r="AC36" s="65" t="s">
        <v>341</v>
      </c>
      <c r="AD36" s="65" t="s">
        <v>341</v>
      </c>
      <c r="AE36" s="65" t="s">
        <v>341</v>
      </c>
      <c r="AF36" s="65" t="s">
        <v>341</v>
      </c>
      <c r="AG36" s="65" t="s">
        <v>341</v>
      </c>
      <c r="AH36" s="65" t="s">
        <v>341</v>
      </c>
      <c r="AI36" s="65" t="s">
        <v>341</v>
      </c>
      <c r="AJ36" s="65" t="s">
        <v>341</v>
      </c>
      <c r="AK36" s="65" t="s">
        <v>341</v>
      </c>
      <c r="AL36" s="65" t="s">
        <v>341</v>
      </c>
      <c r="AM36" s="65" t="s">
        <v>341</v>
      </c>
      <c r="AN36" s="65" t="s">
        <v>341</v>
      </c>
      <c r="AO36" s="65" t="s">
        <v>341</v>
      </c>
      <c r="AP36" s="65" t="s">
        <v>341</v>
      </c>
      <c r="AQ36" s="65" t="s">
        <v>341</v>
      </c>
      <c r="AR36" s="65" t="s">
        <v>341</v>
      </c>
      <c r="AS36" s="65" t="s">
        <v>341</v>
      </c>
      <c r="AT36" s="65" t="s">
        <v>341</v>
      </c>
      <c r="AU36" s="65" t="s">
        <v>341</v>
      </c>
      <c r="AV36" s="65" t="s">
        <v>341</v>
      </c>
      <c r="AW36" s="65" t="s">
        <v>341</v>
      </c>
      <c r="AX36" s="65" t="s">
        <v>341</v>
      </c>
      <c r="AY36" s="65" t="s">
        <v>341</v>
      </c>
    </row>
    <row r="37" spans="1:51" x14ac:dyDescent="0.2">
      <c r="A37" s="65" t="s">
        <v>1309</v>
      </c>
      <c r="B37" s="65" t="s">
        <v>600</v>
      </c>
      <c r="C37" s="65" t="s">
        <v>601</v>
      </c>
      <c r="D37" s="65" t="s">
        <v>1612</v>
      </c>
      <c r="E37" s="65" t="s">
        <v>341</v>
      </c>
      <c r="F37" s="65" t="s">
        <v>1607</v>
      </c>
      <c r="G37" s="65" t="s">
        <v>1608</v>
      </c>
      <c r="H37" s="65" t="s">
        <v>341</v>
      </c>
      <c r="I37" s="65" t="s">
        <v>341</v>
      </c>
      <c r="J37" s="65" t="s">
        <v>341</v>
      </c>
      <c r="K37" s="65" t="s">
        <v>341</v>
      </c>
      <c r="L37" s="65" t="s">
        <v>341</v>
      </c>
      <c r="M37" s="65" t="s">
        <v>341</v>
      </c>
      <c r="N37" s="65" t="s">
        <v>341</v>
      </c>
      <c r="O37" s="65" t="s">
        <v>341</v>
      </c>
      <c r="P37" s="65" t="s">
        <v>341</v>
      </c>
      <c r="Q37" s="65" t="s">
        <v>341</v>
      </c>
      <c r="R37" s="65" t="s">
        <v>341</v>
      </c>
      <c r="S37" s="65" t="s">
        <v>341</v>
      </c>
      <c r="T37" s="65" t="s">
        <v>341</v>
      </c>
      <c r="U37" s="65" t="s">
        <v>341</v>
      </c>
      <c r="V37" s="65" t="s">
        <v>341</v>
      </c>
      <c r="W37" s="65" t="s">
        <v>341</v>
      </c>
      <c r="X37" s="65" t="s">
        <v>341</v>
      </c>
      <c r="Y37" s="65" t="s">
        <v>1609</v>
      </c>
      <c r="Z37" s="65" t="s">
        <v>1610</v>
      </c>
      <c r="AA37" s="65" t="s">
        <v>1613</v>
      </c>
      <c r="AB37" s="65" t="s">
        <v>341</v>
      </c>
      <c r="AC37" s="65" t="s">
        <v>341</v>
      </c>
      <c r="AD37" s="65" t="s">
        <v>341</v>
      </c>
      <c r="AE37" s="65" t="s">
        <v>341</v>
      </c>
      <c r="AF37" s="65" t="s">
        <v>341</v>
      </c>
      <c r="AG37" s="65" t="s">
        <v>341</v>
      </c>
      <c r="AH37" s="65" t="s">
        <v>341</v>
      </c>
      <c r="AI37" s="65" t="s">
        <v>341</v>
      </c>
      <c r="AJ37" s="65" t="s">
        <v>341</v>
      </c>
      <c r="AK37" s="65" t="s">
        <v>341</v>
      </c>
      <c r="AL37" s="65" t="s">
        <v>341</v>
      </c>
      <c r="AM37" s="65" t="s">
        <v>341</v>
      </c>
      <c r="AN37" s="65" t="s">
        <v>341</v>
      </c>
      <c r="AO37" s="65" t="s">
        <v>341</v>
      </c>
      <c r="AP37" s="65" t="s">
        <v>341</v>
      </c>
      <c r="AQ37" s="65" t="s">
        <v>341</v>
      </c>
      <c r="AR37" s="65" t="s">
        <v>341</v>
      </c>
      <c r="AS37" s="65" t="s">
        <v>341</v>
      </c>
      <c r="AT37" s="65" t="s">
        <v>341</v>
      </c>
      <c r="AU37" s="65" t="s">
        <v>341</v>
      </c>
      <c r="AV37" s="65" t="s">
        <v>341</v>
      </c>
      <c r="AW37" s="65" t="s">
        <v>341</v>
      </c>
      <c r="AX37" s="65" t="s">
        <v>341</v>
      </c>
      <c r="AY37" s="65" t="s">
        <v>341</v>
      </c>
    </row>
    <row r="38" spans="1:51" x14ac:dyDescent="0.2">
      <c r="A38" s="65" t="s">
        <v>1309</v>
      </c>
      <c r="B38" s="65" t="s">
        <v>611</v>
      </c>
      <c r="C38" s="65" t="s">
        <v>612</v>
      </c>
      <c r="D38" s="65" t="s">
        <v>1614</v>
      </c>
      <c r="E38" s="65" t="s">
        <v>341</v>
      </c>
      <c r="F38" s="65" t="s">
        <v>1607</v>
      </c>
      <c r="G38" s="65" t="s">
        <v>1608</v>
      </c>
      <c r="H38" s="65" t="s">
        <v>341</v>
      </c>
      <c r="I38" s="65" t="s">
        <v>341</v>
      </c>
      <c r="J38" s="65" t="s">
        <v>341</v>
      </c>
      <c r="K38" s="65" t="s">
        <v>341</v>
      </c>
      <c r="L38" s="65" t="s">
        <v>341</v>
      </c>
      <c r="M38" s="65" t="s">
        <v>341</v>
      </c>
      <c r="N38" s="65" t="s">
        <v>341</v>
      </c>
      <c r="O38" s="65" t="s">
        <v>341</v>
      </c>
      <c r="P38" s="65" t="s">
        <v>341</v>
      </c>
      <c r="Q38" s="65" t="s">
        <v>341</v>
      </c>
      <c r="R38" s="65" t="s">
        <v>341</v>
      </c>
      <c r="S38" s="65" t="s">
        <v>341</v>
      </c>
      <c r="T38" s="65" t="s">
        <v>341</v>
      </c>
      <c r="U38" s="65" t="s">
        <v>341</v>
      </c>
      <c r="V38" s="65" t="s">
        <v>341</v>
      </c>
      <c r="W38" s="65" t="s">
        <v>341</v>
      </c>
      <c r="X38" s="65" t="s">
        <v>341</v>
      </c>
      <c r="Y38" s="65" t="s">
        <v>1615</v>
      </c>
      <c r="Z38" s="65" t="s">
        <v>1616</v>
      </c>
      <c r="AA38" s="65" t="s">
        <v>1617</v>
      </c>
      <c r="AB38" s="65" t="s">
        <v>341</v>
      </c>
      <c r="AC38" s="65" t="s">
        <v>341</v>
      </c>
      <c r="AD38" s="65" t="s">
        <v>341</v>
      </c>
      <c r="AE38" s="65" t="s">
        <v>341</v>
      </c>
      <c r="AF38" s="65" t="s">
        <v>341</v>
      </c>
      <c r="AG38" s="65" t="s">
        <v>341</v>
      </c>
      <c r="AH38" s="65" t="s">
        <v>341</v>
      </c>
      <c r="AI38" s="65" t="s">
        <v>341</v>
      </c>
      <c r="AJ38" s="65" t="s">
        <v>341</v>
      </c>
      <c r="AK38" s="65" t="s">
        <v>341</v>
      </c>
      <c r="AL38" s="65" t="s">
        <v>341</v>
      </c>
      <c r="AM38" s="65" t="s">
        <v>341</v>
      </c>
      <c r="AN38" s="65" t="s">
        <v>341</v>
      </c>
      <c r="AO38" s="65" t="s">
        <v>341</v>
      </c>
      <c r="AP38" s="65" t="s">
        <v>341</v>
      </c>
      <c r="AQ38" s="65" t="s">
        <v>341</v>
      </c>
      <c r="AR38" s="65" t="s">
        <v>341</v>
      </c>
      <c r="AS38" s="65" t="s">
        <v>341</v>
      </c>
      <c r="AT38" s="65" t="s">
        <v>341</v>
      </c>
      <c r="AU38" s="65" t="s">
        <v>341</v>
      </c>
      <c r="AV38" s="65" t="s">
        <v>341</v>
      </c>
      <c r="AW38" s="65" t="s">
        <v>341</v>
      </c>
      <c r="AX38" s="65" t="s">
        <v>341</v>
      </c>
      <c r="AY38" s="65" t="s">
        <v>341</v>
      </c>
    </row>
    <row r="39" spans="1:51" x14ac:dyDescent="0.2">
      <c r="A39" s="65" t="s">
        <v>1309</v>
      </c>
      <c r="B39" s="65" t="s">
        <v>615</v>
      </c>
      <c r="C39" s="65" t="s">
        <v>616</v>
      </c>
      <c r="D39" s="65" t="s">
        <v>1618</v>
      </c>
      <c r="E39" s="65" t="s">
        <v>341</v>
      </c>
      <c r="F39" s="65" t="s">
        <v>1607</v>
      </c>
      <c r="G39" s="65" t="s">
        <v>1608</v>
      </c>
      <c r="H39" s="65" t="s">
        <v>341</v>
      </c>
      <c r="I39" s="65" t="s">
        <v>341</v>
      </c>
      <c r="J39" s="65" t="s">
        <v>341</v>
      </c>
      <c r="K39" s="65" t="s">
        <v>341</v>
      </c>
      <c r="L39" s="65" t="s">
        <v>341</v>
      </c>
      <c r="M39" s="65" t="s">
        <v>341</v>
      </c>
      <c r="N39" s="65" t="s">
        <v>341</v>
      </c>
      <c r="O39" s="65" t="s">
        <v>341</v>
      </c>
      <c r="P39" s="65" t="s">
        <v>341</v>
      </c>
      <c r="Q39" s="65" t="s">
        <v>341</v>
      </c>
      <c r="R39" s="65" t="s">
        <v>341</v>
      </c>
      <c r="S39" s="65" t="s">
        <v>341</v>
      </c>
      <c r="T39" s="65" t="s">
        <v>341</v>
      </c>
      <c r="U39" s="65" t="s">
        <v>341</v>
      </c>
      <c r="V39" s="65" t="s">
        <v>341</v>
      </c>
      <c r="W39" s="65" t="s">
        <v>341</v>
      </c>
      <c r="X39" s="65" t="s">
        <v>341</v>
      </c>
      <c r="Y39" s="65" t="s">
        <v>1619</v>
      </c>
      <c r="Z39" s="65" t="s">
        <v>1620</v>
      </c>
      <c r="AA39" s="65" t="s">
        <v>1621</v>
      </c>
      <c r="AB39" s="65" t="s">
        <v>341</v>
      </c>
      <c r="AC39" s="65" t="s">
        <v>341</v>
      </c>
      <c r="AD39" s="65" t="s">
        <v>341</v>
      </c>
      <c r="AE39" s="65" t="s">
        <v>341</v>
      </c>
      <c r="AF39" s="65" t="s">
        <v>341</v>
      </c>
      <c r="AG39" s="65" t="s">
        <v>341</v>
      </c>
      <c r="AH39" s="65" t="s">
        <v>341</v>
      </c>
      <c r="AI39" s="65" t="s">
        <v>341</v>
      </c>
      <c r="AJ39" s="65" t="s">
        <v>341</v>
      </c>
      <c r="AK39" s="65" t="s">
        <v>341</v>
      </c>
      <c r="AL39" s="65" t="s">
        <v>341</v>
      </c>
      <c r="AM39" s="65" t="s">
        <v>341</v>
      </c>
      <c r="AN39" s="65" t="s">
        <v>341</v>
      </c>
      <c r="AO39" s="65" t="s">
        <v>341</v>
      </c>
      <c r="AP39" s="65" t="s">
        <v>341</v>
      </c>
      <c r="AQ39" s="65" t="s">
        <v>341</v>
      </c>
      <c r="AR39" s="65" t="s">
        <v>341</v>
      </c>
      <c r="AS39" s="65" t="s">
        <v>341</v>
      </c>
      <c r="AT39" s="65" t="s">
        <v>341</v>
      </c>
      <c r="AU39" s="65" t="s">
        <v>341</v>
      </c>
      <c r="AV39" s="65" t="s">
        <v>341</v>
      </c>
      <c r="AW39" s="65" t="s">
        <v>341</v>
      </c>
      <c r="AX39" s="65" t="s">
        <v>341</v>
      </c>
      <c r="AY39" s="65" t="s">
        <v>341</v>
      </c>
    </row>
    <row r="40" spans="1:51" x14ac:dyDescent="0.2">
      <c r="A40" s="65" t="s">
        <v>1309</v>
      </c>
      <c r="B40" s="65" t="s">
        <v>738</v>
      </c>
      <c r="C40" s="65" t="s">
        <v>739</v>
      </c>
      <c r="D40" s="65" t="s">
        <v>1622</v>
      </c>
      <c r="E40" s="65" t="s">
        <v>341</v>
      </c>
      <c r="F40" s="65" t="s">
        <v>1607</v>
      </c>
      <c r="G40" s="65" t="s">
        <v>1608</v>
      </c>
      <c r="H40" s="65" t="s">
        <v>341</v>
      </c>
      <c r="I40" s="65" t="s">
        <v>341</v>
      </c>
      <c r="J40" s="65" t="s">
        <v>341</v>
      </c>
      <c r="K40" s="65" t="s">
        <v>341</v>
      </c>
      <c r="L40" s="65" t="s">
        <v>341</v>
      </c>
      <c r="M40" s="65" t="s">
        <v>341</v>
      </c>
      <c r="N40" s="65" t="s">
        <v>341</v>
      </c>
      <c r="O40" s="65" t="s">
        <v>341</v>
      </c>
      <c r="P40" s="65" t="s">
        <v>341</v>
      </c>
      <c r="Q40" s="65" t="s">
        <v>341</v>
      </c>
      <c r="R40" s="65" t="s">
        <v>341</v>
      </c>
      <c r="S40" s="65" t="s">
        <v>341</v>
      </c>
      <c r="T40" s="65" t="s">
        <v>341</v>
      </c>
      <c r="U40" s="65" t="s">
        <v>341</v>
      </c>
      <c r="V40" s="65" t="s">
        <v>341</v>
      </c>
      <c r="W40" s="65" t="s">
        <v>341</v>
      </c>
      <c r="X40" s="65" t="s">
        <v>341</v>
      </c>
      <c r="Y40" s="65" t="s">
        <v>1623</v>
      </c>
      <c r="Z40" s="65" t="s">
        <v>1610</v>
      </c>
      <c r="AA40" s="65" t="s">
        <v>1624</v>
      </c>
      <c r="AB40" s="65" t="s">
        <v>341</v>
      </c>
      <c r="AC40" s="65" t="s">
        <v>341</v>
      </c>
      <c r="AD40" s="65" t="s">
        <v>341</v>
      </c>
      <c r="AE40" s="65" t="s">
        <v>341</v>
      </c>
      <c r="AF40" s="65" t="s">
        <v>341</v>
      </c>
      <c r="AG40" s="65" t="s">
        <v>341</v>
      </c>
      <c r="AH40" s="65" t="s">
        <v>341</v>
      </c>
      <c r="AI40" s="65" t="s">
        <v>341</v>
      </c>
      <c r="AJ40" s="65" t="s">
        <v>341</v>
      </c>
      <c r="AK40" s="65" t="s">
        <v>341</v>
      </c>
      <c r="AL40" s="65" t="s">
        <v>341</v>
      </c>
      <c r="AM40" s="65" t="s">
        <v>341</v>
      </c>
      <c r="AN40" s="65" t="s">
        <v>341</v>
      </c>
      <c r="AO40" s="65" t="s">
        <v>341</v>
      </c>
      <c r="AP40" s="65" t="s">
        <v>341</v>
      </c>
      <c r="AQ40" s="65" t="s">
        <v>341</v>
      </c>
      <c r="AR40" s="65" t="s">
        <v>341</v>
      </c>
      <c r="AS40" s="65" t="s">
        <v>341</v>
      </c>
      <c r="AT40" s="65" t="s">
        <v>341</v>
      </c>
      <c r="AU40" s="65" t="s">
        <v>341</v>
      </c>
      <c r="AV40" s="65" t="s">
        <v>341</v>
      </c>
      <c r="AW40" s="65" t="s">
        <v>341</v>
      </c>
      <c r="AX40" s="65" t="s">
        <v>341</v>
      </c>
      <c r="AY40" s="65" t="s">
        <v>341</v>
      </c>
    </row>
    <row r="41" spans="1:51" x14ac:dyDescent="0.2">
      <c r="A41" s="65" t="s">
        <v>1309</v>
      </c>
      <c r="B41" s="65" t="s">
        <v>740</v>
      </c>
      <c r="C41" s="65" t="s">
        <v>741</v>
      </c>
      <c r="D41" s="65" t="s">
        <v>1625</v>
      </c>
      <c r="E41" s="65" t="s">
        <v>341</v>
      </c>
      <c r="F41" s="65" t="s">
        <v>1607</v>
      </c>
      <c r="G41" s="65" t="s">
        <v>1608</v>
      </c>
      <c r="H41" s="65" t="s">
        <v>341</v>
      </c>
      <c r="I41" s="65" t="s">
        <v>341</v>
      </c>
      <c r="J41" s="65" t="s">
        <v>341</v>
      </c>
      <c r="K41" s="65" t="s">
        <v>341</v>
      </c>
      <c r="L41" s="65" t="s">
        <v>341</v>
      </c>
      <c r="M41" s="65" t="s">
        <v>341</v>
      </c>
      <c r="N41" s="65" t="s">
        <v>341</v>
      </c>
      <c r="O41" s="65" t="s">
        <v>341</v>
      </c>
      <c r="P41" s="65" t="s">
        <v>341</v>
      </c>
      <c r="Q41" s="65" t="s">
        <v>341</v>
      </c>
      <c r="R41" s="65" t="s">
        <v>341</v>
      </c>
      <c r="S41" s="65" t="s">
        <v>341</v>
      </c>
      <c r="T41" s="65" t="s">
        <v>341</v>
      </c>
      <c r="U41" s="65" t="s">
        <v>341</v>
      </c>
      <c r="V41" s="65" t="s">
        <v>341</v>
      </c>
      <c r="W41" s="65" t="s">
        <v>341</v>
      </c>
      <c r="X41" s="65" t="s">
        <v>341</v>
      </c>
      <c r="Y41" s="65" t="s">
        <v>1626</v>
      </c>
      <c r="Z41" s="65" t="s">
        <v>1620</v>
      </c>
      <c r="AA41" s="65" t="s">
        <v>1627</v>
      </c>
      <c r="AB41" s="65" t="s">
        <v>341</v>
      </c>
      <c r="AC41" s="65" t="s">
        <v>341</v>
      </c>
      <c r="AD41" s="65" t="s">
        <v>341</v>
      </c>
      <c r="AE41" s="65" t="s">
        <v>341</v>
      </c>
      <c r="AF41" s="65" t="s">
        <v>341</v>
      </c>
      <c r="AG41" s="65" t="s">
        <v>341</v>
      </c>
      <c r="AH41" s="65" t="s">
        <v>341</v>
      </c>
      <c r="AI41" s="65" t="s">
        <v>341</v>
      </c>
      <c r="AJ41" s="65" t="s">
        <v>341</v>
      </c>
      <c r="AK41" s="65" t="s">
        <v>341</v>
      </c>
      <c r="AL41" s="65" t="s">
        <v>341</v>
      </c>
      <c r="AM41" s="65" t="s">
        <v>341</v>
      </c>
      <c r="AN41" s="65" t="s">
        <v>341</v>
      </c>
      <c r="AO41" s="65" t="s">
        <v>341</v>
      </c>
      <c r="AP41" s="65" t="s">
        <v>341</v>
      </c>
      <c r="AQ41" s="65" t="s">
        <v>341</v>
      </c>
      <c r="AR41" s="65" t="s">
        <v>341</v>
      </c>
      <c r="AS41" s="65" t="s">
        <v>341</v>
      </c>
      <c r="AT41" s="65" t="s">
        <v>341</v>
      </c>
      <c r="AU41" s="65" t="s">
        <v>341</v>
      </c>
      <c r="AV41" s="65" t="s">
        <v>341</v>
      </c>
      <c r="AW41" s="65" t="s">
        <v>341</v>
      </c>
      <c r="AX41" s="65" t="s">
        <v>341</v>
      </c>
      <c r="AY41" s="65" t="s">
        <v>341</v>
      </c>
    </row>
    <row r="42" spans="1:51" x14ac:dyDescent="0.2">
      <c r="A42" s="65" t="s">
        <v>1309</v>
      </c>
      <c r="B42" s="65" t="s">
        <v>744</v>
      </c>
      <c r="C42" s="65" t="s">
        <v>745</v>
      </c>
      <c r="D42" s="65" t="s">
        <v>1628</v>
      </c>
      <c r="E42" s="65" t="s">
        <v>341</v>
      </c>
      <c r="F42" s="65" t="s">
        <v>1607</v>
      </c>
      <c r="G42" s="65" t="s">
        <v>1608</v>
      </c>
      <c r="H42" s="65" t="s">
        <v>341</v>
      </c>
      <c r="I42" s="65" t="s">
        <v>341</v>
      </c>
      <c r="J42" s="65" t="s">
        <v>341</v>
      </c>
      <c r="K42" s="65" t="s">
        <v>341</v>
      </c>
      <c r="L42" s="65" t="s">
        <v>341</v>
      </c>
      <c r="M42" s="65" t="s">
        <v>341</v>
      </c>
      <c r="N42" s="65" t="s">
        <v>341</v>
      </c>
      <c r="O42" s="65" t="s">
        <v>341</v>
      </c>
      <c r="P42" s="65" t="s">
        <v>341</v>
      </c>
      <c r="Q42" s="65" t="s">
        <v>341</v>
      </c>
      <c r="R42" s="65" t="s">
        <v>341</v>
      </c>
      <c r="S42" s="65" t="s">
        <v>341</v>
      </c>
      <c r="T42" s="65" t="s">
        <v>341</v>
      </c>
      <c r="U42" s="65" t="s">
        <v>341</v>
      </c>
      <c r="V42" s="65" t="s">
        <v>341</v>
      </c>
      <c r="W42" s="65" t="s">
        <v>341</v>
      </c>
      <c r="X42" s="65" t="s">
        <v>341</v>
      </c>
      <c r="Y42" s="65" t="s">
        <v>1629</v>
      </c>
      <c r="Z42" s="65" t="s">
        <v>1610</v>
      </c>
      <c r="AA42" s="65" t="s">
        <v>1630</v>
      </c>
      <c r="AB42" s="65" t="s">
        <v>341</v>
      </c>
      <c r="AC42" s="65" t="s">
        <v>341</v>
      </c>
      <c r="AD42" s="65" t="s">
        <v>341</v>
      </c>
      <c r="AE42" s="65" t="s">
        <v>341</v>
      </c>
      <c r="AF42" s="65" t="s">
        <v>341</v>
      </c>
      <c r="AG42" s="65" t="s">
        <v>341</v>
      </c>
      <c r="AH42" s="65" t="s">
        <v>341</v>
      </c>
      <c r="AI42" s="65" t="s">
        <v>341</v>
      </c>
      <c r="AJ42" s="65" t="s">
        <v>341</v>
      </c>
      <c r="AK42" s="65" t="s">
        <v>341</v>
      </c>
      <c r="AL42" s="65" t="s">
        <v>341</v>
      </c>
      <c r="AM42" s="65" t="s">
        <v>341</v>
      </c>
      <c r="AN42" s="65" t="s">
        <v>341</v>
      </c>
      <c r="AO42" s="65" t="s">
        <v>341</v>
      </c>
      <c r="AP42" s="65" t="s">
        <v>341</v>
      </c>
      <c r="AQ42" s="65" t="s">
        <v>341</v>
      </c>
      <c r="AR42" s="65" t="s">
        <v>341</v>
      </c>
      <c r="AS42" s="65" t="s">
        <v>341</v>
      </c>
      <c r="AT42" s="65" t="s">
        <v>341</v>
      </c>
      <c r="AU42" s="65" t="s">
        <v>341</v>
      </c>
      <c r="AV42" s="65" t="s">
        <v>341</v>
      </c>
      <c r="AW42" s="65" t="s">
        <v>341</v>
      </c>
      <c r="AX42" s="65" t="s">
        <v>341</v>
      </c>
      <c r="AY42" s="65" t="s">
        <v>341</v>
      </c>
    </row>
    <row r="43" spans="1:51" x14ac:dyDescent="0.2">
      <c r="A43" s="65" t="s">
        <v>1309</v>
      </c>
      <c r="B43" s="65" t="s">
        <v>746</v>
      </c>
      <c r="C43" s="65" t="s">
        <v>747</v>
      </c>
      <c r="D43" s="65" t="s">
        <v>1631</v>
      </c>
      <c r="E43" s="65" t="s">
        <v>341</v>
      </c>
      <c r="F43" s="65" t="s">
        <v>1607</v>
      </c>
      <c r="G43" s="65" t="s">
        <v>1608</v>
      </c>
      <c r="H43" s="65" t="s">
        <v>341</v>
      </c>
      <c r="I43" s="65" t="s">
        <v>341</v>
      </c>
      <c r="J43" s="65" t="s">
        <v>341</v>
      </c>
      <c r="K43" s="65" t="s">
        <v>341</v>
      </c>
      <c r="L43" s="65" t="s">
        <v>341</v>
      </c>
      <c r="M43" s="65" t="s">
        <v>341</v>
      </c>
      <c r="N43" s="65" t="s">
        <v>341</v>
      </c>
      <c r="O43" s="65" t="s">
        <v>341</v>
      </c>
      <c r="P43" s="65" t="s">
        <v>341</v>
      </c>
      <c r="Q43" s="65" t="s">
        <v>341</v>
      </c>
      <c r="R43" s="65" t="s">
        <v>341</v>
      </c>
      <c r="S43" s="65" t="s">
        <v>341</v>
      </c>
      <c r="T43" s="65" t="s">
        <v>341</v>
      </c>
      <c r="U43" s="65" t="s">
        <v>341</v>
      </c>
      <c r="V43" s="65" t="s">
        <v>341</v>
      </c>
      <c r="W43" s="65" t="s">
        <v>341</v>
      </c>
      <c r="X43" s="65" t="s">
        <v>341</v>
      </c>
      <c r="Y43" s="65" t="s">
        <v>1632</v>
      </c>
      <c r="Z43" s="65" t="s">
        <v>1610</v>
      </c>
      <c r="AA43" s="65" t="s">
        <v>1633</v>
      </c>
      <c r="AB43" s="65" t="s">
        <v>341</v>
      </c>
      <c r="AC43" s="65" t="s">
        <v>341</v>
      </c>
      <c r="AD43" s="65" t="s">
        <v>341</v>
      </c>
      <c r="AE43" s="65" t="s">
        <v>341</v>
      </c>
      <c r="AF43" s="65" t="s">
        <v>341</v>
      </c>
      <c r="AG43" s="65" t="s">
        <v>341</v>
      </c>
      <c r="AH43" s="65" t="s">
        <v>341</v>
      </c>
      <c r="AI43" s="65" t="s">
        <v>341</v>
      </c>
      <c r="AJ43" s="65" t="s">
        <v>341</v>
      </c>
      <c r="AK43" s="65" t="s">
        <v>341</v>
      </c>
      <c r="AL43" s="65" t="s">
        <v>341</v>
      </c>
      <c r="AM43" s="65" t="s">
        <v>341</v>
      </c>
      <c r="AN43" s="65" t="s">
        <v>341</v>
      </c>
      <c r="AO43" s="65" t="s">
        <v>341</v>
      </c>
      <c r="AP43" s="65" t="s">
        <v>341</v>
      </c>
      <c r="AQ43" s="65" t="s">
        <v>341</v>
      </c>
      <c r="AR43" s="65" t="s">
        <v>341</v>
      </c>
      <c r="AS43" s="65" t="s">
        <v>341</v>
      </c>
      <c r="AT43" s="65" t="s">
        <v>341</v>
      </c>
      <c r="AU43" s="65" t="s">
        <v>341</v>
      </c>
      <c r="AV43" s="65" t="s">
        <v>341</v>
      </c>
      <c r="AW43" s="65" t="s">
        <v>341</v>
      </c>
      <c r="AX43" s="65" t="s">
        <v>341</v>
      </c>
      <c r="AY43" s="65" t="s">
        <v>341</v>
      </c>
    </row>
    <row r="44" spans="1:51" x14ac:dyDescent="0.2">
      <c r="A44" s="65" t="s">
        <v>1309</v>
      </c>
      <c r="B44" s="65" t="s">
        <v>748</v>
      </c>
      <c r="C44" s="65" t="s">
        <v>749</v>
      </c>
      <c r="D44" s="65" t="s">
        <v>1634</v>
      </c>
      <c r="E44" s="65" t="s">
        <v>341</v>
      </c>
      <c r="F44" s="65" t="s">
        <v>1607</v>
      </c>
      <c r="G44" s="65" t="s">
        <v>1608</v>
      </c>
      <c r="H44" s="65" t="s">
        <v>341</v>
      </c>
      <c r="I44" s="65" t="s">
        <v>341</v>
      </c>
      <c r="J44" s="65" t="s">
        <v>341</v>
      </c>
      <c r="K44" s="65" t="s">
        <v>341</v>
      </c>
      <c r="L44" s="65" t="s">
        <v>341</v>
      </c>
      <c r="M44" s="65" t="s">
        <v>341</v>
      </c>
      <c r="N44" s="65" t="s">
        <v>341</v>
      </c>
      <c r="O44" s="65" t="s">
        <v>341</v>
      </c>
      <c r="P44" s="65" t="s">
        <v>341</v>
      </c>
      <c r="Q44" s="65" t="s">
        <v>341</v>
      </c>
      <c r="R44" s="65" t="s">
        <v>341</v>
      </c>
      <c r="S44" s="65" t="s">
        <v>341</v>
      </c>
      <c r="T44" s="65" t="s">
        <v>341</v>
      </c>
      <c r="U44" s="65" t="s">
        <v>341</v>
      </c>
      <c r="V44" s="65" t="s">
        <v>341</v>
      </c>
      <c r="W44" s="65" t="s">
        <v>341</v>
      </c>
      <c r="X44" s="65" t="s">
        <v>341</v>
      </c>
      <c r="Y44" s="65" t="s">
        <v>1615</v>
      </c>
      <c r="Z44" s="65" t="s">
        <v>1616</v>
      </c>
      <c r="AA44" s="65" t="s">
        <v>1635</v>
      </c>
      <c r="AB44" s="65" t="s">
        <v>341</v>
      </c>
      <c r="AC44" s="65" t="s">
        <v>341</v>
      </c>
      <c r="AD44" s="65" t="s">
        <v>341</v>
      </c>
      <c r="AE44" s="65" t="s">
        <v>341</v>
      </c>
      <c r="AF44" s="65" t="s">
        <v>341</v>
      </c>
      <c r="AG44" s="65" t="s">
        <v>341</v>
      </c>
      <c r="AH44" s="65" t="s">
        <v>341</v>
      </c>
      <c r="AI44" s="65" t="s">
        <v>341</v>
      </c>
      <c r="AJ44" s="65" t="s">
        <v>341</v>
      </c>
      <c r="AK44" s="65" t="s">
        <v>341</v>
      </c>
      <c r="AL44" s="65" t="s">
        <v>341</v>
      </c>
      <c r="AM44" s="65" t="s">
        <v>341</v>
      </c>
      <c r="AN44" s="65" t="s">
        <v>341</v>
      </c>
      <c r="AO44" s="65" t="s">
        <v>341</v>
      </c>
      <c r="AP44" s="65" t="s">
        <v>341</v>
      </c>
      <c r="AQ44" s="65" t="s">
        <v>341</v>
      </c>
      <c r="AR44" s="65" t="s">
        <v>341</v>
      </c>
      <c r="AS44" s="65" t="s">
        <v>341</v>
      </c>
      <c r="AT44" s="65" t="s">
        <v>341</v>
      </c>
      <c r="AU44" s="65" t="s">
        <v>341</v>
      </c>
      <c r="AV44" s="65" t="s">
        <v>341</v>
      </c>
      <c r="AW44" s="65" t="s">
        <v>341</v>
      </c>
      <c r="AX44" s="65" t="s">
        <v>341</v>
      </c>
      <c r="AY44" s="65" t="s">
        <v>341</v>
      </c>
    </row>
    <row r="45" spans="1:51" x14ac:dyDescent="0.2">
      <c r="A45" s="65" t="s">
        <v>1309</v>
      </c>
      <c r="B45" s="65" t="s">
        <v>818</v>
      </c>
      <c r="C45" s="65" t="s">
        <v>819</v>
      </c>
      <c r="D45" s="65" t="s">
        <v>1636</v>
      </c>
      <c r="E45" s="65" t="s">
        <v>341</v>
      </c>
      <c r="F45" s="65" t="s">
        <v>1607</v>
      </c>
      <c r="G45" s="65" t="s">
        <v>1608</v>
      </c>
      <c r="H45" s="65" t="s">
        <v>341</v>
      </c>
      <c r="I45" s="65" t="s">
        <v>341</v>
      </c>
      <c r="J45" s="65" t="s">
        <v>341</v>
      </c>
      <c r="K45" s="65" t="s">
        <v>341</v>
      </c>
      <c r="L45" s="65" t="s">
        <v>341</v>
      </c>
      <c r="M45" s="65" t="s">
        <v>341</v>
      </c>
      <c r="N45" s="65" t="s">
        <v>341</v>
      </c>
      <c r="O45" s="65" t="s">
        <v>341</v>
      </c>
      <c r="P45" s="65" t="s">
        <v>341</v>
      </c>
      <c r="Q45" s="65" t="s">
        <v>341</v>
      </c>
      <c r="R45" s="65" t="s">
        <v>341</v>
      </c>
      <c r="S45" s="65" t="s">
        <v>341</v>
      </c>
      <c r="T45" s="65" t="s">
        <v>341</v>
      </c>
      <c r="U45" s="65" t="s">
        <v>341</v>
      </c>
      <c r="V45" s="65" t="s">
        <v>341</v>
      </c>
      <c r="W45" s="65" t="s">
        <v>341</v>
      </c>
      <c r="X45" s="65" t="s">
        <v>341</v>
      </c>
      <c r="Y45" s="65" t="s">
        <v>341</v>
      </c>
      <c r="Z45" s="65" t="s">
        <v>341</v>
      </c>
      <c r="AA45" s="65" t="s">
        <v>341</v>
      </c>
      <c r="AB45" s="65" t="s">
        <v>341</v>
      </c>
      <c r="AC45" s="65" t="s">
        <v>341</v>
      </c>
      <c r="AD45" s="65" t="s">
        <v>341</v>
      </c>
      <c r="AE45" s="65" t="s">
        <v>341</v>
      </c>
      <c r="AF45" s="65" t="s">
        <v>341</v>
      </c>
      <c r="AG45" s="65" t="s">
        <v>341</v>
      </c>
      <c r="AH45" s="65" t="s">
        <v>341</v>
      </c>
      <c r="AI45" s="65" t="s">
        <v>341</v>
      </c>
      <c r="AJ45" s="65" t="s">
        <v>341</v>
      </c>
      <c r="AK45" s="65" t="s">
        <v>341</v>
      </c>
      <c r="AL45" s="65" t="s">
        <v>341</v>
      </c>
      <c r="AM45" s="65" t="s">
        <v>341</v>
      </c>
      <c r="AN45" s="65" t="s">
        <v>341</v>
      </c>
      <c r="AO45" s="65" t="s">
        <v>341</v>
      </c>
      <c r="AP45" s="65" t="s">
        <v>341</v>
      </c>
      <c r="AQ45" s="65" t="s">
        <v>341</v>
      </c>
      <c r="AR45" s="65" t="s">
        <v>341</v>
      </c>
      <c r="AS45" s="65" t="s">
        <v>341</v>
      </c>
      <c r="AT45" s="65" t="s">
        <v>341</v>
      </c>
      <c r="AU45" s="65" t="s">
        <v>341</v>
      </c>
      <c r="AV45" s="65" t="s">
        <v>341</v>
      </c>
      <c r="AW45" s="65" t="s">
        <v>341</v>
      </c>
      <c r="AX45" s="65" t="s">
        <v>341</v>
      </c>
      <c r="AY45" s="65" t="s">
        <v>341</v>
      </c>
    </row>
    <row r="46" spans="1:51" x14ac:dyDescent="0.2">
      <c r="A46" s="65" t="s">
        <v>1309</v>
      </c>
      <c r="B46" s="65" t="s">
        <v>820</v>
      </c>
      <c r="C46" s="65" t="s">
        <v>821</v>
      </c>
      <c r="D46" s="65" t="s">
        <v>1637</v>
      </c>
      <c r="E46" s="65" t="s">
        <v>341</v>
      </c>
      <c r="F46" s="65" t="s">
        <v>1607</v>
      </c>
      <c r="G46" s="65" t="s">
        <v>1608</v>
      </c>
      <c r="H46" s="65" t="s">
        <v>341</v>
      </c>
      <c r="I46" s="65" t="s">
        <v>341</v>
      </c>
      <c r="J46" s="65" t="s">
        <v>341</v>
      </c>
      <c r="K46" s="65" t="s">
        <v>341</v>
      </c>
      <c r="L46" s="65" t="s">
        <v>341</v>
      </c>
      <c r="M46" s="65" t="s">
        <v>341</v>
      </c>
      <c r="N46" s="65" t="s">
        <v>341</v>
      </c>
      <c r="O46" s="65" t="s">
        <v>341</v>
      </c>
      <c r="P46" s="65" t="s">
        <v>341</v>
      </c>
      <c r="Q46" s="65" t="s">
        <v>341</v>
      </c>
      <c r="R46" s="65" t="s">
        <v>341</v>
      </c>
      <c r="S46" s="65" t="s">
        <v>341</v>
      </c>
      <c r="T46" s="65" t="s">
        <v>341</v>
      </c>
      <c r="U46" s="65" t="s">
        <v>341</v>
      </c>
      <c r="V46" s="65" t="s">
        <v>341</v>
      </c>
      <c r="W46" s="65" t="s">
        <v>341</v>
      </c>
      <c r="X46" s="65" t="s">
        <v>341</v>
      </c>
      <c r="Y46" s="65" t="s">
        <v>1623</v>
      </c>
      <c r="Z46" s="65" t="s">
        <v>1610</v>
      </c>
      <c r="AA46" s="65" t="s">
        <v>1638</v>
      </c>
      <c r="AB46" s="65" t="s">
        <v>341</v>
      </c>
      <c r="AC46" s="65" t="s">
        <v>341</v>
      </c>
      <c r="AD46" s="65" t="s">
        <v>341</v>
      </c>
      <c r="AE46" s="65" t="s">
        <v>341</v>
      </c>
      <c r="AF46" s="65" t="s">
        <v>341</v>
      </c>
      <c r="AG46" s="65" t="s">
        <v>341</v>
      </c>
      <c r="AH46" s="65" t="s">
        <v>341</v>
      </c>
      <c r="AI46" s="65" t="s">
        <v>341</v>
      </c>
      <c r="AJ46" s="65" t="s">
        <v>341</v>
      </c>
      <c r="AK46" s="65" t="s">
        <v>341</v>
      </c>
      <c r="AL46" s="65" t="s">
        <v>341</v>
      </c>
      <c r="AM46" s="65" t="s">
        <v>341</v>
      </c>
      <c r="AN46" s="65" t="s">
        <v>341</v>
      </c>
      <c r="AO46" s="65" t="s">
        <v>341</v>
      </c>
      <c r="AP46" s="65" t="s">
        <v>341</v>
      </c>
      <c r="AQ46" s="65" t="s">
        <v>341</v>
      </c>
      <c r="AR46" s="65" t="s">
        <v>341</v>
      </c>
      <c r="AS46" s="65" t="s">
        <v>341</v>
      </c>
      <c r="AT46" s="65" t="s">
        <v>341</v>
      </c>
      <c r="AU46" s="65" t="s">
        <v>341</v>
      </c>
      <c r="AV46" s="65" t="s">
        <v>341</v>
      </c>
      <c r="AW46" s="65" t="s">
        <v>341</v>
      </c>
      <c r="AX46" s="65" t="s">
        <v>341</v>
      </c>
      <c r="AY46" s="65" t="s">
        <v>341</v>
      </c>
    </row>
    <row r="47" spans="1:51" x14ac:dyDescent="0.2">
      <c r="A47" s="65" t="s">
        <v>1309</v>
      </c>
      <c r="B47" s="65" t="s">
        <v>1081</v>
      </c>
      <c r="C47" s="65" t="s">
        <v>1082</v>
      </c>
      <c r="D47" s="65" t="s">
        <v>1639</v>
      </c>
      <c r="E47" s="65" t="s">
        <v>341</v>
      </c>
      <c r="F47" s="65" t="s">
        <v>1607</v>
      </c>
      <c r="G47" s="65" t="s">
        <v>1608</v>
      </c>
      <c r="H47" s="65" t="s">
        <v>341</v>
      </c>
      <c r="I47" s="65" t="s">
        <v>341</v>
      </c>
      <c r="J47" s="65" t="s">
        <v>341</v>
      </c>
      <c r="K47" s="65" t="s">
        <v>341</v>
      </c>
      <c r="L47" s="65" t="s">
        <v>341</v>
      </c>
      <c r="M47" s="65" t="s">
        <v>341</v>
      </c>
      <c r="N47" s="65" t="s">
        <v>341</v>
      </c>
      <c r="O47" s="65" t="s">
        <v>341</v>
      </c>
      <c r="P47" s="65" t="s">
        <v>341</v>
      </c>
      <c r="Q47" s="65" t="s">
        <v>341</v>
      </c>
      <c r="R47" s="65" t="s">
        <v>341</v>
      </c>
      <c r="S47" s="65" t="s">
        <v>341</v>
      </c>
      <c r="T47" s="65" t="s">
        <v>341</v>
      </c>
      <c r="U47" s="65" t="s">
        <v>341</v>
      </c>
      <c r="V47" s="65" t="s">
        <v>341</v>
      </c>
      <c r="W47" s="65" t="s">
        <v>341</v>
      </c>
      <c r="X47" s="65" t="s">
        <v>341</v>
      </c>
      <c r="Y47" s="65" t="s">
        <v>1609</v>
      </c>
      <c r="Z47" s="65" t="s">
        <v>1610</v>
      </c>
      <c r="AA47" s="65" t="s">
        <v>1640</v>
      </c>
      <c r="AB47" s="65" t="s">
        <v>341</v>
      </c>
      <c r="AC47" s="65" t="s">
        <v>341</v>
      </c>
      <c r="AD47" s="65" t="s">
        <v>341</v>
      </c>
      <c r="AE47" s="65" t="s">
        <v>341</v>
      </c>
      <c r="AF47" s="65" t="s">
        <v>341</v>
      </c>
      <c r="AG47" s="65" t="s">
        <v>341</v>
      </c>
      <c r="AH47" s="65" t="s">
        <v>341</v>
      </c>
      <c r="AI47" s="65" t="s">
        <v>341</v>
      </c>
      <c r="AJ47" s="65" t="s">
        <v>341</v>
      </c>
      <c r="AK47" s="65" t="s">
        <v>341</v>
      </c>
      <c r="AL47" s="65" t="s">
        <v>341</v>
      </c>
      <c r="AM47" s="65" t="s">
        <v>341</v>
      </c>
      <c r="AN47" s="65" t="s">
        <v>341</v>
      </c>
      <c r="AO47" s="65" t="s">
        <v>341</v>
      </c>
      <c r="AP47" s="65" t="s">
        <v>341</v>
      </c>
      <c r="AQ47" s="65" t="s">
        <v>341</v>
      </c>
      <c r="AR47" s="65" t="s">
        <v>341</v>
      </c>
      <c r="AS47" s="65" t="s">
        <v>341</v>
      </c>
      <c r="AT47" s="65" t="s">
        <v>341</v>
      </c>
      <c r="AU47" s="65" t="s">
        <v>341</v>
      </c>
      <c r="AV47" s="65" t="s">
        <v>341</v>
      </c>
      <c r="AW47" s="65" t="s">
        <v>341</v>
      </c>
      <c r="AX47" s="65" t="s">
        <v>341</v>
      </c>
      <c r="AY47" s="65" t="s">
        <v>341</v>
      </c>
    </row>
    <row r="48" spans="1:51" x14ac:dyDescent="0.2">
      <c r="A48" s="65" t="s">
        <v>1309</v>
      </c>
      <c r="B48" s="65" t="s">
        <v>1093</v>
      </c>
      <c r="C48" s="65" t="s">
        <v>1094</v>
      </c>
      <c r="D48" s="65" t="s">
        <v>1641</v>
      </c>
      <c r="E48" s="65" t="s">
        <v>341</v>
      </c>
      <c r="F48" s="65" t="s">
        <v>1607</v>
      </c>
      <c r="G48" s="65" t="s">
        <v>1642</v>
      </c>
      <c r="H48" s="65" t="s">
        <v>341</v>
      </c>
      <c r="I48" s="65" t="s">
        <v>341</v>
      </c>
      <c r="J48" s="65" t="s">
        <v>341</v>
      </c>
      <c r="K48" s="65" t="s">
        <v>341</v>
      </c>
      <c r="L48" s="65" t="s">
        <v>341</v>
      </c>
      <c r="M48" s="65" t="s">
        <v>341</v>
      </c>
      <c r="N48" s="65" t="s">
        <v>341</v>
      </c>
      <c r="O48" s="65" t="s">
        <v>341</v>
      </c>
      <c r="P48" s="65" t="s">
        <v>341</v>
      </c>
      <c r="Q48" s="65" t="s">
        <v>341</v>
      </c>
      <c r="R48" s="65" t="s">
        <v>341</v>
      </c>
      <c r="S48" s="65" t="s">
        <v>341</v>
      </c>
      <c r="T48" s="65" t="s">
        <v>341</v>
      </c>
      <c r="U48" s="65" t="s">
        <v>341</v>
      </c>
      <c r="V48" s="65" t="s">
        <v>341</v>
      </c>
      <c r="W48" s="65" t="s">
        <v>341</v>
      </c>
      <c r="X48" s="65" t="s">
        <v>341</v>
      </c>
      <c r="Y48" s="65" t="s">
        <v>1643</v>
      </c>
      <c r="Z48" s="65" t="s">
        <v>1616</v>
      </c>
      <c r="AA48" s="65" t="s">
        <v>1644</v>
      </c>
      <c r="AB48" s="65" t="s">
        <v>341</v>
      </c>
      <c r="AC48" s="65" t="s">
        <v>341</v>
      </c>
      <c r="AD48" s="65" t="s">
        <v>341</v>
      </c>
      <c r="AE48" s="65" t="s">
        <v>341</v>
      </c>
      <c r="AF48" s="65" t="s">
        <v>341</v>
      </c>
      <c r="AG48" s="65" t="s">
        <v>341</v>
      </c>
      <c r="AH48" s="65" t="s">
        <v>341</v>
      </c>
      <c r="AI48" s="65" t="s">
        <v>341</v>
      </c>
      <c r="AJ48" s="65" t="s">
        <v>341</v>
      </c>
      <c r="AK48" s="65" t="s">
        <v>341</v>
      </c>
      <c r="AL48" s="65" t="s">
        <v>341</v>
      </c>
      <c r="AM48" s="65" t="s">
        <v>341</v>
      </c>
      <c r="AN48" s="65" t="s">
        <v>341</v>
      </c>
      <c r="AO48" s="65" t="s">
        <v>341</v>
      </c>
      <c r="AP48" s="65" t="s">
        <v>341</v>
      </c>
      <c r="AQ48" s="65" t="s">
        <v>341</v>
      </c>
      <c r="AR48" s="65" t="s">
        <v>341</v>
      </c>
      <c r="AS48" s="65" t="s">
        <v>341</v>
      </c>
      <c r="AT48" s="65" t="s">
        <v>341</v>
      </c>
      <c r="AU48" s="65" t="s">
        <v>341</v>
      </c>
      <c r="AV48" s="65" t="s">
        <v>341</v>
      </c>
      <c r="AW48" s="65" t="s">
        <v>341</v>
      </c>
      <c r="AX48" s="65" t="s">
        <v>341</v>
      </c>
      <c r="AY48" s="65" t="s">
        <v>341</v>
      </c>
    </row>
    <row r="49" spans="1:51" x14ac:dyDescent="0.2">
      <c r="A49" s="65" t="s">
        <v>1309</v>
      </c>
      <c r="B49" s="65" t="s">
        <v>1095</v>
      </c>
      <c r="C49" s="65" t="s">
        <v>1096</v>
      </c>
      <c r="D49" s="65" t="s">
        <v>1645</v>
      </c>
      <c r="E49" s="65" t="s">
        <v>341</v>
      </c>
      <c r="F49" s="65" t="s">
        <v>1607</v>
      </c>
      <c r="G49" s="65" t="s">
        <v>1608</v>
      </c>
      <c r="H49" s="65" t="s">
        <v>341</v>
      </c>
      <c r="I49" s="65" t="s">
        <v>341</v>
      </c>
      <c r="J49" s="65" t="s">
        <v>341</v>
      </c>
      <c r="K49" s="65" t="s">
        <v>341</v>
      </c>
      <c r="L49" s="65" t="s">
        <v>341</v>
      </c>
      <c r="M49" s="65" t="s">
        <v>341</v>
      </c>
      <c r="N49" s="65" t="s">
        <v>341</v>
      </c>
      <c r="O49" s="65" t="s">
        <v>341</v>
      </c>
      <c r="P49" s="65" t="s">
        <v>341</v>
      </c>
      <c r="Q49" s="65" t="s">
        <v>341</v>
      </c>
      <c r="R49" s="65" t="s">
        <v>341</v>
      </c>
      <c r="S49" s="65" t="s">
        <v>341</v>
      </c>
      <c r="T49" s="65" t="s">
        <v>341</v>
      </c>
      <c r="U49" s="65" t="s">
        <v>341</v>
      </c>
      <c r="V49" s="65" t="s">
        <v>341</v>
      </c>
      <c r="W49" s="65" t="s">
        <v>341</v>
      </c>
      <c r="X49" s="65" t="s">
        <v>341</v>
      </c>
      <c r="Y49" s="65" t="s">
        <v>1646</v>
      </c>
      <c r="Z49" s="65" t="s">
        <v>1616</v>
      </c>
      <c r="AA49" s="65" t="s">
        <v>1647</v>
      </c>
      <c r="AB49" s="65" t="s">
        <v>341</v>
      </c>
      <c r="AC49" s="65" t="s">
        <v>341</v>
      </c>
      <c r="AD49" s="65" t="s">
        <v>341</v>
      </c>
      <c r="AE49" s="65" t="s">
        <v>341</v>
      </c>
      <c r="AF49" s="65" t="s">
        <v>341</v>
      </c>
      <c r="AG49" s="65" t="s">
        <v>341</v>
      </c>
      <c r="AH49" s="65" t="s">
        <v>341</v>
      </c>
      <c r="AI49" s="65" t="s">
        <v>341</v>
      </c>
      <c r="AJ49" s="65" t="s">
        <v>341</v>
      </c>
      <c r="AK49" s="65" t="s">
        <v>341</v>
      </c>
      <c r="AL49" s="65" t="s">
        <v>341</v>
      </c>
      <c r="AM49" s="65" t="s">
        <v>341</v>
      </c>
      <c r="AN49" s="65" t="s">
        <v>341</v>
      </c>
      <c r="AO49" s="65" t="s">
        <v>341</v>
      </c>
      <c r="AP49" s="65" t="s">
        <v>341</v>
      </c>
      <c r="AQ49" s="65" t="s">
        <v>341</v>
      </c>
      <c r="AR49" s="65" t="s">
        <v>341</v>
      </c>
      <c r="AS49" s="65" t="s">
        <v>341</v>
      </c>
      <c r="AT49" s="65" t="s">
        <v>341</v>
      </c>
      <c r="AU49" s="65" t="s">
        <v>341</v>
      </c>
      <c r="AV49" s="65" t="s">
        <v>341</v>
      </c>
      <c r="AW49" s="65" t="s">
        <v>341</v>
      </c>
      <c r="AX49" s="65" t="s">
        <v>341</v>
      </c>
      <c r="AY49" s="65" t="s">
        <v>341</v>
      </c>
    </row>
    <row r="50" spans="1:51" x14ac:dyDescent="0.2">
      <c r="A50" s="65" t="s">
        <v>1309</v>
      </c>
      <c r="B50" s="65" t="s">
        <v>1097</v>
      </c>
      <c r="C50" s="65" t="s">
        <v>1098</v>
      </c>
      <c r="D50" s="65" t="s">
        <v>1648</v>
      </c>
      <c r="E50" s="65" t="s">
        <v>341</v>
      </c>
      <c r="F50" s="65" t="s">
        <v>1607</v>
      </c>
      <c r="G50" s="65" t="s">
        <v>1642</v>
      </c>
      <c r="H50" s="65" t="s">
        <v>341</v>
      </c>
      <c r="I50" s="65" t="s">
        <v>341</v>
      </c>
      <c r="J50" s="65" t="s">
        <v>341</v>
      </c>
      <c r="K50" s="65" t="s">
        <v>341</v>
      </c>
      <c r="L50" s="65" t="s">
        <v>341</v>
      </c>
      <c r="M50" s="65" t="s">
        <v>341</v>
      </c>
      <c r="N50" s="65" t="s">
        <v>341</v>
      </c>
      <c r="O50" s="65" t="s">
        <v>341</v>
      </c>
      <c r="P50" s="65" t="s">
        <v>341</v>
      </c>
      <c r="Q50" s="65" t="s">
        <v>341</v>
      </c>
      <c r="R50" s="65" t="s">
        <v>341</v>
      </c>
      <c r="S50" s="65" t="s">
        <v>341</v>
      </c>
      <c r="T50" s="65" t="s">
        <v>341</v>
      </c>
      <c r="U50" s="65" t="s">
        <v>341</v>
      </c>
      <c r="V50" s="65" t="s">
        <v>341</v>
      </c>
      <c r="W50" s="65" t="s">
        <v>341</v>
      </c>
      <c r="X50" s="65" t="s">
        <v>341</v>
      </c>
      <c r="Y50" s="65" t="s">
        <v>1646</v>
      </c>
      <c r="Z50" s="65" t="s">
        <v>1616</v>
      </c>
      <c r="AA50" s="65" t="s">
        <v>1649</v>
      </c>
      <c r="AB50" s="65" t="s">
        <v>341</v>
      </c>
      <c r="AC50" s="65" t="s">
        <v>341</v>
      </c>
      <c r="AD50" s="65" t="s">
        <v>341</v>
      </c>
      <c r="AE50" s="65" t="s">
        <v>341</v>
      </c>
      <c r="AF50" s="65" t="s">
        <v>341</v>
      </c>
      <c r="AG50" s="65" t="s">
        <v>341</v>
      </c>
      <c r="AH50" s="65" t="s">
        <v>341</v>
      </c>
      <c r="AI50" s="65" t="s">
        <v>341</v>
      </c>
      <c r="AJ50" s="65" t="s">
        <v>341</v>
      </c>
      <c r="AK50" s="65" t="s">
        <v>341</v>
      </c>
      <c r="AL50" s="65" t="s">
        <v>341</v>
      </c>
      <c r="AM50" s="65" t="s">
        <v>341</v>
      </c>
      <c r="AN50" s="65" t="s">
        <v>341</v>
      </c>
      <c r="AO50" s="65" t="s">
        <v>341</v>
      </c>
      <c r="AP50" s="65" t="s">
        <v>341</v>
      </c>
      <c r="AQ50" s="65" t="s">
        <v>341</v>
      </c>
      <c r="AR50" s="65" t="s">
        <v>341</v>
      </c>
      <c r="AS50" s="65" t="s">
        <v>341</v>
      </c>
      <c r="AT50" s="65" t="s">
        <v>341</v>
      </c>
      <c r="AU50" s="65" t="s">
        <v>341</v>
      </c>
      <c r="AV50" s="65" t="s">
        <v>341</v>
      </c>
      <c r="AW50" s="65" t="s">
        <v>341</v>
      </c>
      <c r="AX50" s="65" t="s">
        <v>341</v>
      </c>
      <c r="AY50" s="65" t="s">
        <v>341</v>
      </c>
    </row>
    <row r="51" spans="1:51" x14ac:dyDescent="0.2">
      <c r="A51" s="65" t="s">
        <v>1309</v>
      </c>
      <c r="B51" s="65" t="s">
        <v>1105</v>
      </c>
      <c r="C51" s="65" t="s">
        <v>1106</v>
      </c>
      <c r="D51" s="65" t="s">
        <v>1650</v>
      </c>
      <c r="E51" s="65" t="s">
        <v>341</v>
      </c>
      <c r="F51" s="65" t="s">
        <v>1607</v>
      </c>
      <c r="G51" s="65" t="s">
        <v>1642</v>
      </c>
      <c r="H51" s="65" t="s">
        <v>341</v>
      </c>
      <c r="I51" s="65" t="s">
        <v>341</v>
      </c>
      <c r="J51" s="65" t="s">
        <v>341</v>
      </c>
      <c r="K51" s="65" t="s">
        <v>341</v>
      </c>
      <c r="L51" s="65" t="s">
        <v>341</v>
      </c>
      <c r="M51" s="65" t="s">
        <v>341</v>
      </c>
      <c r="N51" s="65" t="s">
        <v>341</v>
      </c>
      <c r="O51" s="65" t="s">
        <v>341</v>
      </c>
      <c r="P51" s="65" t="s">
        <v>341</v>
      </c>
      <c r="Q51" s="65" t="s">
        <v>341</v>
      </c>
      <c r="R51" s="65" t="s">
        <v>341</v>
      </c>
      <c r="S51" s="65" t="s">
        <v>341</v>
      </c>
      <c r="T51" s="65" t="s">
        <v>341</v>
      </c>
      <c r="U51" s="65" t="s">
        <v>341</v>
      </c>
      <c r="V51" s="65" t="s">
        <v>341</v>
      </c>
      <c r="W51" s="65" t="s">
        <v>341</v>
      </c>
      <c r="X51" s="65" t="s">
        <v>341</v>
      </c>
      <c r="Y51" s="65" t="s">
        <v>1106</v>
      </c>
      <c r="Z51" s="65" t="s">
        <v>1616</v>
      </c>
      <c r="AA51" s="65" t="s">
        <v>1651</v>
      </c>
      <c r="AB51" s="65" t="s">
        <v>341</v>
      </c>
      <c r="AC51" s="65" t="s">
        <v>341</v>
      </c>
      <c r="AD51" s="65" t="s">
        <v>341</v>
      </c>
      <c r="AE51" s="65" t="s">
        <v>341</v>
      </c>
      <c r="AF51" s="65" t="s">
        <v>341</v>
      </c>
      <c r="AG51" s="65" t="s">
        <v>341</v>
      </c>
      <c r="AH51" s="65" t="s">
        <v>341</v>
      </c>
      <c r="AI51" s="65" t="s">
        <v>341</v>
      </c>
      <c r="AJ51" s="65" t="s">
        <v>341</v>
      </c>
      <c r="AK51" s="65" t="s">
        <v>341</v>
      </c>
      <c r="AL51" s="65" t="s">
        <v>341</v>
      </c>
      <c r="AM51" s="65" t="s">
        <v>341</v>
      </c>
      <c r="AN51" s="65" t="s">
        <v>341</v>
      </c>
      <c r="AO51" s="65" t="s">
        <v>341</v>
      </c>
      <c r="AP51" s="65" t="s">
        <v>341</v>
      </c>
      <c r="AQ51" s="65" t="s">
        <v>341</v>
      </c>
      <c r="AR51" s="65" t="s">
        <v>341</v>
      </c>
      <c r="AS51" s="65" t="s">
        <v>341</v>
      </c>
      <c r="AT51" s="65" t="s">
        <v>341</v>
      </c>
      <c r="AU51" s="65" t="s">
        <v>341</v>
      </c>
      <c r="AV51" s="65" t="s">
        <v>341</v>
      </c>
      <c r="AW51" s="65" t="s">
        <v>341</v>
      </c>
      <c r="AX51" s="65" t="s">
        <v>341</v>
      </c>
      <c r="AY51" s="65" t="s">
        <v>341</v>
      </c>
    </row>
    <row r="52" spans="1:51" x14ac:dyDescent="0.2">
      <c r="A52" s="65" t="s">
        <v>1309</v>
      </c>
      <c r="B52" s="65" t="s">
        <v>1107</v>
      </c>
      <c r="C52" s="65" t="s">
        <v>1108</v>
      </c>
      <c r="D52" s="65" t="s">
        <v>1652</v>
      </c>
      <c r="E52" s="65" t="s">
        <v>341</v>
      </c>
      <c r="F52" s="65" t="s">
        <v>1607</v>
      </c>
      <c r="G52" s="65" t="s">
        <v>1642</v>
      </c>
      <c r="H52" s="65" t="s">
        <v>341</v>
      </c>
      <c r="I52" s="65" t="s">
        <v>341</v>
      </c>
      <c r="J52" s="65" t="s">
        <v>341</v>
      </c>
      <c r="K52" s="65" t="s">
        <v>341</v>
      </c>
      <c r="L52" s="65" t="s">
        <v>341</v>
      </c>
      <c r="M52" s="65" t="s">
        <v>341</v>
      </c>
      <c r="N52" s="65" t="s">
        <v>341</v>
      </c>
      <c r="O52" s="65" t="s">
        <v>341</v>
      </c>
      <c r="P52" s="65" t="s">
        <v>341</v>
      </c>
      <c r="Q52" s="65" t="s">
        <v>341</v>
      </c>
      <c r="R52" s="65" t="s">
        <v>341</v>
      </c>
      <c r="S52" s="65" t="s">
        <v>341</v>
      </c>
      <c r="T52" s="65" t="s">
        <v>341</v>
      </c>
      <c r="U52" s="65" t="s">
        <v>341</v>
      </c>
      <c r="V52" s="65" t="s">
        <v>341</v>
      </c>
      <c r="W52" s="65" t="s">
        <v>341</v>
      </c>
      <c r="X52" s="65" t="s">
        <v>341</v>
      </c>
      <c r="Y52" s="65" t="s">
        <v>1646</v>
      </c>
      <c r="Z52" s="65" t="s">
        <v>1616</v>
      </c>
      <c r="AA52" s="65" t="s">
        <v>1653</v>
      </c>
      <c r="AB52" s="65" t="s">
        <v>341</v>
      </c>
      <c r="AC52" s="65" t="s">
        <v>341</v>
      </c>
      <c r="AD52" s="65" t="s">
        <v>341</v>
      </c>
      <c r="AE52" s="65" t="s">
        <v>341</v>
      </c>
      <c r="AF52" s="65" t="s">
        <v>341</v>
      </c>
      <c r="AG52" s="65" t="s">
        <v>341</v>
      </c>
      <c r="AH52" s="65" t="s">
        <v>341</v>
      </c>
      <c r="AI52" s="65" t="s">
        <v>341</v>
      </c>
      <c r="AJ52" s="65" t="s">
        <v>341</v>
      </c>
      <c r="AK52" s="65" t="s">
        <v>341</v>
      </c>
      <c r="AL52" s="65" t="s">
        <v>341</v>
      </c>
      <c r="AM52" s="65" t="s">
        <v>341</v>
      </c>
      <c r="AN52" s="65" t="s">
        <v>341</v>
      </c>
      <c r="AO52" s="65" t="s">
        <v>341</v>
      </c>
      <c r="AP52" s="65" t="s">
        <v>341</v>
      </c>
      <c r="AQ52" s="65" t="s">
        <v>341</v>
      </c>
      <c r="AR52" s="65" t="s">
        <v>341</v>
      </c>
      <c r="AS52" s="65" t="s">
        <v>341</v>
      </c>
      <c r="AT52" s="65" t="s">
        <v>341</v>
      </c>
      <c r="AU52" s="65" t="s">
        <v>341</v>
      </c>
      <c r="AV52" s="65" t="s">
        <v>341</v>
      </c>
      <c r="AW52" s="65" t="s">
        <v>341</v>
      </c>
      <c r="AX52" s="65" t="s">
        <v>341</v>
      </c>
      <c r="AY52" s="65" t="s">
        <v>341</v>
      </c>
    </row>
    <row r="53" spans="1:51" x14ac:dyDescent="0.2">
      <c r="A53" s="65" t="s">
        <v>1309</v>
      </c>
      <c r="B53" s="65" t="s">
        <v>1109</v>
      </c>
      <c r="C53" s="65" t="s">
        <v>1110</v>
      </c>
      <c r="D53" s="65" t="s">
        <v>1654</v>
      </c>
      <c r="E53" s="65" t="s">
        <v>341</v>
      </c>
      <c r="F53" s="65" t="s">
        <v>1607</v>
      </c>
      <c r="G53" s="65" t="s">
        <v>1642</v>
      </c>
      <c r="H53" s="65" t="s">
        <v>341</v>
      </c>
      <c r="I53" s="65" t="s">
        <v>341</v>
      </c>
      <c r="J53" s="65" t="s">
        <v>341</v>
      </c>
      <c r="K53" s="65" t="s">
        <v>341</v>
      </c>
      <c r="L53" s="65" t="s">
        <v>341</v>
      </c>
      <c r="M53" s="65" t="s">
        <v>341</v>
      </c>
      <c r="N53" s="65" t="s">
        <v>341</v>
      </c>
      <c r="O53" s="65" t="s">
        <v>341</v>
      </c>
      <c r="P53" s="65" t="s">
        <v>341</v>
      </c>
      <c r="Q53" s="65" t="s">
        <v>341</v>
      </c>
      <c r="R53" s="65" t="s">
        <v>341</v>
      </c>
      <c r="S53" s="65" t="s">
        <v>341</v>
      </c>
      <c r="T53" s="65" t="s">
        <v>341</v>
      </c>
      <c r="U53" s="65" t="s">
        <v>341</v>
      </c>
      <c r="V53" s="65" t="s">
        <v>341</v>
      </c>
      <c r="W53" s="65" t="s">
        <v>341</v>
      </c>
      <c r="X53" s="65" t="s">
        <v>341</v>
      </c>
      <c r="Y53" s="65" t="s">
        <v>1646</v>
      </c>
      <c r="Z53" s="65" t="s">
        <v>1616</v>
      </c>
      <c r="AA53" s="65" t="s">
        <v>1655</v>
      </c>
      <c r="AB53" s="65" t="s">
        <v>341</v>
      </c>
      <c r="AC53" s="65" t="s">
        <v>341</v>
      </c>
      <c r="AD53" s="65" t="s">
        <v>341</v>
      </c>
      <c r="AE53" s="65" t="s">
        <v>341</v>
      </c>
      <c r="AF53" s="65" t="s">
        <v>341</v>
      </c>
      <c r="AG53" s="65" t="s">
        <v>341</v>
      </c>
      <c r="AH53" s="65" t="s">
        <v>341</v>
      </c>
      <c r="AI53" s="65" t="s">
        <v>341</v>
      </c>
      <c r="AJ53" s="65" t="s">
        <v>341</v>
      </c>
      <c r="AK53" s="65" t="s">
        <v>341</v>
      </c>
      <c r="AL53" s="65" t="s">
        <v>341</v>
      </c>
      <c r="AM53" s="65" t="s">
        <v>341</v>
      </c>
      <c r="AN53" s="65" t="s">
        <v>341</v>
      </c>
      <c r="AO53" s="65" t="s">
        <v>341</v>
      </c>
      <c r="AP53" s="65" t="s">
        <v>341</v>
      </c>
      <c r="AQ53" s="65" t="s">
        <v>341</v>
      </c>
      <c r="AR53" s="65" t="s">
        <v>341</v>
      </c>
      <c r="AS53" s="65" t="s">
        <v>341</v>
      </c>
      <c r="AT53" s="65" t="s">
        <v>341</v>
      </c>
      <c r="AU53" s="65" t="s">
        <v>341</v>
      </c>
      <c r="AV53" s="65" t="s">
        <v>341</v>
      </c>
      <c r="AW53" s="65" t="s">
        <v>341</v>
      </c>
      <c r="AX53" s="65" t="s">
        <v>341</v>
      </c>
      <c r="AY53" s="65" t="s">
        <v>341</v>
      </c>
    </row>
    <row r="54" spans="1:51" x14ac:dyDescent="0.2">
      <c r="A54" s="65" t="s">
        <v>1309</v>
      </c>
      <c r="B54" s="65" t="s">
        <v>1111</v>
      </c>
      <c r="C54" s="65" t="s">
        <v>1112</v>
      </c>
      <c r="D54" s="65" t="s">
        <v>1656</v>
      </c>
      <c r="E54" s="65" t="s">
        <v>341</v>
      </c>
      <c r="F54" s="65" t="s">
        <v>1607</v>
      </c>
      <c r="G54" s="65" t="s">
        <v>1642</v>
      </c>
      <c r="H54" s="65" t="s">
        <v>341</v>
      </c>
      <c r="I54" s="65" t="s">
        <v>341</v>
      </c>
      <c r="J54" s="65" t="s">
        <v>341</v>
      </c>
      <c r="K54" s="65" t="s">
        <v>341</v>
      </c>
      <c r="L54" s="65" t="s">
        <v>341</v>
      </c>
      <c r="M54" s="65" t="s">
        <v>341</v>
      </c>
      <c r="N54" s="65" t="s">
        <v>341</v>
      </c>
      <c r="O54" s="65" t="s">
        <v>341</v>
      </c>
      <c r="P54" s="65" t="s">
        <v>341</v>
      </c>
      <c r="Q54" s="65" t="s">
        <v>341</v>
      </c>
      <c r="R54" s="65" t="s">
        <v>341</v>
      </c>
      <c r="S54" s="65" t="s">
        <v>341</v>
      </c>
      <c r="T54" s="65" t="s">
        <v>341</v>
      </c>
      <c r="U54" s="65" t="s">
        <v>341</v>
      </c>
      <c r="V54" s="65" t="s">
        <v>341</v>
      </c>
      <c r="W54" s="65" t="s">
        <v>341</v>
      </c>
      <c r="X54" s="65" t="s">
        <v>341</v>
      </c>
      <c r="Y54" s="65" t="s">
        <v>1646</v>
      </c>
      <c r="Z54" s="65" t="s">
        <v>1616</v>
      </c>
      <c r="AA54" s="65" t="s">
        <v>1657</v>
      </c>
      <c r="AB54" s="65" t="s">
        <v>341</v>
      </c>
      <c r="AC54" s="65" t="s">
        <v>341</v>
      </c>
      <c r="AD54" s="65" t="s">
        <v>341</v>
      </c>
      <c r="AE54" s="65" t="s">
        <v>341</v>
      </c>
      <c r="AF54" s="65" t="s">
        <v>341</v>
      </c>
      <c r="AG54" s="65" t="s">
        <v>341</v>
      </c>
      <c r="AH54" s="65" t="s">
        <v>341</v>
      </c>
      <c r="AI54" s="65" t="s">
        <v>341</v>
      </c>
      <c r="AJ54" s="65" t="s">
        <v>341</v>
      </c>
      <c r="AK54" s="65" t="s">
        <v>341</v>
      </c>
      <c r="AL54" s="65" t="s">
        <v>341</v>
      </c>
      <c r="AM54" s="65" t="s">
        <v>341</v>
      </c>
      <c r="AN54" s="65" t="s">
        <v>341</v>
      </c>
      <c r="AO54" s="65" t="s">
        <v>341</v>
      </c>
      <c r="AP54" s="65" t="s">
        <v>341</v>
      </c>
      <c r="AQ54" s="65" t="s">
        <v>341</v>
      </c>
      <c r="AR54" s="65" t="s">
        <v>341</v>
      </c>
      <c r="AS54" s="65" t="s">
        <v>341</v>
      </c>
      <c r="AT54" s="65" t="s">
        <v>341</v>
      </c>
      <c r="AU54" s="65" t="s">
        <v>341</v>
      </c>
      <c r="AV54" s="65" t="s">
        <v>341</v>
      </c>
      <c r="AW54" s="65" t="s">
        <v>341</v>
      </c>
      <c r="AX54" s="65" t="s">
        <v>341</v>
      </c>
      <c r="AY54" s="65" t="s">
        <v>341</v>
      </c>
    </row>
    <row r="55" spans="1:51" x14ac:dyDescent="0.2">
      <c r="A55" s="65" t="s">
        <v>1309</v>
      </c>
      <c r="B55" s="65" t="s">
        <v>1119</v>
      </c>
      <c r="C55" s="65" t="s">
        <v>1120</v>
      </c>
      <c r="D55" s="65" t="s">
        <v>1658</v>
      </c>
      <c r="E55" s="65" t="s">
        <v>341</v>
      </c>
      <c r="F55" s="65" t="s">
        <v>1607</v>
      </c>
      <c r="G55" s="65" t="s">
        <v>1642</v>
      </c>
      <c r="H55" s="65" t="s">
        <v>341</v>
      </c>
      <c r="I55" s="65" t="s">
        <v>341</v>
      </c>
      <c r="J55" s="65" t="s">
        <v>341</v>
      </c>
      <c r="K55" s="65" t="s">
        <v>341</v>
      </c>
      <c r="L55" s="65" t="s">
        <v>341</v>
      </c>
      <c r="M55" s="65" t="s">
        <v>341</v>
      </c>
      <c r="N55" s="65" t="s">
        <v>341</v>
      </c>
      <c r="O55" s="65" t="s">
        <v>341</v>
      </c>
      <c r="P55" s="65" t="s">
        <v>341</v>
      </c>
      <c r="Q55" s="65" t="s">
        <v>341</v>
      </c>
      <c r="R55" s="65" t="s">
        <v>341</v>
      </c>
      <c r="S55" s="65" t="s">
        <v>341</v>
      </c>
      <c r="T55" s="65" t="s">
        <v>341</v>
      </c>
      <c r="U55" s="65" t="s">
        <v>341</v>
      </c>
      <c r="V55" s="65" t="s">
        <v>341</v>
      </c>
      <c r="W55" s="65" t="s">
        <v>341</v>
      </c>
      <c r="X55" s="65" t="s">
        <v>341</v>
      </c>
      <c r="Y55" s="65" t="s">
        <v>1646</v>
      </c>
      <c r="Z55" s="65" t="s">
        <v>1616</v>
      </c>
      <c r="AA55" s="65" t="s">
        <v>1659</v>
      </c>
      <c r="AB55" s="65" t="s">
        <v>341</v>
      </c>
      <c r="AC55" s="65" t="s">
        <v>341</v>
      </c>
      <c r="AD55" s="65" t="s">
        <v>341</v>
      </c>
      <c r="AE55" s="65" t="s">
        <v>341</v>
      </c>
      <c r="AF55" s="65" t="s">
        <v>341</v>
      </c>
      <c r="AG55" s="65" t="s">
        <v>341</v>
      </c>
      <c r="AH55" s="65" t="s">
        <v>341</v>
      </c>
      <c r="AI55" s="65" t="s">
        <v>341</v>
      </c>
      <c r="AJ55" s="65" t="s">
        <v>341</v>
      </c>
      <c r="AK55" s="65" t="s">
        <v>341</v>
      </c>
      <c r="AL55" s="65" t="s">
        <v>341</v>
      </c>
      <c r="AM55" s="65" t="s">
        <v>341</v>
      </c>
      <c r="AN55" s="65" t="s">
        <v>341</v>
      </c>
      <c r="AO55" s="65" t="s">
        <v>341</v>
      </c>
      <c r="AP55" s="65" t="s">
        <v>341</v>
      </c>
      <c r="AQ55" s="65" t="s">
        <v>341</v>
      </c>
      <c r="AR55" s="65" t="s">
        <v>341</v>
      </c>
      <c r="AS55" s="65" t="s">
        <v>341</v>
      </c>
      <c r="AT55" s="65" t="s">
        <v>341</v>
      </c>
      <c r="AU55" s="65" t="s">
        <v>341</v>
      </c>
      <c r="AV55" s="65" t="s">
        <v>341</v>
      </c>
      <c r="AW55" s="65" t="s">
        <v>341</v>
      </c>
      <c r="AX55" s="65" t="s">
        <v>341</v>
      </c>
      <c r="AY55" s="65" t="s">
        <v>341</v>
      </c>
    </row>
    <row r="56" spans="1:51" x14ac:dyDescent="0.2">
      <c r="A56" s="65" t="s">
        <v>1309</v>
      </c>
      <c r="B56" s="65" t="s">
        <v>1121</v>
      </c>
      <c r="C56" s="65" t="s">
        <v>1122</v>
      </c>
      <c r="D56" s="65" t="s">
        <v>1660</v>
      </c>
      <c r="E56" s="65" t="s">
        <v>341</v>
      </c>
      <c r="F56" s="65" t="s">
        <v>1607</v>
      </c>
      <c r="G56" s="65" t="s">
        <v>1642</v>
      </c>
      <c r="H56" s="65" t="s">
        <v>341</v>
      </c>
      <c r="I56" s="65" t="s">
        <v>341</v>
      </c>
      <c r="J56" s="65" t="s">
        <v>341</v>
      </c>
      <c r="K56" s="65" t="s">
        <v>341</v>
      </c>
      <c r="L56" s="65" t="s">
        <v>341</v>
      </c>
      <c r="M56" s="65" t="s">
        <v>341</v>
      </c>
      <c r="N56" s="65" t="s">
        <v>341</v>
      </c>
      <c r="O56" s="65" t="s">
        <v>341</v>
      </c>
      <c r="P56" s="65" t="s">
        <v>341</v>
      </c>
      <c r="Q56" s="65" t="s">
        <v>341</v>
      </c>
      <c r="R56" s="65" t="s">
        <v>341</v>
      </c>
      <c r="S56" s="65" t="s">
        <v>341</v>
      </c>
      <c r="T56" s="65" t="s">
        <v>341</v>
      </c>
      <c r="U56" s="65" t="s">
        <v>341</v>
      </c>
      <c r="V56" s="65" t="s">
        <v>341</v>
      </c>
      <c r="W56" s="65" t="s">
        <v>341</v>
      </c>
      <c r="X56" s="65" t="s">
        <v>341</v>
      </c>
      <c r="Y56" s="65" t="s">
        <v>1661</v>
      </c>
      <c r="Z56" s="65" t="s">
        <v>1616</v>
      </c>
      <c r="AA56" s="65" t="s">
        <v>1662</v>
      </c>
      <c r="AB56" s="65" t="s">
        <v>341</v>
      </c>
      <c r="AC56" s="65" t="s">
        <v>341</v>
      </c>
      <c r="AD56" s="65" t="s">
        <v>341</v>
      </c>
      <c r="AE56" s="65" t="s">
        <v>341</v>
      </c>
      <c r="AF56" s="65" t="s">
        <v>341</v>
      </c>
      <c r="AG56" s="65" t="s">
        <v>341</v>
      </c>
      <c r="AH56" s="65" t="s">
        <v>341</v>
      </c>
      <c r="AI56" s="65" t="s">
        <v>341</v>
      </c>
      <c r="AJ56" s="65" t="s">
        <v>341</v>
      </c>
      <c r="AK56" s="65" t="s">
        <v>341</v>
      </c>
      <c r="AL56" s="65" t="s">
        <v>341</v>
      </c>
      <c r="AM56" s="65" t="s">
        <v>341</v>
      </c>
      <c r="AN56" s="65" t="s">
        <v>341</v>
      </c>
      <c r="AO56" s="65" t="s">
        <v>341</v>
      </c>
      <c r="AP56" s="65" t="s">
        <v>341</v>
      </c>
      <c r="AQ56" s="65" t="s">
        <v>341</v>
      </c>
      <c r="AR56" s="65" t="s">
        <v>341</v>
      </c>
      <c r="AS56" s="65" t="s">
        <v>341</v>
      </c>
      <c r="AT56" s="65" t="s">
        <v>341</v>
      </c>
      <c r="AU56" s="65" t="s">
        <v>341</v>
      </c>
      <c r="AV56" s="65" t="s">
        <v>341</v>
      </c>
      <c r="AW56" s="65" t="s">
        <v>341</v>
      </c>
      <c r="AX56" s="65" t="s">
        <v>341</v>
      </c>
      <c r="AY56" s="65" t="s">
        <v>341</v>
      </c>
    </row>
    <row r="57" spans="1:51" x14ac:dyDescent="0.2">
      <c r="A57" s="65" t="s">
        <v>1309</v>
      </c>
      <c r="B57" s="65" t="s">
        <v>1123</v>
      </c>
      <c r="C57" s="65" t="s">
        <v>1124</v>
      </c>
      <c r="D57" s="65" t="s">
        <v>1663</v>
      </c>
      <c r="E57" s="65" t="s">
        <v>341</v>
      </c>
      <c r="F57" s="65" t="s">
        <v>1607</v>
      </c>
      <c r="G57" s="65" t="s">
        <v>1642</v>
      </c>
      <c r="H57" s="65" t="s">
        <v>341</v>
      </c>
      <c r="I57" s="65" t="s">
        <v>341</v>
      </c>
      <c r="J57" s="65" t="s">
        <v>341</v>
      </c>
      <c r="K57" s="65" t="s">
        <v>341</v>
      </c>
      <c r="L57" s="65" t="s">
        <v>341</v>
      </c>
      <c r="M57" s="65" t="s">
        <v>341</v>
      </c>
      <c r="N57" s="65" t="s">
        <v>341</v>
      </c>
      <c r="O57" s="65" t="s">
        <v>341</v>
      </c>
      <c r="P57" s="65" t="s">
        <v>341</v>
      </c>
      <c r="Q57" s="65" t="s">
        <v>341</v>
      </c>
      <c r="R57" s="65" t="s">
        <v>341</v>
      </c>
      <c r="S57" s="65" t="s">
        <v>341</v>
      </c>
      <c r="T57" s="65" t="s">
        <v>341</v>
      </c>
      <c r="U57" s="65" t="s">
        <v>341</v>
      </c>
      <c r="V57" s="65" t="s">
        <v>341</v>
      </c>
      <c r="W57" s="65" t="s">
        <v>341</v>
      </c>
      <c r="X57" s="65" t="s">
        <v>341</v>
      </c>
      <c r="Y57" s="65" t="s">
        <v>1646</v>
      </c>
      <c r="Z57" s="65" t="s">
        <v>1616</v>
      </c>
      <c r="AA57" s="65" t="s">
        <v>1664</v>
      </c>
      <c r="AB57" s="65" t="s">
        <v>341</v>
      </c>
      <c r="AC57" s="65" t="s">
        <v>341</v>
      </c>
      <c r="AD57" s="65" t="s">
        <v>341</v>
      </c>
      <c r="AE57" s="65" t="s">
        <v>341</v>
      </c>
      <c r="AF57" s="65" t="s">
        <v>341</v>
      </c>
      <c r="AG57" s="65" t="s">
        <v>341</v>
      </c>
      <c r="AH57" s="65" t="s">
        <v>341</v>
      </c>
      <c r="AI57" s="65" t="s">
        <v>341</v>
      </c>
      <c r="AJ57" s="65" t="s">
        <v>341</v>
      </c>
      <c r="AK57" s="65" t="s">
        <v>341</v>
      </c>
      <c r="AL57" s="65" t="s">
        <v>341</v>
      </c>
      <c r="AM57" s="65" t="s">
        <v>341</v>
      </c>
      <c r="AN57" s="65" t="s">
        <v>341</v>
      </c>
      <c r="AO57" s="65" t="s">
        <v>341</v>
      </c>
      <c r="AP57" s="65" t="s">
        <v>341</v>
      </c>
      <c r="AQ57" s="65" t="s">
        <v>341</v>
      </c>
      <c r="AR57" s="65" t="s">
        <v>341</v>
      </c>
      <c r="AS57" s="65" t="s">
        <v>341</v>
      </c>
      <c r="AT57" s="65" t="s">
        <v>341</v>
      </c>
      <c r="AU57" s="65" t="s">
        <v>341</v>
      </c>
      <c r="AV57" s="65" t="s">
        <v>341</v>
      </c>
      <c r="AW57" s="65" t="s">
        <v>341</v>
      </c>
      <c r="AX57" s="65" t="s">
        <v>341</v>
      </c>
      <c r="AY57" s="65" t="s">
        <v>341</v>
      </c>
    </row>
    <row r="58" spans="1:51" x14ac:dyDescent="0.2">
      <c r="A58" s="65" t="s">
        <v>1309</v>
      </c>
      <c r="B58" s="65" t="s">
        <v>1125</v>
      </c>
      <c r="C58" s="65" t="s">
        <v>1126</v>
      </c>
      <c r="D58" s="65" t="s">
        <v>1665</v>
      </c>
      <c r="E58" s="65" t="s">
        <v>341</v>
      </c>
      <c r="F58" s="65" t="s">
        <v>1607</v>
      </c>
      <c r="G58" s="65" t="s">
        <v>1642</v>
      </c>
      <c r="H58" s="65" t="s">
        <v>341</v>
      </c>
      <c r="I58" s="65" t="s">
        <v>341</v>
      </c>
      <c r="J58" s="65" t="s">
        <v>341</v>
      </c>
      <c r="K58" s="65" t="s">
        <v>341</v>
      </c>
      <c r="L58" s="65" t="s">
        <v>341</v>
      </c>
      <c r="M58" s="65" t="s">
        <v>341</v>
      </c>
      <c r="N58" s="65" t="s">
        <v>341</v>
      </c>
      <c r="O58" s="65" t="s">
        <v>341</v>
      </c>
      <c r="P58" s="65" t="s">
        <v>341</v>
      </c>
      <c r="Q58" s="65" t="s">
        <v>341</v>
      </c>
      <c r="R58" s="65" t="s">
        <v>341</v>
      </c>
      <c r="S58" s="65" t="s">
        <v>341</v>
      </c>
      <c r="T58" s="65" t="s">
        <v>341</v>
      </c>
      <c r="U58" s="65" t="s">
        <v>341</v>
      </c>
      <c r="V58" s="65" t="s">
        <v>341</v>
      </c>
      <c r="W58" s="65" t="s">
        <v>341</v>
      </c>
      <c r="X58" s="65" t="s">
        <v>341</v>
      </c>
      <c r="Y58" s="65" t="s">
        <v>1646</v>
      </c>
      <c r="Z58" s="65" t="s">
        <v>1616</v>
      </c>
      <c r="AA58" s="65" t="s">
        <v>1666</v>
      </c>
      <c r="AB58" s="65" t="s">
        <v>341</v>
      </c>
      <c r="AC58" s="65" t="s">
        <v>341</v>
      </c>
      <c r="AD58" s="65" t="s">
        <v>341</v>
      </c>
      <c r="AE58" s="65" t="s">
        <v>341</v>
      </c>
      <c r="AF58" s="65" t="s">
        <v>341</v>
      </c>
      <c r="AG58" s="65" t="s">
        <v>341</v>
      </c>
      <c r="AH58" s="65" t="s">
        <v>341</v>
      </c>
      <c r="AI58" s="65" t="s">
        <v>341</v>
      </c>
      <c r="AJ58" s="65" t="s">
        <v>341</v>
      </c>
      <c r="AK58" s="65" t="s">
        <v>341</v>
      </c>
      <c r="AL58" s="65" t="s">
        <v>341</v>
      </c>
      <c r="AM58" s="65" t="s">
        <v>341</v>
      </c>
      <c r="AN58" s="65" t="s">
        <v>341</v>
      </c>
      <c r="AO58" s="65" t="s">
        <v>341</v>
      </c>
      <c r="AP58" s="65" t="s">
        <v>341</v>
      </c>
      <c r="AQ58" s="65" t="s">
        <v>341</v>
      </c>
      <c r="AR58" s="65" t="s">
        <v>341</v>
      </c>
      <c r="AS58" s="65" t="s">
        <v>341</v>
      </c>
      <c r="AT58" s="65" t="s">
        <v>341</v>
      </c>
      <c r="AU58" s="65" t="s">
        <v>341</v>
      </c>
      <c r="AV58" s="65" t="s">
        <v>341</v>
      </c>
      <c r="AW58" s="65" t="s">
        <v>341</v>
      </c>
      <c r="AX58" s="65" t="s">
        <v>341</v>
      </c>
      <c r="AY58" s="65" t="s">
        <v>341</v>
      </c>
    </row>
    <row r="59" spans="1:51" x14ac:dyDescent="0.2">
      <c r="A59" s="65" t="s">
        <v>1309</v>
      </c>
      <c r="B59" s="65" t="s">
        <v>1127</v>
      </c>
      <c r="C59" s="65" t="s">
        <v>1128</v>
      </c>
      <c r="D59" s="65" t="s">
        <v>1667</v>
      </c>
      <c r="E59" s="65" t="s">
        <v>341</v>
      </c>
      <c r="F59" s="65" t="s">
        <v>1607</v>
      </c>
      <c r="G59" s="65" t="s">
        <v>1642</v>
      </c>
      <c r="H59" s="65" t="s">
        <v>341</v>
      </c>
      <c r="I59" s="65" t="s">
        <v>341</v>
      </c>
      <c r="J59" s="65" t="s">
        <v>341</v>
      </c>
      <c r="K59" s="65" t="s">
        <v>341</v>
      </c>
      <c r="L59" s="65" t="s">
        <v>341</v>
      </c>
      <c r="M59" s="65" t="s">
        <v>341</v>
      </c>
      <c r="N59" s="65" t="s">
        <v>341</v>
      </c>
      <c r="O59" s="65" t="s">
        <v>341</v>
      </c>
      <c r="P59" s="65" t="s">
        <v>341</v>
      </c>
      <c r="Q59" s="65" t="s">
        <v>341</v>
      </c>
      <c r="R59" s="65" t="s">
        <v>341</v>
      </c>
      <c r="S59" s="65" t="s">
        <v>341</v>
      </c>
      <c r="T59" s="65" t="s">
        <v>341</v>
      </c>
      <c r="U59" s="65" t="s">
        <v>341</v>
      </c>
      <c r="V59" s="65" t="s">
        <v>341</v>
      </c>
      <c r="W59" s="65" t="s">
        <v>341</v>
      </c>
      <c r="X59" s="65" t="s">
        <v>341</v>
      </c>
      <c r="Y59" s="65" t="s">
        <v>1646</v>
      </c>
      <c r="Z59" s="65" t="s">
        <v>1616</v>
      </c>
      <c r="AA59" s="65" t="s">
        <v>1668</v>
      </c>
      <c r="AB59" s="65" t="s">
        <v>341</v>
      </c>
      <c r="AC59" s="65" t="s">
        <v>341</v>
      </c>
      <c r="AD59" s="65" t="s">
        <v>341</v>
      </c>
      <c r="AE59" s="65" t="s">
        <v>341</v>
      </c>
      <c r="AF59" s="65" t="s">
        <v>341</v>
      </c>
      <c r="AG59" s="65" t="s">
        <v>341</v>
      </c>
      <c r="AH59" s="65" t="s">
        <v>341</v>
      </c>
      <c r="AI59" s="65" t="s">
        <v>341</v>
      </c>
      <c r="AJ59" s="65" t="s">
        <v>341</v>
      </c>
      <c r="AK59" s="65" t="s">
        <v>341</v>
      </c>
      <c r="AL59" s="65" t="s">
        <v>341</v>
      </c>
      <c r="AM59" s="65" t="s">
        <v>341</v>
      </c>
      <c r="AN59" s="65" t="s">
        <v>341</v>
      </c>
      <c r="AO59" s="65" t="s">
        <v>341</v>
      </c>
      <c r="AP59" s="65" t="s">
        <v>341</v>
      </c>
      <c r="AQ59" s="65" t="s">
        <v>341</v>
      </c>
      <c r="AR59" s="65" t="s">
        <v>341</v>
      </c>
      <c r="AS59" s="65" t="s">
        <v>341</v>
      </c>
      <c r="AT59" s="65" t="s">
        <v>341</v>
      </c>
      <c r="AU59" s="65" t="s">
        <v>341</v>
      </c>
      <c r="AV59" s="65" t="s">
        <v>341</v>
      </c>
      <c r="AW59" s="65" t="s">
        <v>341</v>
      </c>
      <c r="AX59" s="65" t="s">
        <v>341</v>
      </c>
      <c r="AY59" s="65" t="s">
        <v>341</v>
      </c>
    </row>
    <row r="60" spans="1:51" x14ac:dyDescent="0.2">
      <c r="A60" s="65" t="s">
        <v>1309</v>
      </c>
      <c r="B60" s="65" t="s">
        <v>1129</v>
      </c>
      <c r="C60" s="65" t="s">
        <v>1130</v>
      </c>
      <c r="D60" s="65" t="s">
        <v>1669</v>
      </c>
      <c r="E60" s="65" t="s">
        <v>341</v>
      </c>
      <c r="F60" s="65" t="s">
        <v>1607</v>
      </c>
      <c r="G60" s="65" t="s">
        <v>1642</v>
      </c>
      <c r="H60" s="65" t="s">
        <v>341</v>
      </c>
      <c r="I60" s="65" t="s">
        <v>341</v>
      </c>
      <c r="J60" s="65" t="s">
        <v>341</v>
      </c>
      <c r="K60" s="65" t="s">
        <v>341</v>
      </c>
      <c r="L60" s="65" t="s">
        <v>341</v>
      </c>
      <c r="M60" s="65" t="s">
        <v>341</v>
      </c>
      <c r="N60" s="65" t="s">
        <v>341</v>
      </c>
      <c r="O60" s="65" t="s">
        <v>341</v>
      </c>
      <c r="P60" s="65" t="s">
        <v>341</v>
      </c>
      <c r="Q60" s="65" t="s">
        <v>341</v>
      </c>
      <c r="R60" s="65" t="s">
        <v>341</v>
      </c>
      <c r="S60" s="65" t="s">
        <v>341</v>
      </c>
      <c r="T60" s="65" t="s">
        <v>341</v>
      </c>
      <c r="U60" s="65" t="s">
        <v>341</v>
      </c>
      <c r="V60" s="65" t="s">
        <v>341</v>
      </c>
      <c r="W60" s="65" t="s">
        <v>341</v>
      </c>
      <c r="X60" s="65" t="s">
        <v>341</v>
      </c>
      <c r="Y60" s="65" t="s">
        <v>1646</v>
      </c>
      <c r="Z60" s="65" t="s">
        <v>1616</v>
      </c>
      <c r="AA60" s="65" t="s">
        <v>1670</v>
      </c>
      <c r="AB60" s="65" t="s">
        <v>341</v>
      </c>
      <c r="AC60" s="65" t="s">
        <v>341</v>
      </c>
      <c r="AD60" s="65" t="s">
        <v>341</v>
      </c>
      <c r="AE60" s="65" t="s">
        <v>341</v>
      </c>
      <c r="AF60" s="65" t="s">
        <v>341</v>
      </c>
      <c r="AG60" s="65" t="s">
        <v>341</v>
      </c>
      <c r="AH60" s="65" t="s">
        <v>341</v>
      </c>
      <c r="AI60" s="65" t="s">
        <v>341</v>
      </c>
      <c r="AJ60" s="65" t="s">
        <v>341</v>
      </c>
      <c r="AK60" s="65" t="s">
        <v>341</v>
      </c>
      <c r="AL60" s="65" t="s">
        <v>341</v>
      </c>
      <c r="AM60" s="65" t="s">
        <v>341</v>
      </c>
      <c r="AN60" s="65" t="s">
        <v>341</v>
      </c>
      <c r="AO60" s="65" t="s">
        <v>341</v>
      </c>
      <c r="AP60" s="65" t="s">
        <v>341</v>
      </c>
      <c r="AQ60" s="65" t="s">
        <v>341</v>
      </c>
      <c r="AR60" s="65" t="s">
        <v>341</v>
      </c>
      <c r="AS60" s="65" t="s">
        <v>341</v>
      </c>
      <c r="AT60" s="65" t="s">
        <v>341</v>
      </c>
      <c r="AU60" s="65" t="s">
        <v>341</v>
      </c>
      <c r="AV60" s="65" t="s">
        <v>341</v>
      </c>
      <c r="AW60" s="65" t="s">
        <v>341</v>
      </c>
      <c r="AX60" s="65" t="s">
        <v>341</v>
      </c>
      <c r="AY60" s="65" t="s">
        <v>341</v>
      </c>
    </row>
    <row r="61" spans="1:51" x14ac:dyDescent="0.2">
      <c r="A61" s="65" t="s">
        <v>1309</v>
      </c>
      <c r="B61" s="65" t="s">
        <v>1135</v>
      </c>
      <c r="C61" s="65" t="s">
        <v>1136</v>
      </c>
      <c r="D61" s="65" t="s">
        <v>1671</v>
      </c>
      <c r="E61" s="65" t="s">
        <v>341</v>
      </c>
      <c r="F61" s="65" t="s">
        <v>1607</v>
      </c>
      <c r="G61" s="65" t="s">
        <v>1642</v>
      </c>
      <c r="H61" s="65" t="s">
        <v>341</v>
      </c>
      <c r="I61" s="65" t="s">
        <v>341</v>
      </c>
      <c r="J61" s="65" t="s">
        <v>341</v>
      </c>
      <c r="K61" s="65" t="s">
        <v>341</v>
      </c>
      <c r="L61" s="65" t="s">
        <v>341</v>
      </c>
      <c r="M61" s="65" t="s">
        <v>341</v>
      </c>
      <c r="N61" s="65" t="s">
        <v>341</v>
      </c>
      <c r="O61" s="65" t="s">
        <v>341</v>
      </c>
      <c r="P61" s="65" t="s">
        <v>341</v>
      </c>
      <c r="Q61" s="65" t="s">
        <v>341</v>
      </c>
      <c r="R61" s="65" t="s">
        <v>341</v>
      </c>
      <c r="S61" s="65" t="s">
        <v>341</v>
      </c>
      <c r="T61" s="65" t="s">
        <v>341</v>
      </c>
      <c r="U61" s="65" t="s">
        <v>341</v>
      </c>
      <c r="V61" s="65" t="s">
        <v>341</v>
      </c>
      <c r="W61" s="65" t="s">
        <v>341</v>
      </c>
      <c r="X61" s="65" t="s">
        <v>341</v>
      </c>
      <c r="Y61" s="65" t="s">
        <v>1136</v>
      </c>
      <c r="Z61" s="65" t="s">
        <v>1616</v>
      </c>
      <c r="AA61" s="65" t="s">
        <v>1672</v>
      </c>
      <c r="AB61" s="65" t="s">
        <v>341</v>
      </c>
      <c r="AC61" s="65" t="s">
        <v>341</v>
      </c>
      <c r="AD61" s="65" t="s">
        <v>341</v>
      </c>
      <c r="AE61" s="65" t="s">
        <v>341</v>
      </c>
      <c r="AF61" s="65" t="s">
        <v>341</v>
      </c>
      <c r="AG61" s="65" t="s">
        <v>341</v>
      </c>
      <c r="AH61" s="65" t="s">
        <v>341</v>
      </c>
      <c r="AI61" s="65" t="s">
        <v>341</v>
      </c>
      <c r="AJ61" s="65" t="s">
        <v>341</v>
      </c>
      <c r="AK61" s="65" t="s">
        <v>341</v>
      </c>
      <c r="AL61" s="65" t="s">
        <v>341</v>
      </c>
      <c r="AM61" s="65" t="s">
        <v>341</v>
      </c>
      <c r="AN61" s="65" t="s">
        <v>341</v>
      </c>
      <c r="AO61" s="65" t="s">
        <v>341</v>
      </c>
      <c r="AP61" s="65" t="s">
        <v>341</v>
      </c>
      <c r="AQ61" s="65" t="s">
        <v>341</v>
      </c>
      <c r="AR61" s="65" t="s">
        <v>341</v>
      </c>
      <c r="AS61" s="65" t="s">
        <v>341</v>
      </c>
      <c r="AT61" s="65" t="s">
        <v>341</v>
      </c>
      <c r="AU61" s="65" t="s">
        <v>341</v>
      </c>
      <c r="AV61" s="65" t="s">
        <v>341</v>
      </c>
      <c r="AW61" s="65" t="s">
        <v>341</v>
      </c>
      <c r="AX61" s="65" t="s">
        <v>341</v>
      </c>
      <c r="AY61" s="65" t="s">
        <v>341</v>
      </c>
    </row>
    <row r="62" spans="1:51" x14ac:dyDescent="0.2">
      <c r="A62" s="65" t="s">
        <v>1309</v>
      </c>
      <c r="B62" s="65" t="s">
        <v>1137</v>
      </c>
      <c r="C62" s="65" t="s">
        <v>1138</v>
      </c>
      <c r="D62" s="65" t="s">
        <v>1673</v>
      </c>
      <c r="E62" s="65" t="s">
        <v>341</v>
      </c>
      <c r="F62" s="65" t="s">
        <v>1607</v>
      </c>
      <c r="G62" s="65" t="s">
        <v>1642</v>
      </c>
      <c r="H62" s="65" t="s">
        <v>341</v>
      </c>
      <c r="I62" s="65" t="s">
        <v>341</v>
      </c>
      <c r="J62" s="65" t="s">
        <v>341</v>
      </c>
      <c r="K62" s="65" t="s">
        <v>341</v>
      </c>
      <c r="L62" s="65" t="s">
        <v>341</v>
      </c>
      <c r="M62" s="65" t="s">
        <v>341</v>
      </c>
      <c r="N62" s="65" t="s">
        <v>341</v>
      </c>
      <c r="O62" s="65" t="s">
        <v>341</v>
      </c>
      <c r="P62" s="65" t="s">
        <v>341</v>
      </c>
      <c r="Q62" s="65" t="s">
        <v>341</v>
      </c>
      <c r="R62" s="65" t="s">
        <v>341</v>
      </c>
      <c r="S62" s="65" t="s">
        <v>341</v>
      </c>
      <c r="T62" s="65" t="s">
        <v>341</v>
      </c>
      <c r="U62" s="65" t="s">
        <v>341</v>
      </c>
      <c r="V62" s="65" t="s">
        <v>341</v>
      </c>
      <c r="W62" s="65" t="s">
        <v>341</v>
      </c>
      <c r="X62" s="65" t="s">
        <v>341</v>
      </c>
      <c r="Y62" s="65" t="s">
        <v>1646</v>
      </c>
      <c r="Z62" s="65" t="s">
        <v>1616</v>
      </c>
      <c r="AA62" s="65" t="s">
        <v>1674</v>
      </c>
      <c r="AB62" s="65" t="s">
        <v>341</v>
      </c>
      <c r="AC62" s="65" t="s">
        <v>341</v>
      </c>
      <c r="AD62" s="65" t="s">
        <v>341</v>
      </c>
      <c r="AE62" s="65" t="s">
        <v>341</v>
      </c>
      <c r="AF62" s="65" t="s">
        <v>341</v>
      </c>
      <c r="AG62" s="65" t="s">
        <v>341</v>
      </c>
      <c r="AH62" s="65" t="s">
        <v>341</v>
      </c>
      <c r="AI62" s="65" t="s">
        <v>341</v>
      </c>
      <c r="AJ62" s="65" t="s">
        <v>341</v>
      </c>
      <c r="AK62" s="65" t="s">
        <v>341</v>
      </c>
      <c r="AL62" s="65" t="s">
        <v>341</v>
      </c>
      <c r="AM62" s="65" t="s">
        <v>341</v>
      </c>
      <c r="AN62" s="65" t="s">
        <v>341</v>
      </c>
      <c r="AO62" s="65" t="s">
        <v>341</v>
      </c>
      <c r="AP62" s="65" t="s">
        <v>341</v>
      </c>
      <c r="AQ62" s="65" t="s">
        <v>341</v>
      </c>
      <c r="AR62" s="65" t="s">
        <v>341</v>
      </c>
      <c r="AS62" s="65" t="s">
        <v>341</v>
      </c>
      <c r="AT62" s="65" t="s">
        <v>341</v>
      </c>
      <c r="AU62" s="65" t="s">
        <v>341</v>
      </c>
      <c r="AV62" s="65" t="s">
        <v>341</v>
      </c>
      <c r="AW62" s="65" t="s">
        <v>341</v>
      </c>
      <c r="AX62" s="65" t="s">
        <v>341</v>
      </c>
      <c r="AY62" s="65" t="s">
        <v>341</v>
      </c>
    </row>
    <row r="63" spans="1:51" x14ac:dyDescent="0.2">
      <c r="A63" s="65" t="s">
        <v>1309</v>
      </c>
      <c r="B63" s="65" t="s">
        <v>1139</v>
      </c>
      <c r="C63" s="65" t="s">
        <v>1140</v>
      </c>
      <c r="D63" s="65" t="s">
        <v>1675</v>
      </c>
      <c r="E63" s="65" t="s">
        <v>341</v>
      </c>
      <c r="F63" s="65" t="s">
        <v>1607</v>
      </c>
      <c r="G63" s="65" t="s">
        <v>1642</v>
      </c>
      <c r="H63" s="65" t="s">
        <v>341</v>
      </c>
      <c r="I63" s="65" t="s">
        <v>341</v>
      </c>
      <c r="J63" s="65" t="s">
        <v>341</v>
      </c>
      <c r="K63" s="65" t="s">
        <v>341</v>
      </c>
      <c r="L63" s="65" t="s">
        <v>341</v>
      </c>
      <c r="M63" s="65" t="s">
        <v>341</v>
      </c>
      <c r="N63" s="65" t="s">
        <v>341</v>
      </c>
      <c r="O63" s="65" t="s">
        <v>341</v>
      </c>
      <c r="P63" s="65" t="s">
        <v>341</v>
      </c>
      <c r="Q63" s="65" t="s">
        <v>341</v>
      </c>
      <c r="R63" s="65" t="s">
        <v>341</v>
      </c>
      <c r="S63" s="65" t="s">
        <v>341</v>
      </c>
      <c r="T63" s="65" t="s">
        <v>341</v>
      </c>
      <c r="U63" s="65" t="s">
        <v>341</v>
      </c>
      <c r="V63" s="65" t="s">
        <v>341</v>
      </c>
      <c r="W63" s="65" t="s">
        <v>341</v>
      </c>
      <c r="X63" s="65" t="s">
        <v>341</v>
      </c>
      <c r="Y63" s="65" t="s">
        <v>1646</v>
      </c>
      <c r="Z63" s="65" t="s">
        <v>1616</v>
      </c>
      <c r="AA63" s="65" t="s">
        <v>1676</v>
      </c>
      <c r="AB63" s="65" t="s">
        <v>341</v>
      </c>
      <c r="AC63" s="65" t="s">
        <v>341</v>
      </c>
      <c r="AD63" s="65" t="s">
        <v>341</v>
      </c>
      <c r="AE63" s="65" t="s">
        <v>341</v>
      </c>
      <c r="AF63" s="65" t="s">
        <v>341</v>
      </c>
      <c r="AG63" s="65" t="s">
        <v>341</v>
      </c>
      <c r="AH63" s="65" t="s">
        <v>341</v>
      </c>
      <c r="AI63" s="65" t="s">
        <v>341</v>
      </c>
      <c r="AJ63" s="65" t="s">
        <v>341</v>
      </c>
      <c r="AK63" s="65" t="s">
        <v>341</v>
      </c>
      <c r="AL63" s="65" t="s">
        <v>341</v>
      </c>
      <c r="AM63" s="65" t="s">
        <v>341</v>
      </c>
      <c r="AN63" s="65" t="s">
        <v>341</v>
      </c>
      <c r="AO63" s="65" t="s">
        <v>341</v>
      </c>
      <c r="AP63" s="65" t="s">
        <v>341</v>
      </c>
      <c r="AQ63" s="65" t="s">
        <v>341</v>
      </c>
      <c r="AR63" s="65" t="s">
        <v>341</v>
      </c>
      <c r="AS63" s="65" t="s">
        <v>341</v>
      </c>
      <c r="AT63" s="65" t="s">
        <v>341</v>
      </c>
      <c r="AU63" s="65" t="s">
        <v>341</v>
      </c>
      <c r="AV63" s="65" t="s">
        <v>341</v>
      </c>
      <c r="AW63" s="65" t="s">
        <v>341</v>
      </c>
      <c r="AX63" s="65" t="s">
        <v>341</v>
      </c>
      <c r="AY63" s="65" t="s">
        <v>341</v>
      </c>
    </row>
    <row r="64" spans="1:51" x14ac:dyDescent="0.2">
      <c r="A64" s="65" t="s">
        <v>1309</v>
      </c>
      <c r="B64" s="65" t="s">
        <v>1141</v>
      </c>
      <c r="C64" s="65" t="s">
        <v>1142</v>
      </c>
      <c r="D64" s="65" t="s">
        <v>1677</v>
      </c>
      <c r="E64" s="65" t="s">
        <v>341</v>
      </c>
      <c r="F64" s="65" t="s">
        <v>1607</v>
      </c>
      <c r="G64" s="65" t="s">
        <v>1642</v>
      </c>
      <c r="H64" s="65" t="s">
        <v>341</v>
      </c>
      <c r="I64" s="65" t="s">
        <v>341</v>
      </c>
      <c r="J64" s="65" t="s">
        <v>341</v>
      </c>
      <c r="K64" s="65" t="s">
        <v>341</v>
      </c>
      <c r="L64" s="65" t="s">
        <v>341</v>
      </c>
      <c r="M64" s="65" t="s">
        <v>341</v>
      </c>
      <c r="N64" s="65" t="s">
        <v>341</v>
      </c>
      <c r="O64" s="65" t="s">
        <v>341</v>
      </c>
      <c r="P64" s="65" t="s">
        <v>341</v>
      </c>
      <c r="Q64" s="65" t="s">
        <v>341</v>
      </c>
      <c r="R64" s="65" t="s">
        <v>341</v>
      </c>
      <c r="S64" s="65" t="s">
        <v>341</v>
      </c>
      <c r="T64" s="65" t="s">
        <v>341</v>
      </c>
      <c r="U64" s="65" t="s">
        <v>341</v>
      </c>
      <c r="V64" s="65" t="s">
        <v>341</v>
      </c>
      <c r="W64" s="65" t="s">
        <v>341</v>
      </c>
      <c r="X64" s="65" t="s">
        <v>341</v>
      </c>
      <c r="Y64" s="65" t="s">
        <v>1646</v>
      </c>
      <c r="Z64" s="65" t="s">
        <v>1616</v>
      </c>
      <c r="AA64" s="65" t="s">
        <v>1678</v>
      </c>
      <c r="AB64" s="65" t="s">
        <v>341</v>
      </c>
      <c r="AC64" s="65" t="s">
        <v>341</v>
      </c>
      <c r="AD64" s="65" t="s">
        <v>341</v>
      </c>
      <c r="AE64" s="65" t="s">
        <v>341</v>
      </c>
      <c r="AF64" s="65" t="s">
        <v>341</v>
      </c>
      <c r="AG64" s="65" t="s">
        <v>341</v>
      </c>
      <c r="AH64" s="65" t="s">
        <v>341</v>
      </c>
      <c r="AI64" s="65" t="s">
        <v>341</v>
      </c>
      <c r="AJ64" s="65" t="s">
        <v>341</v>
      </c>
      <c r="AK64" s="65" t="s">
        <v>341</v>
      </c>
      <c r="AL64" s="65" t="s">
        <v>341</v>
      </c>
      <c r="AM64" s="65" t="s">
        <v>341</v>
      </c>
      <c r="AN64" s="65" t="s">
        <v>341</v>
      </c>
      <c r="AO64" s="65" t="s">
        <v>341</v>
      </c>
      <c r="AP64" s="65" t="s">
        <v>341</v>
      </c>
      <c r="AQ64" s="65" t="s">
        <v>341</v>
      </c>
      <c r="AR64" s="65" t="s">
        <v>341</v>
      </c>
      <c r="AS64" s="65" t="s">
        <v>341</v>
      </c>
      <c r="AT64" s="65" t="s">
        <v>341</v>
      </c>
      <c r="AU64" s="65" t="s">
        <v>341</v>
      </c>
      <c r="AV64" s="65" t="s">
        <v>341</v>
      </c>
      <c r="AW64" s="65" t="s">
        <v>341</v>
      </c>
      <c r="AX64" s="65" t="s">
        <v>341</v>
      </c>
      <c r="AY64" s="65" t="s">
        <v>341</v>
      </c>
    </row>
    <row r="65" spans="1:51" x14ac:dyDescent="0.2">
      <c r="A65" s="65" t="s">
        <v>1309</v>
      </c>
      <c r="B65" s="65" t="s">
        <v>1145</v>
      </c>
      <c r="C65" s="65" t="s">
        <v>1146</v>
      </c>
      <c r="D65" s="65" t="s">
        <v>1679</v>
      </c>
      <c r="E65" s="65" t="s">
        <v>341</v>
      </c>
      <c r="F65" s="65" t="s">
        <v>1607</v>
      </c>
      <c r="G65" s="65" t="s">
        <v>1642</v>
      </c>
      <c r="H65" s="65" t="s">
        <v>341</v>
      </c>
      <c r="I65" s="65" t="s">
        <v>341</v>
      </c>
      <c r="J65" s="65" t="s">
        <v>341</v>
      </c>
      <c r="K65" s="65" t="s">
        <v>341</v>
      </c>
      <c r="L65" s="65" t="s">
        <v>341</v>
      </c>
      <c r="M65" s="65" t="s">
        <v>341</v>
      </c>
      <c r="N65" s="65" t="s">
        <v>341</v>
      </c>
      <c r="O65" s="65" t="s">
        <v>341</v>
      </c>
      <c r="P65" s="65" t="s">
        <v>341</v>
      </c>
      <c r="Q65" s="65" t="s">
        <v>341</v>
      </c>
      <c r="R65" s="65" t="s">
        <v>341</v>
      </c>
      <c r="S65" s="65" t="s">
        <v>341</v>
      </c>
      <c r="T65" s="65" t="s">
        <v>341</v>
      </c>
      <c r="U65" s="65" t="s">
        <v>341</v>
      </c>
      <c r="V65" s="65" t="s">
        <v>341</v>
      </c>
      <c r="W65" s="65" t="s">
        <v>341</v>
      </c>
      <c r="X65" s="65" t="s">
        <v>341</v>
      </c>
      <c r="Y65" s="65" t="s">
        <v>1646</v>
      </c>
      <c r="Z65" s="65" t="s">
        <v>1616</v>
      </c>
      <c r="AA65" s="65" t="s">
        <v>1680</v>
      </c>
      <c r="AB65" s="65" t="s">
        <v>341</v>
      </c>
      <c r="AC65" s="65" t="s">
        <v>341</v>
      </c>
      <c r="AD65" s="65" t="s">
        <v>341</v>
      </c>
      <c r="AE65" s="65" t="s">
        <v>341</v>
      </c>
      <c r="AF65" s="65" t="s">
        <v>341</v>
      </c>
      <c r="AG65" s="65" t="s">
        <v>341</v>
      </c>
      <c r="AH65" s="65" t="s">
        <v>341</v>
      </c>
      <c r="AI65" s="65" t="s">
        <v>341</v>
      </c>
      <c r="AJ65" s="65" t="s">
        <v>341</v>
      </c>
      <c r="AK65" s="65" t="s">
        <v>341</v>
      </c>
      <c r="AL65" s="65" t="s">
        <v>341</v>
      </c>
      <c r="AM65" s="65" t="s">
        <v>341</v>
      </c>
      <c r="AN65" s="65" t="s">
        <v>341</v>
      </c>
      <c r="AO65" s="65" t="s">
        <v>341</v>
      </c>
      <c r="AP65" s="65" t="s">
        <v>341</v>
      </c>
      <c r="AQ65" s="65" t="s">
        <v>341</v>
      </c>
      <c r="AR65" s="65" t="s">
        <v>341</v>
      </c>
      <c r="AS65" s="65" t="s">
        <v>341</v>
      </c>
      <c r="AT65" s="65" t="s">
        <v>341</v>
      </c>
      <c r="AU65" s="65" t="s">
        <v>341</v>
      </c>
      <c r="AV65" s="65" t="s">
        <v>341</v>
      </c>
      <c r="AW65" s="65" t="s">
        <v>341</v>
      </c>
      <c r="AX65" s="65" t="s">
        <v>341</v>
      </c>
      <c r="AY65" s="65" t="s">
        <v>341</v>
      </c>
    </row>
    <row r="66" spans="1:51" x14ac:dyDescent="0.2">
      <c r="A66" s="65" t="s">
        <v>1309</v>
      </c>
      <c r="B66" s="65" t="s">
        <v>1147</v>
      </c>
      <c r="C66" s="65" t="s">
        <v>1148</v>
      </c>
      <c r="D66" s="65" t="s">
        <v>1681</v>
      </c>
      <c r="E66" s="65" t="s">
        <v>341</v>
      </c>
      <c r="F66" s="65" t="s">
        <v>1607</v>
      </c>
      <c r="G66" s="65" t="s">
        <v>1642</v>
      </c>
      <c r="H66" s="65" t="s">
        <v>341</v>
      </c>
      <c r="I66" s="65" t="s">
        <v>341</v>
      </c>
      <c r="J66" s="65" t="s">
        <v>341</v>
      </c>
      <c r="K66" s="65" t="s">
        <v>341</v>
      </c>
      <c r="L66" s="65" t="s">
        <v>341</v>
      </c>
      <c r="M66" s="65" t="s">
        <v>341</v>
      </c>
      <c r="N66" s="65" t="s">
        <v>341</v>
      </c>
      <c r="O66" s="65" t="s">
        <v>341</v>
      </c>
      <c r="P66" s="65" t="s">
        <v>341</v>
      </c>
      <c r="Q66" s="65" t="s">
        <v>341</v>
      </c>
      <c r="R66" s="65" t="s">
        <v>341</v>
      </c>
      <c r="S66" s="65" t="s">
        <v>341</v>
      </c>
      <c r="T66" s="65" t="s">
        <v>341</v>
      </c>
      <c r="U66" s="65" t="s">
        <v>341</v>
      </c>
      <c r="V66" s="65" t="s">
        <v>341</v>
      </c>
      <c r="W66" s="65" t="s">
        <v>341</v>
      </c>
      <c r="X66" s="65" t="s">
        <v>341</v>
      </c>
      <c r="Y66" s="65" t="s">
        <v>1646</v>
      </c>
      <c r="Z66" s="65" t="s">
        <v>1616</v>
      </c>
      <c r="AA66" s="65" t="s">
        <v>1682</v>
      </c>
      <c r="AB66" s="65" t="s">
        <v>341</v>
      </c>
      <c r="AC66" s="65" t="s">
        <v>341</v>
      </c>
      <c r="AD66" s="65" t="s">
        <v>341</v>
      </c>
      <c r="AE66" s="65" t="s">
        <v>341</v>
      </c>
      <c r="AF66" s="65" t="s">
        <v>341</v>
      </c>
      <c r="AG66" s="65" t="s">
        <v>341</v>
      </c>
      <c r="AH66" s="65" t="s">
        <v>341</v>
      </c>
      <c r="AI66" s="65" t="s">
        <v>341</v>
      </c>
      <c r="AJ66" s="65" t="s">
        <v>341</v>
      </c>
      <c r="AK66" s="65" t="s">
        <v>341</v>
      </c>
      <c r="AL66" s="65" t="s">
        <v>341</v>
      </c>
      <c r="AM66" s="65" t="s">
        <v>341</v>
      </c>
      <c r="AN66" s="65" t="s">
        <v>341</v>
      </c>
      <c r="AO66" s="65" t="s">
        <v>341</v>
      </c>
      <c r="AP66" s="65" t="s">
        <v>341</v>
      </c>
      <c r="AQ66" s="65" t="s">
        <v>341</v>
      </c>
      <c r="AR66" s="65" t="s">
        <v>341</v>
      </c>
      <c r="AS66" s="65" t="s">
        <v>341</v>
      </c>
      <c r="AT66" s="65" t="s">
        <v>341</v>
      </c>
      <c r="AU66" s="65" t="s">
        <v>341</v>
      </c>
      <c r="AV66" s="65" t="s">
        <v>341</v>
      </c>
      <c r="AW66" s="65" t="s">
        <v>341</v>
      </c>
      <c r="AX66" s="65" t="s">
        <v>341</v>
      </c>
      <c r="AY66" s="65" t="s">
        <v>341</v>
      </c>
    </row>
    <row r="67" spans="1:51" x14ac:dyDescent="0.2">
      <c r="A67" s="65" t="s">
        <v>1309</v>
      </c>
      <c r="B67" s="65" t="s">
        <v>1149</v>
      </c>
      <c r="C67" s="65" t="s">
        <v>1150</v>
      </c>
      <c r="D67" s="65" t="s">
        <v>1683</v>
      </c>
      <c r="E67" s="65" t="s">
        <v>341</v>
      </c>
      <c r="F67" s="65" t="s">
        <v>1607</v>
      </c>
      <c r="G67" s="65" t="s">
        <v>1642</v>
      </c>
      <c r="H67" s="65" t="s">
        <v>341</v>
      </c>
      <c r="I67" s="65" t="s">
        <v>341</v>
      </c>
      <c r="J67" s="65" t="s">
        <v>341</v>
      </c>
      <c r="K67" s="65" t="s">
        <v>341</v>
      </c>
      <c r="L67" s="65" t="s">
        <v>341</v>
      </c>
      <c r="M67" s="65" t="s">
        <v>341</v>
      </c>
      <c r="N67" s="65" t="s">
        <v>341</v>
      </c>
      <c r="O67" s="65" t="s">
        <v>341</v>
      </c>
      <c r="P67" s="65" t="s">
        <v>341</v>
      </c>
      <c r="Q67" s="65" t="s">
        <v>341</v>
      </c>
      <c r="R67" s="65" t="s">
        <v>341</v>
      </c>
      <c r="S67" s="65" t="s">
        <v>341</v>
      </c>
      <c r="T67" s="65" t="s">
        <v>341</v>
      </c>
      <c r="U67" s="65" t="s">
        <v>341</v>
      </c>
      <c r="V67" s="65" t="s">
        <v>341</v>
      </c>
      <c r="W67" s="65" t="s">
        <v>341</v>
      </c>
      <c r="X67" s="65" t="s">
        <v>341</v>
      </c>
      <c r="Y67" s="65" t="s">
        <v>1646</v>
      </c>
      <c r="Z67" s="65" t="s">
        <v>1616</v>
      </c>
      <c r="AA67" s="65" t="s">
        <v>1684</v>
      </c>
      <c r="AB67" s="65" t="s">
        <v>341</v>
      </c>
      <c r="AC67" s="65" t="s">
        <v>341</v>
      </c>
      <c r="AD67" s="65" t="s">
        <v>341</v>
      </c>
      <c r="AE67" s="65" t="s">
        <v>341</v>
      </c>
      <c r="AF67" s="65" t="s">
        <v>341</v>
      </c>
      <c r="AG67" s="65" t="s">
        <v>341</v>
      </c>
      <c r="AH67" s="65" t="s">
        <v>341</v>
      </c>
      <c r="AI67" s="65" t="s">
        <v>341</v>
      </c>
      <c r="AJ67" s="65" t="s">
        <v>341</v>
      </c>
      <c r="AK67" s="65" t="s">
        <v>341</v>
      </c>
      <c r="AL67" s="65" t="s">
        <v>341</v>
      </c>
      <c r="AM67" s="65" t="s">
        <v>341</v>
      </c>
      <c r="AN67" s="65" t="s">
        <v>341</v>
      </c>
      <c r="AO67" s="65" t="s">
        <v>341</v>
      </c>
      <c r="AP67" s="65" t="s">
        <v>341</v>
      </c>
      <c r="AQ67" s="65" t="s">
        <v>341</v>
      </c>
      <c r="AR67" s="65" t="s">
        <v>341</v>
      </c>
      <c r="AS67" s="65" t="s">
        <v>341</v>
      </c>
      <c r="AT67" s="65" t="s">
        <v>341</v>
      </c>
      <c r="AU67" s="65" t="s">
        <v>341</v>
      </c>
      <c r="AV67" s="65" t="s">
        <v>341</v>
      </c>
      <c r="AW67" s="65" t="s">
        <v>341</v>
      </c>
      <c r="AX67" s="65" t="s">
        <v>341</v>
      </c>
      <c r="AY67" s="65" t="s">
        <v>341</v>
      </c>
    </row>
    <row r="68" spans="1:51" x14ac:dyDescent="0.2">
      <c r="A68" s="65" t="s">
        <v>1309</v>
      </c>
      <c r="B68" s="65" t="s">
        <v>1151</v>
      </c>
      <c r="C68" s="65" t="s">
        <v>1152</v>
      </c>
      <c r="D68" s="65" t="s">
        <v>1685</v>
      </c>
      <c r="E68" s="65" t="s">
        <v>341</v>
      </c>
      <c r="F68" s="65" t="s">
        <v>1607</v>
      </c>
      <c r="G68" s="65" t="s">
        <v>1642</v>
      </c>
      <c r="H68" s="65" t="s">
        <v>341</v>
      </c>
      <c r="I68" s="65" t="s">
        <v>341</v>
      </c>
      <c r="J68" s="65" t="s">
        <v>341</v>
      </c>
      <c r="K68" s="65" t="s">
        <v>341</v>
      </c>
      <c r="L68" s="65" t="s">
        <v>341</v>
      </c>
      <c r="M68" s="65" t="s">
        <v>341</v>
      </c>
      <c r="N68" s="65" t="s">
        <v>341</v>
      </c>
      <c r="O68" s="65" t="s">
        <v>341</v>
      </c>
      <c r="P68" s="65" t="s">
        <v>341</v>
      </c>
      <c r="Q68" s="65" t="s">
        <v>341</v>
      </c>
      <c r="R68" s="65" t="s">
        <v>341</v>
      </c>
      <c r="S68" s="65" t="s">
        <v>341</v>
      </c>
      <c r="T68" s="65" t="s">
        <v>341</v>
      </c>
      <c r="U68" s="65" t="s">
        <v>341</v>
      </c>
      <c r="V68" s="65" t="s">
        <v>341</v>
      </c>
      <c r="W68" s="65" t="s">
        <v>341</v>
      </c>
      <c r="X68" s="65" t="s">
        <v>341</v>
      </c>
      <c r="Y68" s="65" t="s">
        <v>1661</v>
      </c>
      <c r="Z68" s="65" t="s">
        <v>1616</v>
      </c>
      <c r="AA68" s="65" t="s">
        <v>1686</v>
      </c>
      <c r="AB68" s="65" t="s">
        <v>341</v>
      </c>
      <c r="AC68" s="65" t="s">
        <v>341</v>
      </c>
      <c r="AD68" s="65" t="s">
        <v>341</v>
      </c>
      <c r="AE68" s="65" t="s">
        <v>341</v>
      </c>
      <c r="AF68" s="65" t="s">
        <v>341</v>
      </c>
      <c r="AG68" s="65" t="s">
        <v>341</v>
      </c>
      <c r="AH68" s="65" t="s">
        <v>341</v>
      </c>
      <c r="AI68" s="65" t="s">
        <v>341</v>
      </c>
      <c r="AJ68" s="65" t="s">
        <v>341</v>
      </c>
      <c r="AK68" s="65" t="s">
        <v>341</v>
      </c>
      <c r="AL68" s="65" t="s">
        <v>341</v>
      </c>
      <c r="AM68" s="65" t="s">
        <v>341</v>
      </c>
      <c r="AN68" s="65" t="s">
        <v>341</v>
      </c>
      <c r="AO68" s="65" t="s">
        <v>341</v>
      </c>
      <c r="AP68" s="65" t="s">
        <v>341</v>
      </c>
      <c r="AQ68" s="65" t="s">
        <v>341</v>
      </c>
      <c r="AR68" s="65" t="s">
        <v>341</v>
      </c>
      <c r="AS68" s="65" t="s">
        <v>341</v>
      </c>
      <c r="AT68" s="65" t="s">
        <v>341</v>
      </c>
      <c r="AU68" s="65" t="s">
        <v>341</v>
      </c>
      <c r="AV68" s="65" t="s">
        <v>341</v>
      </c>
      <c r="AW68" s="65" t="s">
        <v>341</v>
      </c>
      <c r="AX68" s="65" t="s">
        <v>341</v>
      </c>
      <c r="AY68" s="65" t="s">
        <v>341</v>
      </c>
    </row>
    <row r="69" spans="1:51" x14ac:dyDescent="0.2">
      <c r="A69" s="65" t="s">
        <v>1309</v>
      </c>
      <c r="B69" s="65" t="s">
        <v>1222</v>
      </c>
      <c r="C69" s="65" t="s">
        <v>1223</v>
      </c>
      <c r="D69" s="65" t="s">
        <v>1687</v>
      </c>
      <c r="E69" s="65" t="s">
        <v>341</v>
      </c>
      <c r="F69" s="65" t="s">
        <v>1607</v>
      </c>
      <c r="G69" s="65" t="s">
        <v>1642</v>
      </c>
      <c r="H69" s="65" t="s">
        <v>341</v>
      </c>
      <c r="I69" s="65" t="s">
        <v>341</v>
      </c>
      <c r="J69" s="65" t="s">
        <v>341</v>
      </c>
      <c r="K69" s="65" t="s">
        <v>341</v>
      </c>
      <c r="L69" s="65" t="s">
        <v>341</v>
      </c>
      <c r="M69" s="65" t="s">
        <v>341</v>
      </c>
      <c r="N69" s="65" t="s">
        <v>341</v>
      </c>
      <c r="O69" s="65" t="s">
        <v>341</v>
      </c>
      <c r="P69" s="65" t="s">
        <v>341</v>
      </c>
      <c r="Q69" s="65" t="s">
        <v>341</v>
      </c>
      <c r="R69" s="65" t="s">
        <v>341</v>
      </c>
      <c r="S69" s="65" t="s">
        <v>341</v>
      </c>
      <c r="T69" s="65" t="s">
        <v>341</v>
      </c>
      <c r="U69" s="65" t="s">
        <v>341</v>
      </c>
      <c r="V69" s="65" t="s">
        <v>341</v>
      </c>
      <c r="W69" s="65" t="s">
        <v>341</v>
      </c>
      <c r="X69" s="65" t="s">
        <v>341</v>
      </c>
      <c r="Y69" s="65" t="s">
        <v>1646</v>
      </c>
      <c r="Z69" s="65" t="s">
        <v>1616</v>
      </c>
      <c r="AA69" s="65" t="s">
        <v>1688</v>
      </c>
      <c r="AB69" s="65" t="s">
        <v>341</v>
      </c>
      <c r="AC69" s="65" t="s">
        <v>341</v>
      </c>
      <c r="AD69" s="65" t="s">
        <v>341</v>
      </c>
      <c r="AE69" s="65" t="s">
        <v>341</v>
      </c>
      <c r="AF69" s="65" t="s">
        <v>341</v>
      </c>
      <c r="AG69" s="65" t="s">
        <v>341</v>
      </c>
      <c r="AH69" s="65" t="s">
        <v>341</v>
      </c>
      <c r="AI69" s="65" t="s">
        <v>341</v>
      </c>
      <c r="AJ69" s="65" t="s">
        <v>341</v>
      </c>
      <c r="AK69" s="65" t="s">
        <v>341</v>
      </c>
      <c r="AL69" s="65" t="s">
        <v>341</v>
      </c>
      <c r="AM69" s="65" t="s">
        <v>341</v>
      </c>
      <c r="AN69" s="65" t="s">
        <v>341</v>
      </c>
      <c r="AO69" s="65" t="s">
        <v>341</v>
      </c>
      <c r="AP69" s="65" t="s">
        <v>341</v>
      </c>
      <c r="AQ69" s="65" t="s">
        <v>341</v>
      </c>
      <c r="AR69" s="65" t="s">
        <v>341</v>
      </c>
      <c r="AS69" s="65" t="s">
        <v>341</v>
      </c>
      <c r="AT69" s="65" t="s">
        <v>341</v>
      </c>
      <c r="AU69" s="65" t="s">
        <v>341</v>
      </c>
      <c r="AV69" s="65" t="s">
        <v>341</v>
      </c>
      <c r="AW69" s="65" t="s">
        <v>341</v>
      </c>
      <c r="AX69" s="65" t="s">
        <v>341</v>
      </c>
      <c r="AY69" s="65" t="s">
        <v>341</v>
      </c>
    </row>
    <row r="70" spans="1:51" x14ac:dyDescent="0.2">
      <c r="A70" s="65" t="s">
        <v>1313</v>
      </c>
      <c r="B70" s="65" t="s">
        <v>891</v>
      </c>
      <c r="C70" s="65" t="s">
        <v>892</v>
      </c>
      <c r="D70" s="65" t="s">
        <v>1689</v>
      </c>
      <c r="E70" s="65" t="s">
        <v>341</v>
      </c>
      <c r="F70" s="65" t="s">
        <v>1415</v>
      </c>
      <c r="G70" s="65" t="s">
        <v>1416</v>
      </c>
      <c r="H70" s="65" t="s">
        <v>341</v>
      </c>
      <c r="I70" s="65" t="s">
        <v>341</v>
      </c>
      <c r="J70" s="65" t="s">
        <v>341</v>
      </c>
      <c r="K70" s="65" t="s">
        <v>341</v>
      </c>
      <c r="L70" s="65" t="s">
        <v>341</v>
      </c>
      <c r="M70" s="65" t="s">
        <v>341</v>
      </c>
      <c r="N70" s="65" t="s">
        <v>341</v>
      </c>
      <c r="O70" s="65" t="s">
        <v>341</v>
      </c>
      <c r="P70" s="65" t="s">
        <v>341</v>
      </c>
      <c r="Q70" s="65" t="s">
        <v>341</v>
      </c>
      <c r="R70" s="65" t="s">
        <v>341</v>
      </c>
      <c r="S70" s="65" t="s">
        <v>341</v>
      </c>
      <c r="T70" s="65" t="s">
        <v>341</v>
      </c>
      <c r="U70" s="65" t="s">
        <v>341</v>
      </c>
      <c r="V70" s="65" t="s">
        <v>341</v>
      </c>
      <c r="W70" s="65" t="s">
        <v>341</v>
      </c>
      <c r="X70" s="65" t="s">
        <v>341</v>
      </c>
      <c r="Y70" s="65" t="s">
        <v>1468</v>
      </c>
      <c r="Z70" s="65" t="s">
        <v>1313</v>
      </c>
      <c r="AA70" s="65" t="s">
        <v>1690</v>
      </c>
      <c r="AB70" s="65" t="s">
        <v>341</v>
      </c>
      <c r="AC70" s="65" t="s">
        <v>341</v>
      </c>
      <c r="AD70" s="65" t="s">
        <v>341</v>
      </c>
      <c r="AE70" s="65" t="s">
        <v>341</v>
      </c>
      <c r="AF70" s="65" t="s">
        <v>341</v>
      </c>
      <c r="AG70" s="65" t="s">
        <v>341</v>
      </c>
      <c r="AH70" s="65" t="s">
        <v>341</v>
      </c>
      <c r="AI70" s="65" t="s">
        <v>341</v>
      </c>
      <c r="AJ70" s="65" t="s">
        <v>341</v>
      </c>
      <c r="AK70" s="65" t="s">
        <v>341</v>
      </c>
      <c r="AL70" s="65" t="s">
        <v>341</v>
      </c>
      <c r="AM70" s="65" t="s">
        <v>341</v>
      </c>
      <c r="AN70" s="65" t="s">
        <v>341</v>
      </c>
      <c r="AO70" s="65" t="s">
        <v>341</v>
      </c>
      <c r="AP70" s="65" t="s">
        <v>341</v>
      </c>
      <c r="AQ70" s="65" t="s">
        <v>341</v>
      </c>
      <c r="AR70" s="65" t="s">
        <v>341</v>
      </c>
      <c r="AS70" s="65" t="s">
        <v>341</v>
      </c>
      <c r="AT70" s="65" t="s">
        <v>341</v>
      </c>
      <c r="AU70" s="65" t="s">
        <v>341</v>
      </c>
      <c r="AV70" s="65" t="s">
        <v>341</v>
      </c>
      <c r="AW70" s="65" t="s">
        <v>341</v>
      </c>
      <c r="AX70" s="65" t="s">
        <v>341</v>
      </c>
      <c r="AY70" s="65" t="s">
        <v>341</v>
      </c>
    </row>
    <row r="71" spans="1:51" x14ac:dyDescent="0.2">
      <c r="A71" s="65" t="s">
        <v>1313</v>
      </c>
      <c r="B71" s="65" t="s">
        <v>893</v>
      </c>
      <c r="C71" s="65" t="s">
        <v>894</v>
      </c>
      <c r="D71" s="65" t="s">
        <v>1691</v>
      </c>
      <c r="E71" s="65" t="s">
        <v>341</v>
      </c>
      <c r="F71" s="65" t="s">
        <v>1415</v>
      </c>
      <c r="G71" s="65" t="s">
        <v>1416</v>
      </c>
      <c r="H71" s="65" t="s">
        <v>341</v>
      </c>
      <c r="I71" s="65" t="s">
        <v>341</v>
      </c>
      <c r="J71" s="65" t="s">
        <v>341</v>
      </c>
      <c r="K71" s="65" t="s">
        <v>341</v>
      </c>
      <c r="L71" s="65" t="s">
        <v>341</v>
      </c>
      <c r="M71" s="65" t="s">
        <v>341</v>
      </c>
      <c r="N71" s="65" t="s">
        <v>341</v>
      </c>
      <c r="O71" s="65" t="s">
        <v>341</v>
      </c>
      <c r="P71" s="65" t="s">
        <v>341</v>
      </c>
      <c r="Q71" s="65" t="s">
        <v>341</v>
      </c>
      <c r="R71" s="65" t="s">
        <v>341</v>
      </c>
      <c r="S71" s="65" t="s">
        <v>341</v>
      </c>
      <c r="T71" s="65" t="s">
        <v>341</v>
      </c>
      <c r="U71" s="65" t="s">
        <v>341</v>
      </c>
      <c r="V71" s="65" t="s">
        <v>341</v>
      </c>
      <c r="W71" s="65" t="s">
        <v>341</v>
      </c>
      <c r="X71" s="65" t="s">
        <v>341</v>
      </c>
      <c r="Y71" s="65" t="s">
        <v>341</v>
      </c>
      <c r="Z71" s="65" t="s">
        <v>341</v>
      </c>
      <c r="AA71" s="65" t="s">
        <v>341</v>
      </c>
      <c r="AB71" s="65" t="s">
        <v>341</v>
      </c>
      <c r="AC71" s="65" t="s">
        <v>341</v>
      </c>
      <c r="AD71" s="65" t="s">
        <v>341</v>
      </c>
      <c r="AE71" s="65" t="s">
        <v>341</v>
      </c>
      <c r="AF71" s="65" t="s">
        <v>341</v>
      </c>
      <c r="AG71" s="65" t="s">
        <v>341</v>
      </c>
      <c r="AH71" s="65" t="s">
        <v>341</v>
      </c>
      <c r="AI71" s="65" t="s">
        <v>341</v>
      </c>
      <c r="AJ71" s="65" t="s">
        <v>341</v>
      </c>
      <c r="AK71" s="65" t="s">
        <v>341</v>
      </c>
      <c r="AL71" s="65" t="s">
        <v>341</v>
      </c>
      <c r="AM71" s="65" t="s">
        <v>341</v>
      </c>
      <c r="AN71" s="65" t="s">
        <v>341</v>
      </c>
      <c r="AO71" s="65" t="s">
        <v>341</v>
      </c>
      <c r="AP71" s="65" t="s">
        <v>341</v>
      </c>
      <c r="AQ71" s="65" t="s">
        <v>341</v>
      </c>
      <c r="AR71" s="65" t="s">
        <v>341</v>
      </c>
      <c r="AS71" s="65" t="s">
        <v>341</v>
      </c>
      <c r="AT71" s="65" t="s">
        <v>341</v>
      </c>
      <c r="AU71" s="65" t="s">
        <v>341</v>
      </c>
      <c r="AV71" s="65" t="s">
        <v>341</v>
      </c>
      <c r="AW71" s="65" t="s">
        <v>341</v>
      </c>
      <c r="AX71" s="65" t="s">
        <v>341</v>
      </c>
      <c r="AY71" s="65" t="s">
        <v>341</v>
      </c>
    </row>
    <row r="72" spans="1:51" x14ac:dyDescent="0.2">
      <c r="A72" s="65" t="s">
        <v>1313</v>
      </c>
      <c r="B72" s="65" t="s">
        <v>897</v>
      </c>
      <c r="C72" s="65" t="s">
        <v>898</v>
      </c>
      <c r="D72" s="65" t="s">
        <v>1692</v>
      </c>
      <c r="E72" s="65" t="s">
        <v>341</v>
      </c>
      <c r="F72" s="65" t="s">
        <v>1415</v>
      </c>
      <c r="G72" s="65" t="s">
        <v>1416</v>
      </c>
      <c r="H72" s="65" t="s">
        <v>341</v>
      </c>
      <c r="I72" s="65" t="s">
        <v>341</v>
      </c>
      <c r="J72" s="65" t="s">
        <v>341</v>
      </c>
      <c r="K72" s="65" t="s">
        <v>341</v>
      </c>
      <c r="L72" s="65" t="s">
        <v>341</v>
      </c>
      <c r="M72" s="65" t="s">
        <v>341</v>
      </c>
      <c r="N72" s="65" t="s">
        <v>341</v>
      </c>
      <c r="O72" s="65" t="s">
        <v>341</v>
      </c>
      <c r="P72" s="65" t="s">
        <v>341</v>
      </c>
      <c r="Q72" s="65" t="s">
        <v>341</v>
      </c>
      <c r="R72" s="65" t="s">
        <v>341</v>
      </c>
      <c r="S72" s="65" t="s">
        <v>341</v>
      </c>
      <c r="T72" s="65" t="s">
        <v>341</v>
      </c>
      <c r="U72" s="65" t="s">
        <v>341</v>
      </c>
      <c r="V72" s="65" t="s">
        <v>341</v>
      </c>
      <c r="W72" s="65" t="s">
        <v>341</v>
      </c>
      <c r="X72" s="65" t="s">
        <v>341</v>
      </c>
      <c r="Y72" s="65" t="s">
        <v>1432</v>
      </c>
      <c r="Z72" s="65" t="s">
        <v>1313</v>
      </c>
      <c r="AA72" s="65" t="s">
        <v>1693</v>
      </c>
      <c r="AB72" s="65" t="s">
        <v>341</v>
      </c>
      <c r="AC72" s="65" t="s">
        <v>341</v>
      </c>
      <c r="AD72" s="65" t="s">
        <v>341</v>
      </c>
      <c r="AE72" s="65" t="s">
        <v>341</v>
      </c>
      <c r="AF72" s="65" t="s">
        <v>341</v>
      </c>
      <c r="AG72" s="65" t="s">
        <v>341</v>
      </c>
      <c r="AH72" s="65" t="s">
        <v>341</v>
      </c>
      <c r="AI72" s="65" t="s">
        <v>341</v>
      </c>
      <c r="AJ72" s="65" t="s">
        <v>341</v>
      </c>
      <c r="AK72" s="65" t="s">
        <v>341</v>
      </c>
      <c r="AL72" s="65" t="s">
        <v>341</v>
      </c>
      <c r="AM72" s="65" t="s">
        <v>341</v>
      </c>
      <c r="AN72" s="65" t="s">
        <v>341</v>
      </c>
      <c r="AO72" s="65" t="s">
        <v>341</v>
      </c>
      <c r="AP72" s="65" t="s">
        <v>341</v>
      </c>
      <c r="AQ72" s="65" t="s">
        <v>341</v>
      </c>
      <c r="AR72" s="65" t="s">
        <v>341</v>
      </c>
      <c r="AS72" s="65" t="s">
        <v>341</v>
      </c>
      <c r="AT72" s="65" t="s">
        <v>341</v>
      </c>
      <c r="AU72" s="65" t="s">
        <v>341</v>
      </c>
      <c r="AV72" s="65" t="s">
        <v>341</v>
      </c>
      <c r="AW72" s="65" t="s">
        <v>341</v>
      </c>
      <c r="AX72" s="65" t="s">
        <v>341</v>
      </c>
      <c r="AY72" s="65" t="s">
        <v>341</v>
      </c>
    </row>
    <row r="73" spans="1:51" x14ac:dyDescent="0.2">
      <c r="A73" s="65" t="s">
        <v>1313</v>
      </c>
      <c r="B73" s="65" t="s">
        <v>899</v>
      </c>
      <c r="C73" s="65" t="s">
        <v>900</v>
      </c>
      <c r="D73" s="65" t="s">
        <v>1694</v>
      </c>
      <c r="E73" s="65" t="s">
        <v>341</v>
      </c>
      <c r="F73" s="65" t="s">
        <v>1415</v>
      </c>
      <c r="G73" s="65" t="s">
        <v>1416</v>
      </c>
      <c r="H73" s="65" t="s">
        <v>341</v>
      </c>
      <c r="I73" s="65" t="s">
        <v>341</v>
      </c>
      <c r="J73" s="65" t="s">
        <v>341</v>
      </c>
      <c r="K73" s="65" t="s">
        <v>341</v>
      </c>
      <c r="L73" s="65" t="s">
        <v>341</v>
      </c>
      <c r="M73" s="65" t="s">
        <v>341</v>
      </c>
      <c r="N73" s="65" t="s">
        <v>341</v>
      </c>
      <c r="O73" s="65" t="s">
        <v>341</v>
      </c>
      <c r="P73" s="65" t="s">
        <v>341</v>
      </c>
      <c r="Q73" s="65" t="s">
        <v>341</v>
      </c>
      <c r="R73" s="65" t="s">
        <v>341</v>
      </c>
      <c r="S73" s="65" t="s">
        <v>341</v>
      </c>
      <c r="T73" s="65" t="s">
        <v>341</v>
      </c>
      <c r="U73" s="65" t="s">
        <v>341</v>
      </c>
      <c r="V73" s="65" t="s">
        <v>341</v>
      </c>
      <c r="W73" s="65" t="s">
        <v>341</v>
      </c>
      <c r="X73" s="65" t="s">
        <v>341</v>
      </c>
      <c r="Y73" s="65" t="s">
        <v>1432</v>
      </c>
      <c r="Z73" s="65" t="s">
        <v>1313</v>
      </c>
      <c r="AA73" s="65" t="s">
        <v>1695</v>
      </c>
      <c r="AB73" s="65" t="s">
        <v>341</v>
      </c>
      <c r="AC73" s="65" t="s">
        <v>341</v>
      </c>
      <c r="AD73" s="65" t="s">
        <v>341</v>
      </c>
      <c r="AE73" s="65" t="s">
        <v>341</v>
      </c>
      <c r="AF73" s="65" t="s">
        <v>341</v>
      </c>
      <c r="AG73" s="65" t="s">
        <v>341</v>
      </c>
      <c r="AH73" s="65" t="s">
        <v>341</v>
      </c>
      <c r="AI73" s="65" t="s">
        <v>341</v>
      </c>
      <c r="AJ73" s="65" t="s">
        <v>341</v>
      </c>
      <c r="AK73" s="65" t="s">
        <v>341</v>
      </c>
      <c r="AL73" s="65" t="s">
        <v>341</v>
      </c>
      <c r="AM73" s="65" t="s">
        <v>341</v>
      </c>
      <c r="AN73" s="65" t="s">
        <v>341</v>
      </c>
      <c r="AO73" s="65" t="s">
        <v>341</v>
      </c>
      <c r="AP73" s="65" t="s">
        <v>341</v>
      </c>
      <c r="AQ73" s="65" t="s">
        <v>341</v>
      </c>
      <c r="AR73" s="65" t="s">
        <v>341</v>
      </c>
      <c r="AS73" s="65" t="s">
        <v>341</v>
      </c>
      <c r="AT73" s="65" t="s">
        <v>341</v>
      </c>
      <c r="AU73" s="65" t="s">
        <v>341</v>
      </c>
      <c r="AV73" s="65" t="s">
        <v>341</v>
      </c>
      <c r="AW73" s="65" t="s">
        <v>341</v>
      </c>
      <c r="AX73" s="65" t="s">
        <v>341</v>
      </c>
      <c r="AY73" s="65" t="s">
        <v>341</v>
      </c>
    </row>
    <row r="74" spans="1:51" x14ac:dyDescent="0.2">
      <c r="A74" s="65" t="s">
        <v>1313</v>
      </c>
      <c r="B74" s="65" t="s">
        <v>901</v>
      </c>
      <c r="C74" s="65" t="s">
        <v>902</v>
      </c>
      <c r="D74" s="65" t="s">
        <v>1696</v>
      </c>
      <c r="E74" s="65" t="s">
        <v>341</v>
      </c>
      <c r="F74" s="65" t="s">
        <v>1415</v>
      </c>
      <c r="G74" s="65" t="s">
        <v>1416</v>
      </c>
      <c r="H74" s="65" t="s">
        <v>341</v>
      </c>
      <c r="I74" s="65" t="s">
        <v>341</v>
      </c>
      <c r="J74" s="65" t="s">
        <v>341</v>
      </c>
      <c r="K74" s="65" t="s">
        <v>341</v>
      </c>
      <c r="L74" s="65" t="s">
        <v>341</v>
      </c>
      <c r="M74" s="65" t="s">
        <v>341</v>
      </c>
      <c r="N74" s="65" t="s">
        <v>341</v>
      </c>
      <c r="O74" s="65" t="s">
        <v>341</v>
      </c>
      <c r="P74" s="65" t="s">
        <v>341</v>
      </c>
      <c r="Q74" s="65" t="s">
        <v>341</v>
      </c>
      <c r="R74" s="65" t="s">
        <v>341</v>
      </c>
      <c r="S74" s="65" t="s">
        <v>341</v>
      </c>
      <c r="T74" s="65" t="s">
        <v>341</v>
      </c>
      <c r="U74" s="65" t="s">
        <v>341</v>
      </c>
      <c r="V74" s="65" t="s">
        <v>341</v>
      </c>
      <c r="W74" s="65" t="s">
        <v>341</v>
      </c>
      <c r="X74" s="65" t="s">
        <v>341</v>
      </c>
      <c r="Y74" s="65" t="s">
        <v>1468</v>
      </c>
      <c r="Z74" s="65" t="s">
        <v>1313</v>
      </c>
      <c r="AA74" s="65" t="s">
        <v>1697</v>
      </c>
      <c r="AB74" s="65" t="s">
        <v>341</v>
      </c>
      <c r="AC74" s="65" t="s">
        <v>341</v>
      </c>
      <c r="AD74" s="65" t="s">
        <v>341</v>
      </c>
      <c r="AE74" s="65" t="s">
        <v>341</v>
      </c>
      <c r="AF74" s="65" t="s">
        <v>341</v>
      </c>
      <c r="AG74" s="65" t="s">
        <v>341</v>
      </c>
      <c r="AH74" s="65" t="s">
        <v>341</v>
      </c>
      <c r="AI74" s="65" t="s">
        <v>341</v>
      </c>
      <c r="AJ74" s="65" t="s">
        <v>341</v>
      </c>
      <c r="AK74" s="65" t="s">
        <v>341</v>
      </c>
      <c r="AL74" s="65" t="s">
        <v>341</v>
      </c>
      <c r="AM74" s="65" t="s">
        <v>341</v>
      </c>
      <c r="AN74" s="65" t="s">
        <v>341</v>
      </c>
      <c r="AO74" s="65" t="s">
        <v>341</v>
      </c>
      <c r="AP74" s="65" t="s">
        <v>341</v>
      </c>
      <c r="AQ74" s="65" t="s">
        <v>341</v>
      </c>
      <c r="AR74" s="65" t="s">
        <v>341</v>
      </c>
      <c r="AS74" s="65" t="s">
        <v>341</v>
      </c>
      <c r="AT74" s="65" t="s">
        <v>341</v>
      </c>
      <c r="AU74" s="65" t="s">
        <v>341</v>
      </c>
      <c r="AV74" s="65" t="s">
        <v>341</v>
      </c>
      <c r="AW74" s="65" t="s">
        <v>341</v>
      </c>
      <c r="AX74" s="65" t="s">
        <v>341</v>
      </c>
      <c r="AY74" s="65" t="s">
        <v>341</v>
      </c>
    </row>
    <row r="75" spans="1:51" x14ac:dyDescent="0.2">
      <c r="A75" s="65" t="s">
        <v>1313</v>
      </c>
      <c r="B75" s="65" t="s">
        <v>905</v>
      </c>
      <c r="C75" s="65" t="s">
        <v>906</v>
      </c>
      <c r="D75" s="65" t="s">
        <v>1698</v>
      </c>
      <c r="E75" s="65" t="s">
        <v>341</v>
      </c>
      <c r="F75" s="65" t="s">
        <v>1415</v>
      </c>
      <c r="G75" s="65" t="s">
        <v>1416</v>
      </c>
      <c r="H75" s="65" t="s">
        <v>341</v>
      </c>
      <c r="I75" s="65" t="s">
        <v>341</v>
      </c>
      <c r="J75" s="65" t="s">
        <v>341</v>
      </c>
      <c r="K75" s="65" t="s">
        <v>341</v>
      </c>
      <c r="L75" s="65" t="s">
        <v>341</v>
      </c>
      <c r="M75" s="65" t="s">
        <v>341</v>
      </c>
      <c r="N75" s="65" t="s">
        <v>341</v>
      </c>
      <c r="O75" s="65" t="s">
        <v>341</v>
      </c>
      <c r="P75" s="65" t="s">
        <v>341</v>
      </c>
      <c r="Q75" s="65" t="s">
        <v>341</v>
      </c>
      <c r="R75" s="65" t="s">
        <v>341</v>
      </c>
      <c r="S75" s="65" t="s">
        <v>341</v>
      </c>
      <c r="T75" s="65" t="s">
        <v>341</v>
      </c>
      <c r="U75" s="65" t="s">
        <v>341</v>
      </c>
      <c r="V75" s="65" t="s">
        <v>341</v>
      </c>
      <c r="W75" s="65" t="s">
        <v>341</v>
      </c>
      <c r="X75" s="65" t="s">
        <v>341</v>
      </c>
      <c r="Y75" s="65" t="s">
        <v>1441</v>
      </c>
      <c r="Z75" s="65" t="s">
        <v>1313</v>
      </c>
      <c r="AA75" s="65" t="s">
        <v>1699</v>
      </c>
      <c r="AB75" s="65" t="s">
        <v>341</v>
      </c>
      <c r="AC75" s="65" t="s">
        <v>341</v>
      </c>
      <c r="AD75" s="65" t="s">
        <v>341</v>
      </c>
      <c r="AE75" s="65" t="s">
        <v>341</v>
      </c>
      <c r="AF75" s="65" t="s">
        <v>341</v>
      </c>
      <c r="AG75" s="65" t="s">
        <v>341</v>
      </c>
      <c r="AH75" s="65" t="s">
        <v>341</v>
      </c>
      <c r="AI75" s="65" t="s">
        <v>341</v>
      </c>
      <c r="AJ75" s="65" t="s">
        <v>341</v>
      </c>
      <c r="AK75" s="65" t="s">
        <v>341</v>
      </c>
      <c r="AL75" s="65" t="s">
        <v>341</v>
      </c>
      <c r="AM75" s="65" t="s">
        <v>341</v>
      </c>
      <c r="AN75" s="65" t="s">
        <v>341</v>
      </c>
      <c r="AO75" s="65" t="s">
        <v>341</v>
      </c>
      <c r="AP75" s="65" t="s">
        <v>341</v>
      </c>
      <c r="AQ75" s="65" t="s">
        <v>341</v>
      </c>
      <c r="AR75" s="65" t="s">
        <v>341</v>
      </c>
      <c r="AS75" s="65" t="s">
        <v>341</v>
      </c>
      <c r="AT75" s="65" t="s">
        <v>341</v>
      </c>
      <c r="AU75" s="65" t="s">
        <v>341</v>
      </c>
      <c r="AV75" s="65" t="s">
        <v>341</v>
      </c>
      <c r="AW75" s="65" t="s">
        <v>341</v>
      </c>
      <c r="AX75" s="65" t="s">
        <v>341</v>
      </c>
      <c r="AY75" s="65" t="s">
        <v>341</v>
      </c>
    </row>
    <row r="76" spans="1:51" x14ac:dyDescent="0.2">
      <c r="A76" s="65" t="s">
        <v>1313</v>
      </c>
      <c r="B76" s="65" t="s">
        <v>907</v>
      </c>
      <c r="C76" s="65" t="s">
        <v>908</v>
      </c>
      <c r="D76" s="65" t="s">
        <v>1700</v>
      </c>
      <c r="E76" s="65" t="s">
        <v>341</v>
      </c>
      <c r="F76" s="65" t="s">
        <v>1415</v>
      </c>
      <c r="G76" s="65" t="s">
        <v>1416</v>
      </c>
      <c r="H76" s="65" t="s">
        <v>341</v>
      </c>
      <c r="I76" s="65" t="s">
        <v>341</v>
      </c>
      <c r="J76" s="65" t="s">
        <v>341</v>
      </c>
      <c r="K76" s="65" t="s">
        <v>341</v>
      </c>
      <c r="L76" s="65" t="s">
        <v>341</v>
      </c>
      <c r="M76" s="65" t="s">
        <v>341</v>
      </c>
      <c r="N76" s="65" t="s">
        <v>341</v>
      </c>
      <c r="O76" s="65" t="s">
        <v>341</v>
      </c>
      <c r="P76" s="65" t="s">
        <v>341</v>
      </c>
      <c r="Q76" s="65" t="s">
        <v>341</v>
      </c>
      <c r="R76" s="65" t="s">
        <v>341</v>
      </c>
      <c r="S76" s="65" t="s">
        <v>341</v>
      </c>
      <c r="T76" s="65" t="s">
        <v>341</v>
      </c>
      <c r="U76" s="65" t="s">
        <v>341</v>
      </c>
      <c r="V76" s="65" t="s">
        <v>341</v>
      </c>
      <c r="W76" s="65" t="s">
        <v>341</v>
      </c>
      <c r="X76" s="65" t="s">
        <v>341</v>
      </c>
      <c r="Y76" s="65" t="s">
        <v>1441</v>
      </c>
      <c r="Z76" s="65" t="s">
        <v>1313</v>
      </c>
      <c r="AA76" s="65" t="s">
        <v>1701</v>
      </c>
      <c r="AB76" s="65" t="s">
        <v>341</v>
      </c>
      <c r="AC76" s="65" t="s">
        <v>341</v>
      </c>
      <c r="AD76" s="65" t="s">
        <v>341</v>
      </c>
      <c r="AE76" s="65" t="s">
        <v>341</v>
      </c>
      <c r="AF76" s="65" t="s">
        <v>341</v>
      </c>
      <c r="AG76" s="65" t="s">
        <v>341</v>
      </c>
      <c r="AH76" s="65" t="s">
        <v>341</v>
      </c>
      <c r="AI76" s="65" t="s">
        <v>341</v>
      </c>
      <c r="AJ76" s="65" t="s">
        <v>341</v>
      </c>
      <c r="AK76" s="65" t="s">
        <v>341</v>
      </c>
      <c r="AL76" s="65" t="s">
        <v>341</v>
      </c>
      <c r="AM76" s="65" t="s">
        <v>341</v>
      </c>
      <c r="AN76" s="65" t="s">
        <v>341</v>
      </c>
      <c r="AO76" s="65" t="s">
        <v>341</v>
      </c>
      <c r="AP76" s="65" t="s">
        <v>341</v>
      </c>
      <c r="AQ76" s="65" t="s">
        <v>341</v>
      </c>
      <c r="AR76" s="65" t="s">
        <v>341</v>
      </c>
      <c r="AS76" s="65" t="s">
        <v>341</v>
      </c>
      <c r="AT76" s="65" t="s">
        <v>341</v>
      </c>
      <c r="AU76" s="65" t="s">
        <v>341</v>
      </c>
      <c r="AV76" s="65" t="s">
        <v>341</v>
      </c>
      <c r="AW76" s="65" t="s">
        <v>341</v>
      </c>
      <c r="AX76" s="65" t="s">
        <v>341</v>
      </c>
      <c r="AY76" s="65" t="s">
        <v>341</v>
      </c>
    </row>
    <row r="77" spans="1:51" x14ac:dyDescent="0.2">
      <c r="A77" s="65" t="s">
        <v>1313</v>
      </c>
      <c r="B77" s="65" t="s">
        <v>909</v>
      </c>
      <c r="C77" s="65" t="s">
        <v>910</v>
      </c>
      <c r="D77" s="65" t="s">
        <v>1702</v>
      </c>
      <c r="E77" s="65" t="s">
        <v>341</v>
      </c>
      <c r="F77" s="65" t="s">
        <v>1415</v>
      </c>
      <c r="G77" s="65" t="s">
        <v>1416</v>
      </c>
      <c r="H77" s="65" t="s">
        <v>341</v>
      </c>
      <c r="I77" s="65" t="s">
        <v>341</v>
      </c>
      <c r="J77" s="65" t="s">
        <v>341</v>
      </c>
      <c r="K77" s="65" t="s">
        <v>341</v>
      </c>
      <c r="L77" s="65" t="s">
        <v>341</v>
      </c>
      <c r="M77" s="65" t="s">
        <v>341</v>
      </c>
      <c r="N77" s="65" t="s">
        <v>341</v>
      </c>
      <c r="O77" s="65" t="s">
        <v>341</v>
      </c>
      <c r="P77" s="65" t="s">
        <v>341</v>
      </c>
      <c r="Q77" s="65" t="s">
        <v>341</v>
      </c>
      <c r="R77" s="65" t="s">
        <v>341</v>
      </c>
      <c r="S77" s="65" t="s">
        <v>341</v>
      </c>
      <c r="T77" s="65" t="s">
        <v>341</v>
      </c>
      <c r="U77" s="65" t="s">
        <v>341</v>
      </c>
      <c r="V77" s="65" t="s">
        <v>341</v>
      </c>
      <c r="W77" s="65" t="s">
        <v>341</v>
      </c>
      <c r="X77" s="65" t="s">
        <v>341</v>
      </c>
      <c r="Y77" s="65" t="s">
        <v>1703</v>
      </c>
      <c r="Z77" s="65" t="s">
        <v>1313</v>
      </c>
      <c r="AA77" s="65" t="s">
        <v>1704</v>
      </c>
      <c r="AB77" s="65" t="s">
        <v>341</v>
      </c>
      <c r="AC77" s="65" t="s">
        <v>341</v>
      </c>
      <c r="AD77" s="65" t="s">
        <v>341</v>
      </c>
      <c r="AE77" s="65" t="s">
        <v>341</v>
      </c>
      <c r="AF77" s="65" t="s">
        <v>341</v>
      </c>
      <c r="AG77" s="65" t="s">
        <v>341</v>
      </c>
      <c r="AH77" s="65" t="s">
        <v>341</v>
      </c>
      <c r="AI77" s="65" t="s">
        <v>341</v>
      </c>
      <c r="AJ77" s="65" t="s">
        <v>341</v>
      </c>
      <c r="AK77" s="65" t="s">
        <v>341</v>
      </c>
      <c r="AL77" s="65" t="s">
        <v>341</v>
      </c>
      <c r="AM77" s="65" t="s">
        <v>341</v>
      </c>
      <c r="AN77" s="65" t="s">
        <v>341</v>
      </c>
      <c r="AO77" s="65" t="s">
        <v>341</v>
      </c>
      <c r="AP77" s="65" t="s">
        <v>341</v>
      </c>
      <c r="AQ77" s="65" t="s">
        <v>341</v>
      </c>
      <c r="AR77" s="65" t="s">
        <v>341</v>
      </c>
      <c r="AS77" s="65" t="s">
        <v>341</v>
      </c>
      <c r="AT77" s="65" t="s">
        <v>341</v>
      </c>
      <c r="AU77" s="65" t="s">
        <v>341</v>
      </c>
      <c r="AV77" s="65" t="s">
        <v>341</v>
      </c>
      <c r="AW77" s="65" t="s">
        <v>341</v>
      </c>
      <c r="AX77" s="65" t="s">
        <v>341</v>
      </c>
      <c r="AY77" s="65" t="s">
        <v>341</v>
      </c>
    </row>
    <row r="78" spans="1:51" x14ac:dyDescent="0.2">
      <c r="A78" s="65" t="s">
        <v>1313</v>
      </c>
      <c r="B78" s="65" t="s">
        <v>911</v>
      </c>
      <c r="C78" s="65" t="s">
        <v>912</v>
      </c>
      <c r="D78" s="65" t="s">
        <v>1705</v>
      </c>
      <c r="E78" s="65" t="s">
        <v>341</v>
      </c>
      <c r="F78" s="65" t="s">
        <v>1415</v>
      </c>
      <c r="G78" s="65" t="s">
        <v>1416</v>
      </c>
      <c r="H78" s="65" t="s">
        <v>341</v>
      </c>
      <c r="I78" s="65" t="s">
        <v>341</v>
      </c>
      <c r="J78" s="65" t="s">
        <v>341</v>
      </c>
      <c r="K78" s="65" t="s">
        <v>341</v>
      </c>
      <c r="L78" s="65" t="s">
        <v>341</v>
      </c>
      <c r="M78" s="65" t="s">
        <v>341</v>
      </c>
      <c r="N78" s="65" t="s">
        <v>341</v>
      </c>
      <c r="O78" s="65" t="s">
        <v>341</v>
      </c>
      <c r="P78" s="65" t="s">
        <v>341</v>
      </c>
      <c r="Q78" s="65" t="s">
        <v>341</v>
      </c>
      <c r="R78" s="65" t="s">
        <v>341</v>
      </c>
      <c r="S78" s="65" t="s">
        <v>341</v>
      </c>
      <c r="T78" s="65" t="s">
        <v>341</v>
      </c>
      <c r="U78" s="65" t="s">
        <v>341</v>
      </c>
      <c r="V78" s="65" t="s">
        <v>341</v>
      </c>
      <c r="W78" s="65" t="s">
        <v>341</v>
      </c>
      <c r="X78" s="65" t="s">
        <v>341</v>
      </c>
      <c r="Y78" s="65" t="s">
        <v>1706</v>
      </c>
      <c r="Z78" s="65" t="s">
        <v>1313</v>
      </c>
      <c r="AA78" s="65" t="s">
        <v>1707</v>
      </c>
      <c r="AB78" s="65" t="s">
        <v>341</v>
      </c>
      <c r="AC78" s="65" t="s">
        <v>341</v>
      </c>
      <c r="AD78" s="65" t="s">
        <v>341</v>
      </c>
      <c r="AE78" s="65" t="s">
        <v>341</v>
      </c>
      <c r="AF78" s="65" t="s">
        <v>341</v>
      </c>
      <c r="AG78" s="65" t="s">
        <v>341</v>
      </c>
      <c r="AH78" s="65" t="s">
        <v>341</v>
      </c>
      <c r="AI78" s="65" t="s">
        <v>341</v>
      </c>
      <c r="AJ78" s="65" t="s">
        <v>341</v>
      </c>
      <c r="AK78" s="65" t="s">
        <v>341</v>
      </c>
      <c r="AL78" s="65" t="s">
        <v>341</v>
      </c>
      <c r="AM78" s="65" t="s">
        <v>341</v>
      </c>
      <c r="AN78" s="65" t="s">
        <v>341</v>
      </c>
      <c r="AO78" s="65" t="s">
        <v>341</v>
      </c>
      <c r="AP78" s="65" t="s">
        <v>341</v>
      </c>
      <c r="AQ78" s="65" t="s">
        <v>341</v>
      </c>
      <c r="AR78" s="65" t="s">
        <v>341</v>
      </c>
      <c r="AS78" s="65" t="s">
        <v>341</v>
      </c>
      <c r="AT78" s="65" t="s">
        <v>341</v>
      </c>
      <c r="AU78" s="65" t="s">
        <v>341</v>
      </c>
      <c r="AV78" s="65" t="s">
        <v>341</v>
      </c>
      <c r="AW78" s="65" t="s">
        <v>341</v>
      </c>
      <c r="AX78" s="65" t="s">
        <v>341</v>
      </c>
      <c r="AY78" s="65" t="s">
        <v>341</v>
      </c>
    </row>
    <row r="79" spans="1:51" x14ac:dyDescent="0.2">
      <c r="A79" s="65" t="s">
        <v>1313</v>
      </c>
      <c r="B79" s="65" t="s">
        <v>913</v>
      </c>
      <c r="C79" s="65" t="s">
        <v>914</v>
      </c>
      <c r="D79" s="65" t="s">
        <v>1708</v>
      </c>
      <c r="E79" s="65" t="s">
        <v>341</v>
      </c>
      <c r="F79" s="65" t="s">
        <v>1415</v>
      </c>
      <c r="G79" s="65" t="s">
        <v>1416</v>
      </c>
      <c r="H79" s="65" t="s">
        <v>341</v>
      </c>
      <c r="I79" s="65" t="s">
        <v>341</v>
      </c>
      <c r="J79" s="65" t="s">
        <v>341</v>
      </c>
      <c r="K79" s="65" t="s">
        <v>341</v>
      </c>
      <c r="L79" s="65" t="s">
        <v>341</v>
      </c>
      <c r="M79" s="65" t="s">
        <v>341</v>
      </c>
      <c r="N79" s="65" t="s">
        <v>341</v>
      </c>
      <c r="O79" s="65" t="s">
        <v>341</v>
      </c>
      <c r="P79" s="65" t="s">
        <v>341</v>
      </c>
      <c r="Q79" s="65" t="s">
        <v>341</v>
      </c>
      <c r="R79" s="65" t="s">
        <v>341</v>
      </c>
      <c r="S79" s="65" t="s">
        <v>341</v>
      </c>
      <c r="T79" s="65" t="s">
        <v>341</v>
      </c>
      <c r="U79" s="65" t="s">
        <v>341</v>
      </c>
      <c r="V79" s="65" t="s">
        <v>341</v>
      </c>
      <c r="W79" s="65" t="s">
        <v>341</v>
      </c>
      <c r="X79" s="65" t="s">
        <v>341</v>
      </c>
      <c r="Y79" s="65" t="s">
        <v>1441</v>
      </c>
      <c r="Z79" s="65" t="s">
        <v>1313</v>
      </c>
      <c r="AA79" s="65" t="s">
        <v>1709</v>
      </c>
      <c r="AB79" s="65" t="s">
        <v>341</v>
      </c>
      <c r="AC79" s="65" t="s">
        <v>341</v>
      </c>
      <c r="AD79" s="65" t="s">
        <v>341</v>
      </c>
      <c r="AE79" s="65" t="s">
        <v>341</v>
      </c>
      <c r="AF79" s="65" t="s">
        <v>341</v>
      </c>
      <c r="AG79" s="65" t="s">
        <v>341</v>
      </c>
      <c r="AH79" s="65" t="s">
        <v>341</v>
      </c>
      <c r="AI79" s="65" t="s">
        <v>341</v>
      </c>
      <c r="AJ79" s="65" t="s">
        <v>341</v>
      </c>
      <c r="AK79" s="65" t="s">
        <v>341</v>
      </c>
      <c r="AL79" s="65" t="s">
        <v>341</v>
      </c>
      <c r="AM79" s="65" t="s">
        <v>341</v>
      </c>
      <c r="AN79" s="65" t="s">
        <v>341</v>
      </c>
      <c r="AO79" s="65" t="s">
        <v>341</v>
      </c>
      <c r="AP79" s="65" t="s">
        <v>341</v>
      </c>
      <c r="AQ79" s="65" t="s">
        <v>341</v>
      </c>
      <c r="AR79" s="65" t="s">
        <v>341</v>
      </c>
      <c r="AS79" s="65" t="s">
        <v>341</v>
      </c>
      <c r="AT79" s="65" t="s">
        <v>341</v>
      </c>
      <c r="AU79" s="65" t="s">
        <v>341</v>
      </c>
      <c r="AV79" s="65" t="s">
        <v>341</v>
      </c>
      <c r="AW79" s="65" t="s">
        <v>341</v>
      </c>
      <c r="AX79" s="65" t="s">
        <v>341</v>
      </c>
      <c r="AY79" s="65" t="s">
        <v>341</v>
      </c>
    </row>
    <row r="80" spans="1:51" x14ac:dyDescent="0.2">
      <c r="A80" s="65" t="s">
        <v>1313</v>
      </c>
      <c r="B80" s="65" t="s">
        <v>915</v>
      </c>
      <c r="C80" s="65" t="s">
        <v>916</v>
      </c>
      <c r="D80" s="65" t="s">
        <v>1710</v>
      </c>
      <c r="E80" s="65" t="s">
        <v>341</v>
      </c>
      <c r="F80" s="65" t="s">
        <v>1415</v>
      </c>
      <c r="G80" s="65" t="s">
        <v>1416</v>
      </c>
      <c r="H80" s="65" t="s">
        <v>341</v>
      </c>
      <c r="I80" s="65" t="s">
        <v>341</v>
      </c>
      <c r="J80" s="65" t="s">
        <v>341</v>
      </c>
      <c r="K80" s="65" t="s">
        <v>341</v>
      </c>
      <c r="L80" s="65" t="s">
        <v>341</v>
      </c>
      <c r="M80" s="65" t="s">
        <v>341</v>
      </c>
      <c r="N80" s="65" t="s">
        <v>341</v>
      </c>
      <c r="O80" s="65" t="s">
        <v>341</v>
      </c>
      <c r="P80" s="65" t="s">
        <v>341</v>
      </c>
      <c r="Q80" s="65" t="s">
        <v>341</v>
      </c>
      <c r="R80" s="65" t="s">
        <v>341</v>
      </c>
      <c r="S80" s="65" t="s">
        <v>341</v>
      </c>
      <c r="T80" s="65" t="s">
        <v>341</v>
      </c>
      <c r="U80" s="65" t="s">
        <v>341</v>
      </c>
      <c r="V80" s="65" t="s">
        <v>341</v>
      </c>
      <c r="W80" s="65" t="s">
        <v>341</v>
      </c>
      <c r="X80" s="65" t="s">
        <v>341</v>
      </c>
      <c r="Y80" s="65" t="s">
        <v>1441</v>
      </c>
      <c r="Z80" s="65" t="s">
        <v>1313</v>
      </c>
      <c r="AA80" s="65" t="s">
        <v>1711</v>
      </c>
      <c r="AB80" s="65" t="s">
        <v>341</v>
      </c>
      <c r="AC80" s="65" t="s">
        <v>341</v>
      </c>
      <c r="AD80" s="65" t="s">
        <v>341</v>
      </c>
      <c r="AE80" s="65" t="s">
        <v>341</v>
      </c>
      <c r="AF80" s="65" t="s">
        <v>341</v>
      </c>
      <c r="AG80" s="65" t="s">
        <v>341</v>
      </c>
      <c r="AH80" s="65" t="s">
        <v>341</v>
      </c>
      <c r="AI80" s="65" t="s">
        <v>341</v>
      </c>
      <c r="AJ80" s="65" t="s">
        <v>341</v>
      </c>
      <c r="AK80" s="65" t="s">
        <v>341</v>
      </c>
      <c r="AL80" s="65" t="s">
        <v>341</v>
      </c>
      <c r="AM80" s="65" t="s">
        <v>341</v>
      </c>
      <c r="AN80" s="65" t="s">
        <v>341</v>
      </c>
      <c r="AO80" s="65" t="s">
        <v>341</v>
      </c>
      <c r="AP80" s="65" t="s">
        <v>341</v>
      </c>
      <c r="AQ80" s="65" t="s">
        <v>341</v>
      </c>
      <c r="AR80" s="65" t="s">
        <v>341</v>
      </c>
      <c r="AS80" s="65" t="s">
        <v>341</v>
      </c>
      <c r="AT80" s="65" t="s">
        <v>341</v>
      </c>
      <c r="AU80" s="65" t="s">
        <v>341</v>
      </c>
      <c r="AV80" s="65" t="s">
        <v>341</v>
      </c>
      <c r="AW80" s="65" t="s">
        <v>341</v>
      </c>
      <c r="AX80" s="65" t="s">
        <v>341</v>
      </c>
      <c r="AY80" s="65" t="s">
        <v>341</v>
      </c>
    </row>
    <row r="81" spans="1:51" x14ac:dyDescent="0.2">
      <c r="A81" s="65" t="s">
        <v>1313</v>
      </c>
      <c r="B81" s="65" t="s">
        <v>917</v>
      </c>
      <c r="C81" s="65" t="s">
        <v>918</v>
      </c>
      <c r="D81" s="65" t="s">
        <v>1712</v>
      </c>
      <c r="E81" s="65" t="s">
        <v>341</v>
      </c>
      <c r="F81" s="65" t="s">
        <v>1415</v>
      </c>
      <c r="G81" s="65" t="s">
        <v>1416</v>
      </c>
      <c r="H81" s="65" t="s">
        <v>341</v>
      </c>
      <c r="I81" s="65" t="s">
        <v>341</v>
      </c>
      <c r="J81" s="65" t="s">
        <v>341</v>
      </c>
      <c r="K81" s="65" t="s">
        <v>341</v>
      </c>
      <c r="L81" s="65" t="s">
        <v>341</v>
      </c>
      <c r="M81" s="65" t="s">
        <v>341</v>
      </c>
      <c r="N81" s="65" t="s">
        <v>341</v>
      </c>
      <c r="O81" s="65" t="s">
        <v>341</v>
      </c>
      <c r="P81" s="65" t="s">
        <v>341</v>
      </c>
      <c r="Q81" s="65" t="s">
        <v>341</v>
      </c>
      <c r="R81" s="65" t="s">
        <v>341</v>
      </c>
      <c r="S81" s="65" t="s">
        <v>341</v>
      </c>
      <c r="T81" s="65" t="s">
        <v>341</v>
      </c>
      <c r="U81" s="65" t="s">
        <v>341</v>
      </c>
      <c r="V81" s="65" t="s">
        <v>341</v>
      </c>
      <c r="W81" s="65" t="s">
        <v>341</v>
      </c>
      <c r="X81" s="65" t="s">
        <v>341</v>
      </c>
      <c r="Y81" s="65" t="s">
        <v>918</v>
      </c>
      <c r="Z81" s="65" t="s">
        <v>1313</v>
      </c>
      <c r="AA81" s="65" t="s">
        <v>1713</v>
      </c>
      <c r="AB81" s="65" t="s">
        <v>341</v>
      </c>
      <c r="AC81" s="65" t="s">
        <v>341</v>
      </c>
      <c r="AD81" s="65" t="s">
        <v>341</v>
      </c>
      <c r="AE81" s="65" t="s">
        <v>341</v>
      </c>
      <c r="AF81" s="65" t="s">
        <v>341</v>
      </c>
      <c r="AG81" s="65" t="s">
        <v>341</v>
      </c>
      <c r="AH81" s="65" t="s">
        <v>341</v>
      </c>
      <c r="AI81" s="65" t="s">
        <v>341</v>
      </c>
      <c r="AJ81" s="65" t="s">
        <v>341</v>
      </c>
      <c r="AK81" s="65" t="s">
        <v>341</v>
      </c>
      <c r="AL81" s="65" t="s">
        <v>341</v>
      </c>
      <c r="AM81" s="65" t="s">
        <v>341</v>
      </c>
      <c r="AN81" s="65" t="s">
        <v>341</v>
      </c>
      <c r="AO81" s="65" t="s">
        <v>341</v>
      </c>
      <c r="AP81" s="65" t="s">
        <v>341</v>
      </c>
      <c r="AQ81" s="65" t="s">
        <v>341</v>
      </c>
      <c r="AR81" s="65" t="s">
        <v>341</v>
      </c>
      <c r="AS81" s="65" t="s">
        <v>341</v>
      </c>
      <c r="AT81" s="65" t="s">
        <v>341</v>
      </c>
      <c r="AU81" s="65" t="s">
        <v>341</v>
      </c>
      <c r="AV81" s="65" t="s">
        <v>341</v>
      </c>
      <c r="AW81" s="65" t="s">
        <v>341</v>
      </c>
      <c r="AX81" s="65" t="s">
        <v>341</v>
      </c>
      <c r="AY81" s="65" t="s">
        <v>341</v>
      </c>
    </row>
    <row r="82" spans="1:51" x14ac:dyDescent="0.2">
      <c r="A82" s="65" t="s">
        <v>1313</v>
      </c>
      <c r="B82" s="65" t="s">
        <v>943</v>
      </c>
      <c r="C82" s="65" t="s">
        <v>944</v>
      </c>
      <c r="D82" s="65" t="s">
        <v>1714</v>
      </c>
      <c r="E82" s="65" t="s">
        <v>341</v>
      </c>
      <c r="F82" s="65" t="s">
        <v>341</v>
      </c>
      <c r="G82" s="65" t="s">
        <v>1715</v>
      </c>
      <c r="H82" s="65" t="s">
        <v>341</v>
      </c>
      <c r="I82" s="65" t="s">
        <v>341</v>
      </c>
      <c r="J82" s="65" t="s">
        <v>341</v>
      </c>
      <c r="K82" s="65" t="s">
        <v>341</v>
      </c>
      <c r="L82" s="65" t="s">
        <v>341</v>
      </c>
      <c r="M82" s="65" t="s">
        <v>341</v>
      </c>
      <c r="N82" s="65" t="s">
        <v>341</v>
      </c>
      <c r="O82" s="65" t="s">
        <v>341</v>
      </c>
      <c r="P82" s="65" t="s">
        <v>341</v>
      </c>
      <c r="Q82" s="65" t="s">
        <v>341</v>
      </c>
      <c r="R82" s="65" t="s">
        <v>341</v>
      </c>
      <c r="S82" s="65" t="s">
        <v>341</v>
      </c>
      <c r="T82" s="65" t="s">
        <v>341</v>
      </c>
      <c r="U82" s="65" t="s">
        <v>341</v>
      </c>
      <c r="V82" s="65" t="s">
        <v>341</v>
      </c>
      <c r="W82" s="65" t="s">
        <v>341</v>
      </c>
      <c r="X82" s="65" t="s">
        <v>341</v>
      </c>
      <c r="Y82" s="65" t="s">
        <v>1716</v>
      </c>
      <c r="Z82" s="65" t="s">
        <v>1717</v>
      </c>
      <c r="AA82" s="65" t="s">
        <v>1718</v>
      </c>
      <c r="AB82" s="65" t="s">
        <v>341</v>
      </c>
      <c r="AC82" s="65" t="s">
        <v>341</v>
      </c>
      <c r="AD82" s="65" t="s">
        <v>341</v>
      </c>
      <c r="AE82" s="65" t="s">
        <v>341</v>
      </c>
      <c r="AF82" s="65" t="s">
        <v>341</v>
      </c>
      <c r="AG82" s="65" t="s">
        <v>341</v>
      </c>
      <c r="AH82" s="65" t="s">
        <v>341</v>
      </c>
      <c r="AI82" s="65" t="s">
        <v>341</v>
      </c>
      <c r="AJ82" s="65" t="s">
        <v>341</v>
      </c>
      <c r="AK82" s="65" t="s">
        <v>341</v>
      </c>
      <c r="AL82" s="65" t="s">
        <v>341</v>
      </c>
      <c r="AM82" s="65" t="s">
        <v>341</v>
      </c>
      <c r="AN82" s="65" t="s">
        <v>341</v>
      </c>
      <c r="AO82" s="65" t="s">
        <v>341</v>
      </c>
      <c r="AP82" s="65" t="s">
        <v>341</v>
      </c>
      <c r="AQ82" s="65" t="s">
        <v>341</v>
      </c>
      <c r="AR82" s="65" t="s">
        <v>341</v>
      </c>
      <c r="AS82" s="65" t="s">
        <v>341</v>
      </c>
      <c r="AT82" s="65" t="s">
        <v>341</v>
      </c>
      <c r="AU82" s="65" t="s">
        <v>341</v>
      </c>
      <c r="AV82" s="65" t="s">
        <v>341</v>
      </c>
      <c r="AW82" s="65" t="s">
        <v>341</v>
      </c>
      <c r="AX82" s="65" t="s">
        <v>341</v>
      </c>
      <c r="AY82" s="65" t="s">
        <v>341</v>
      </c>
    </row>
    <row r="83" spans="1:51" x14ac:dyDescent="0.2">
      <c r="A83" s="65" t="s">
        <v>1313</v>
      </c>
      <c r="B83" s="65" t="s">
        <v>945</v>
      </c>
      <c r="C83" s="65" t="s">
        <v>946</v>
      </c>
      <c r="D83" s="65" t="s">
        <v>1719</v>
      </c>
      <c r="E83" s="65" t="s">
        <v>341</v>
      </c>
      <c r="F83" s="65" t="s">
        <v>341</v>
      </c>
      <c r="G83" s="65" t="s">
        <v>1715</v>
      </c>
      <c r="H83" s="65" t="s">
        <v>341</v>
      </c>
      <c r="I83" s="65" t="s">
        <v>341</v>
      </c>
      <c r="J83" s="65" t="s">
        <v>341</v>
      </c>
      <c r="K83" s="65" t="s">
        <v>341</v>
      </c>
      <c r="L83" s="65" t="s">
        <v>341</v>
      </c>
      <c r="M83" s="65" t="s">
        <v>341</v>
      </c>
      <c r="N83" s="65" t="s">
        <v>341</v>
      </c>
      <c r="O83" s="65" t="s">
        <v>341</v>
      </c>
      <c r="P83" s="65" t="s">
        <v>341</v>
      </c>
      <c r="Q83" s="65" t="s">
        <v>341</v>
      </c>
      <c r="R83" s="65" t="s">
        <v>341</v>
      </c>
      <c r="S83" s="65" t="s">
        <v>341</v>
      </c>
      <c r="T83" s="65" t="s">
        <v>341</v>
      </c>
      <c r="U83" s="65" t="s">
        <v>341</v>
      </c>
      <c r="V83" s="65" t="s">
        <v>341</v>
      </c>
      <c r="W83" s="65" t="s">
        <v>341</v>
      </c>
      <c r="X83" s="65" t="s">
        <v>341</v>
      </c>
      <c r="Y83" s="65" t="s">
        <v>1720</v>
      </c>
      <c r="Z83" s="65" t="s">
        <v>1717</v>
      </c>
      <c r="AA83" s="65" t="s">
        <v>1721</v>
      </c>
      <c r="AB83" s="65" t="s">
        <v>341</v>
      </c>
      <c r="AC83" s="65" t="s">
        <v>341</v>
      </c>
      <c r="AD83" s="65" t="s">
        <v>341</v>
      </c>
      <c r="AE83" s="65" t="s">
        <v>341</v>
      </c>
      <c r="AF83" s="65" t="s">
        <v>341</v>
      </c>
      <c r="AG83" s="65" t="s">
        <v>341</v>
      </c>
      <c r="AH83" s="65" t="s">
        <v>341</v>
      </c>
      <c r="AI83" s="65" t="s">
        <v>341</v>
      </c>
      <c r="AJ83" s="65" t="s">
        <v>341</v>
      </c>
      <c r="AK83" s="65" t="s">
        <v>341</v>
      </c>
      <c r="AL83" s="65" t="s">
        <v>341</v>
      </c>
      <c r="AM83" s="65" t="s">
        <v>341</v>
      </c>
      <c r="AN83" s="65" t="s">
        <v>341</v>
      </c>
      <c r="AO83" s="65" t="s">
        <v>341</v>
      </c>
      <c r="AP83" s="65" t="s">
        <v>341</v>
      </c>
      <c r="AQ83" s="65" t="s">
        <v>341</v>
      </c>
      <c r="AR83" s="65" t="s">
        <v>341</v>
      </c>
      <c r="AS83" s="65" t="s">
        <v>341</v>
      </c>
      <c r="AT83" s="65" t="s">
        <v>341</v>
      </c>
      <c r="AU83" s="65" t="s">
        <v>341</v>
      </c>
      <c r="AV83" s="65" t="s">
        <v>341</v>
      </c>
      <c r="AW83" s="65" t="s">
        <v>341</v>
      </c>
      <c r="AX83" s="65" t="s">
        <v>341</v>
      </c>
      <c r="AY83" s="65" t="s">
        <v>341</v>
      </c>
    </row>
    <row r="84" spans="1:51" x14ac:dyDescent="0.2">
      <c r="A84" s="65" t="s">
        <v>1313</v>
      </c>
      <c r="B84" s="65" t="s">
        <v>947</v>
      </c>
      <c r="C84" s="65" t="s">
        <v>948</v>
      </c>
      <c r="D84" s="65" t="s">
        <v>1722</v>
      </c>
      <c r="E84" s="65" t="s">
        <v>341</v>
      </c>
      <c r="F84" s="65" t="s">
        <v>341</v>
      </c>
      <c r="G84" s="65" t="s">
        <v>1715</v>
      </c>
      <c r="H84" s="65" t="s">
        <v>341</v>
      </c>
      <c r="I84" s="65" t="s">
        <v>341</v>
      </c>
      <c r="J84" s="65" t="s">
        <v>341</v>
      </c>
      <c r="K84" s="65" t="s">
        <v>341</v>
      </c>
      <c r="L84" s="65" t="s">
        <v>341</v>
      </c>
      <c r="M84" s="65" t="s">
        <v>341</v>
      </c>
      <c r="N84" s="65" t="s">
        <v>341</v>
      </c>
      <c r="O84" s="65" t="s">
        <v>341</v>
      </c>
      <c r="P84" s="65" t="s">
        <v>341</v>
      </c>
      <c r="Q84" s="65" t="s">
        <v>341</v>
      </c>
      <c r="R84" s="65" t="s">
        <v>341</v>
      </c>
      <c r="S84" s="65" t="s">
        <v>341</v>
      </c>
      <c r="T84" s="65" t="s">
        <v>341</v>
      </c>
      <c r="U84" s="65" t="s">
        <v>341</v>
      </c>
      <c r="V84" s="65" t="s">
        <v>341</v>
      </c>
      <c r="W84" s="65" t="s">
        <v>341</v>
      </c>
      <c r="X84" s="65" t="s">
        <v>341</v>
      </c>
      <c r="Y84" s="65" t="s">
        <v>1716</v>
      </c>
      <c r="Z84" s="65" t="s">
        <v>1717</v>
      </c>
      <c r="AA84" s="65" t="s">
        <v>1723</v>
      </c>
      <c r="AB84" s="65" t="s">
        <v>341</v>
      </c>
      <c r="AC84" s="65" t="s">
        <v>341</v>
      </c>
      <c r="AD84" s="65" t="s">
        <v>341</v>
      </c>
      <c r="AE84" s="65" t="s">
        <v>341</v>
      </c>
      <c r="AF84" s="65" t="s">
        <v>341</v>
      </c>
      <c r="AG84" s="65" t="s">
        <v>341</v>
      </c>
      <c r="AH84" s="65" t="s">
        <v>341</v>
      </c>
      <c r="AI84" s="65" t="s">
        <v>341</v>
      </c>
      <c r="AJ84" s="65" t="s">
        <v>341</v>
      </c>
      <c r="AK84" s="65" t="s">
        <v>341</v>
      </c>
      <c r="AL84" s="65" t="s">
        <v>341</v>
      </c>
      <c r="AM84" s="65" t="s">
        <v>341</v>
      </c>
      <c r="AN84" s="65" t="s">
        <v>341</v>
      </c>
      <c r="AO84" s="65" t="s">
        <v>341</v>
      </c>
      <c r="AP84" s="65" t="s">
        <v>341</v>
      </c>
      <c r="AQ84" s="65" t="s">
        <v>341</v>
      </c>
      <c r="AR84" s="65" t="s">
        <v>341</v>
      </c>
      <c r="AS84" s="65" t="s">
        <v>341</v>
      </c>
      <c r="AT84" s="65" t="s">
        <v>341</v>
      </c>
      <c r="AU84" s="65" t="s">
        <v>341</v>
      </c>
      <c r="AV84" s="65" t="s">
        <v>341</v>
      </c>
      <c r="AW84" s="65" t="s">
        <v>341</v>
      </c>
      <c r="AX84" s="65" t="s">
        <v>341</v>
      </c>
      <c r="AY84" s="65" t="s">
        <v>341</v>
      </c>
    </row>
    <row r="85" spans="1:51" x14ac:dyDescent="0.2">
      <c r="A85" s="65" t="s">
        <v>1313</v>
      </c>
      <c r="B85" s="65" t="s">
        <v>949</v>
      </c>
      <c r="C85" s="65" t="s">
        <v>950</v>
      </c>
      <c r="D85" s="65" t="s">
        <v>1724</v>
      </c>
      <c r="E85" s="65" t="s">
        <v>341</v>
      </c>
      <c r="F85" s="65" t="s">
        <v>341</v>
      </c>
      <c r="G85" s="65" t="s">
        <v>1715</v>
      </c>
      <c r="H85" s="65" t="s">
        <v>341</v>
      </c>
      <c r="I85" s="65" t="s">
        <v>341</v>
      </c>
      <c r="J85" s="65" t="s">
        <v>341</v>
      </c>
      <c r="K85" s="65" t="s">
        <v>341</v>
      </c>
      <c r="L85" s="65" t="s">
        <v>341</v>
      </c>
      <c r="M85" s="65" t="s">
        <v>341</v>
      </c>
      <c r="N85" s="65" t="s">
        <v>341</v>
      </c>
      <c r="O85" s="65" t="s">
        <v>341</v>
      </c>
      <c r="P85" s="65" t="s">
        <v>341</v>
      </c>
      <c r="Q85" s="65" t="s">
        <v>341</v>
      </c>
      <c r="R85" s="65" t="s">
        <v>341</v>
      </c>
      <c r="S85" s="65" t="s">
        <v>341</v>
      </c>
      <c r="T85" s="65" t="s">
        <v>341</v>
      </c>
      <c r="U85" s="65" t="s">
        <v>341</v>
      </c>
      <c r="V85" s="65" t="s">
        <v>341</v>
      </c>
      <c r="W85" s="65" t="s">
        <v>341</v>
      </c>
      <c r="X85" s="65" t="s">
        <v>341</v>
      </c>
      <c r="Y85" s="65" t="s">
        <v>1716</v>
      </c>
      <c r="Z85" s="65" t="s">
        <v>1717</v>
      </c>
      <c r="AA85" s="65" t="s">
        <v>1725</v>
      </c>
      <c r="AB85" s="65" t="s">
        <v>341</v>
      </c>
      <c r="AC85" s="65" t="s">
        <v>341</v>
      </c>
      <c r="AD85" s="65" t="s">
        <v>341</v>
      </c>
      <c r="AE85" s="65" t="s">
        <v>341</v>
      </c>
      <c r="AF85" s="65" t="s">
        <v>341</v>
      </c>
      <c r="AG85" s="65" t="s">
        <v>341</v>
      </c>
      <c r="AH85" s="65" t="s">
        <v>341</v>
      </c>
      <c r="AI85" s="65" t="s">
        <v>341</v>
      </c>
      <c r="AJ85" s="65" t="s">
        <v>341</v>
      </c>
      <c r="AK85" s="65" t="s">
        <v>341</v>
      </c>
      <c r="AL85" s="65" t="s">
        <v>341</v>
      </c>
      <c r="AM85" s="65" t="s">
        <v>341</v>
      </c>
      <c r="AN85" s="65" t="s">
        <v>341</v>
      </c>
      <c r="AO85" s="65" t="s">
        <v>341</v>
      </c>
      <c r="AP85" s="65" t="s">
        <v>341</v>
      </c>
      <c r="AQ85" s="65" t="s">
        <v>341</v>
      </c>
      <c r="AR85" s="65" t="s">
        <v>341</v>
      </c>
      <c r="AS85" s="65" t="s">
        <v>341</v>
      </c>
      <c r="AT85" s="65" t="s">
        <v>341</v>
      </c>
      <c r="AU85" s="65" t="s">
        <v>341</v>
      </c>
      <c r="AV85" s="65" t="s">
        <v>341</v>
      </c>
      <c r="AW85" s="65" t="s">
        <v>341</v>
      </c>
      <c r="AX85" s="65" t="s">
        <v>341</v>
      </c>
      <c r="AY85" s="65" t="s">
        <v>341</v>
      </c>
    </row>
    <row r="86" spans="1:51" x14ac:dyDescent="0.2">
      <c r="A86" s="65" t="s">
        <v>1313</v>
      </c>
      <c r="B86" s="65" t="s">
        <v>951</v>
      </c>
      <c r="C86" s="65" t="s">
        <v>952</v>
      </c>
      <c r="D86" s="65" t="s">
        <v>1726</v>
      </c>
      <c r="E86" s="65" t="s">
        <v>341</v>
      </c>
      <c r="F86" s="65" t="s">
        <v>341</v>
      </c>
      <c r="G86" s="65" t="s">
        <v>1715</v>
      </c>
      <c r="H86" s="65" t="s">
        <v>341</v>
      </c>
      <c r="I86" s="65" t="s">
        <v>341</v>
      </c>
      <c r="J86" s="65" t="s">
        <v>341</v>
      </c>
      <c r="K86" s="65" t="s">
        <v>341</v>
      </c>
      <c r="L86" s="65" t="s">
        <v>341</v>
      </c>
      <c r="M86" s="65" t="s">
        <v>341</v>
      </c>
      <c r="N86" s="65" t="s">
        <v>341</v>
      </c>
      <c r="O86" s="65" t="s">
        <v>341</v>
      </c>
      <c r="P86" s="65" t="s">
        <v>341</v>
      </c>
      <c r="Q86" s="65" t="s">
        <v>341</v>
      </c>
      <c r="R86" s="65" t="s">
        <v>341</v>
      </c>
      <c r="S86" s="65" t="s">
        <v>341</v>
      </c>
      <c r="T86" s="65" t="s">
        <v>341</v>
      </c>
      <c r="U86" s="65" t="s">
        <v>341</v>
      </c>
      <c r="V86" s="65" t="s">
        <v>341</v>
      </c>
      <c r="W86" s="65" t="s">
        <v>341</v>
      </c>
      <c r="X86" s="65" t="s">
        <v>341</v>
      </c>
      <c r="Y86" s="65" t="s">
        <v>1716</v>
      </c>
      <c r="Z86" s="65" t="s">
        <v>1717</v>
      </c>
      <c r="AA86" s="65" t="s">
        <v>1727</v>
      </c>
      <c r="AB86" s="65" t="s">
        <v>341</v>
      </c>
      <c r="AC86" s="65" t="s">
        <v>341</v>
      </c>
      <c r="AD86" s="65" t="s">
        <v>341</v>
      </c>
      <c r="AE86" s="65" t="s">
        <v>341</v>
      </c>
      <c r="AF86" s="65" t="s">
        <v>341</v>
      </c>
      <c r="AG86" s="65" t="s">
        <v>341</v>
      </c>
      <c r="AH86" s="65" t="s">
        <v>341</v>
      </c>
      <c r="AI86" s="65" t="s">
        <v>341</v>
      </c>
      <c r="AJ86" s="65" t="s">
        <v>341</v>
      </c>
      <c r="AK86" s="65" t="s">
        <v>341</v>
      </c>
      <c r="AL86" s="65" t="s">
        <v>341</v>
      </c>
      <c r="AM86" s="65" t="s">
        <v>341</v>
      </c>
      <c r="AN86" s="65" t="s">
        <v>341</v>
      </c>
      <c r="AO86" s="65" t="s">
        <v>341</v>
      </c>
      <c r="AP86" s="65" t="s">
        <v>341</v>
      </c>
      <c r="AQ86" s="65" t="s">
        <v>341</v>
      </c>
      <c r="AR86" s="65" t="s">
        <v>341</v>
      </c>
      <c r="AS86" s="65" t="s">
        <v>341</v>
      </c>
      <c r="AT86" s="65" t="s">
        <v>341</v>
      </c>
      <c r="AU86" s="65" t="s">
        <v>341</v>
      </c>
      <c r="AV86" s="65" t="s">
        <v>341</v>
      </c>
      <c r="AW86" s="65" t="s">
        <v>341</v>
      </c>
      <c r="AX86" s="65" t="s">
        <v>341</v>
      </c>
      <c r="AY86" s="65" t="s">
        <v>341</v>
      </c>
    </row>
    <row r="87" spans="1:51" x14ac:dyDescent="0.2">
      <c r="A87" s="65" t="s">
        <v>1313</v>
      </c>
      <c r="B87" s="65" t="s">
        <v>953</v>
      </c>
      <c r="C87" s="65" t="s">
        <v>954</v>
      </c>
      <c r="D87" s="65" t="s">
        <v>1728</v>
      </c>
      <c r="E87" s="65" t="s">
        <v>341</v>
      </c>
      <c r="F87" s="65" t="s">
        <v>341</v>
      </c>
      <c r="G87" s="65" t="s">
        <v>1715</v>
      </c>
      <c r="H87" s="65" t="s">
        <v>341</v>
      </c>
      <c r="I87" s="65" t="s">
        <v>341</v>
      </c>
      <c r="J87" s="65" t="s">
        <v>341</v>
      </c>
      <c r="K87" s="65" t="s">
        <v>341</v>
      </c>
      <c r="L87" s="65" t="s">
        <v>341</v>
      </c>
      <c r="M87" s="65" t="s">
        <v>341</v>
      </c>
      <c r="N87" s="65" t="s">
        <v>341</v>
      </c>
      <c r="O87" s="65" t="s">
        <v>341</v>
      </c>
      <c r="P87" s="65" t="s">
        <v>341</v>
      </c>
      <c r="Q87" s="65" t="s">
        <v>341</v>
      </c>
      <c r="R87" s="65" t="s">
        <v>341</v>
      </c>
      <c r="S87" s="65" t="s">
        <v>341</v>
      </c>
      <c r="T87" s="65" t="s">
        <v>341</v>
      </c>
      <c r="U87" s="65" t="s">
        <v>341</v>
      </c>
      <c r="V87" s="65" t="s">
        <v>341</v>
      </c>
      <c r="W87" s="65" t="s">
        <v>341</v>
      </c>
      <c r="X87" s="65" t="s">
        <v>341</v>
      </c>
      <c r="Y87" s="65" t="s">
        <v>1729</v>
      </c>
      <c r="Z87" s="65" t="s">
        <v>1730</v>
      </c>
      <c r="AA87" s="65" t="s">
        <v>1731</v>
      </c>
      <c r="AB87" s="65" t="s">
        <v>341</v>
      </c>
      <c r="AC87" s="65" t="s">
        <v>341</v>
      </c>
      <c r="AD87" s="65" t="s">
        <v>341</v>
      </c>
      <c r="AE87" s="65" t="s">
        <v>341</v>
      </c>
      <c r="AF87" s="65" t="s">
        <v>341</v>
      </c>
      <c r="AG87" s="65" t="s">
        <v>341</v>
      </c>
      <c r="AH87" s="65" t="s">
        <v>341</v>
      </c>
      <c r="AI87" s="65" t="s">
        <v>341</v>
      </c>
      <c r="AJ87" s="65" t="s">
        <v>341</v>
      </c>
      <c r="AK87" s="65" t="s">
        <v>341</v>
      </c>
      <c r="AL87" s="65" t="s">
        <v>341</v>
      </c>
      <c r="AM87" s="65" t="s">
        <v>341</v>
      </c>
      <c r="AN87" s="65" t="s">
        <v>341</v>
      </c>
      <c r="AO87" s="65" t="s">
        <v>341</v>
      </c>
      <c r="AP87" s="65" t="s">
        <v>341</v>
      </c>
      <c r="AQ87" s="65" t="s">
        <v>341</v>
      </c>
      <c r="AR87" s="65" t="s">
        <v>341</v>
      </c>
      <c r="AS87" s="65" t="s">
        <v>341</v>
      </c>
      <c r="AT87" s="65" t="s">
        <v>341</v>
      </c>
      <c r="AU87" s="65" t="s">
        <v>341</v>
      </c>
      <c r="AV87" s="65" t="s">
        <v>341</v>
      </c>
      <c r="AW87" s="65" t="s">
        <v>341</v>
      </c>
      <c r="AX87" s="65" t="s">
        <v>341</v>
      </c>
      <c r="AY87" s="65" t="s">
        <v>341</v>
      </c>
    </row>
    <row r="88" spans="1:51" x14ac:dyDescent="0.2">
      <c r="A88" s="65" t="s">
        <v>1313</v>
      </c>
      <c r="B88" s="65" t="s">
        <v>955</v>
      </c>
      <c r="C88" s="65" t="s">
        <v>956</v>
      </c>
      <c r="D88" s="65" t="s">
        <v>1732</v>
      </c>
      <c r="E88" s="65" t="s">
        <v>341</v>
      </c>
      <c r="F88" s="65" t="s">
        <v>341</v>
      </c>
      <c r="G88" s="65" t="s">
        <v>1715</v>
      </c>
      <c r="H88" s="65" t="s">
        <v>341</v>
      </c>
      <c r="I88" s="65" t="s">
        <v>341</v>
      </c>
      <c r="J88" s="65" t="s">
        <v>341</v>
      </c>
      <c r="K88" s="65" t="s">
        <v>341</v>
      </c>
      <c r="L88" s="65" t="s">
        <v>341</v>
      </c>
      <c r="M88" s="65" t="s">
        <v>341</v>
      </c>
      <c r="N88" s="65" t="s">
        <v>341</v>
      </c>
      <c r="O88" s="65" t="s">
        <v>341</v>
      </c>
      <c r="P88" s="65" t="s">
        <v>341</v>
      </c>
      <c r="Q88" s="65" t="s">
        <v>341</v>
      </c>
      <c r="R88" s="65" t="s">
        <v>341</v>
      </c>
      <c r="S88" s="65" t="s">
        <v>341</v>
      </c>
      <c r="T88" s="65" t="s">
        <v>341</v>
      </c>
      <c r="U88" s="65" t="s">
        <v>341</v>
      </c>
      <c r="V88" s="65" t="s">
        <v>341</v>
      </c>
      <c r="W88" s="65" t="s">
        <v>341</v>
      </c>
      <c r="X88" s="65" t="s">
        <v>341</v>
      </c>
      <c r="Y88" s="65" t="s">
        <v>1729</v>
      </c>
      <c r="Z88" s="65" t="s">
        <v>1730</v>
      </c>
      <c r="AA88" s="65" t="s">
        <v>1733</v>
      </c>
      <c r="AB88" s="65" t="s">
        <v>341</v>
      </c>
      <c r="AC88" s="65" t="s">
        <v>341</v>
      </c>
      <c r="AD88" s="65" t="s">
        <v>341</v>
      </c>
      <c r="AE88" s="65" t="s">
        <v>341</v>
      </c>
      <c r="AF88" s="65" t="s">
        <v>341</v>
      </c>
      <c r="AG88" s="65" t="s">
        <v>341</v>
      </c>
      <c r="AH88" s="65" t="s">
        <v>341</v>
      </c>
      <c r="AI88" s="65" t="s">
        <v>341</v>
      </c>
      <c r="AJ88" s="65" t="s">
        <v>341</v>
      </c>
      <c r="AK88" s="65" t="s">
        <v>341</v>
      </c>
      <c r="AL88" s="65" t="s">
        <v>341</v>
      </c>
      <c r="AM88" s="65" t="s">
        <v>341</v>
      </c>
      <c r="AN88" s="65" t="s">
        <v>341</v>
      </c>
      <c r="AO88" s="65" t="s">
        <v>341</v>
      </c>
      <c r="AP88" s="65" t="s">
        <v>341</v>
      </c>
      <c r="AQ88" s="65" t="s">
        <v>341</v>
      </c>
      <c r="AR88" s="65" t="s">
        <v>341</v>
      </c>
      <c r="AS88" s="65" t="s">
        <v>341</v>
      </c>
      <c r="AT88" s="65" t="s">
        <v>341</v>
      </c>
      <c r="AU88" s="65" t="s">
        <v>341</v>
      </c>
      <c r="AV88" s="65" t="s">
        <v>341</v>
      </c>
      <c r="AW88" s="65" t="s">
        <v>341</v>
      </c>
      <c r="AX88" s="65" t="s">
        <v>341</v>
      </c>
      <c r="AY88" s="65" t="s">
        <v>341</v>
      </c>
    </row>
    <row r="89" spans="1:51" x14ac:dyDescent="0.2">
      <c r="A89" s="65" t="s">
        <v>1313</v>
      </c>
      <c r="B89" s="65" t="s">
        <v>957</v>
      </c>
      <c r="C89" s="65" t="s">
        <v>958</v>
      </c>
      <c r="D89" s="65" t="s">
        <v>1734</v>
      </c>
      <c r="E89" s="65" t="s">
        <v>341</v>
      </c>
      <c r="F89" s="65" t="s">
        <v>341</v>
      </c>
      <c r="G89" s="65" t="s">
        <v>1715</v>
      </c>
      <c r="H89" s="65" t="s">
        <v>341</v>
      </c>
      <c r="I89" s="65" t="s">
        <v>341</v>
      </c>
      <c r="J89" s="65" t="s">
        <v>341</v>
      </c>
      <c r="K89" s="65" t="s">
        <v>341</v>
      </c>
      <c r="L89" s="65" t="s">
        <v>341</v>
      </c>
      <c r="M89" s="65" t="s">
        <v>341</v>
      </c>
      <c r="N89" s="65" t="s">
        <v>341</v>
      </c>
      <c r="O89" s="65" t="s">
        <v>341</v>
      </c>
      <c r="P89" s="65" t="s">
        <v>341</v>
      </c>
      <c r="Q89" s="65" t="s">
        <v>341</v>
      </c>
      <c r="R89" s="65" t="s">
        <v>341</v>
      </c>
      <c r="S89" s="65" t="s">
        <v>341</v>
      </c>
      <c r="T89" s="65" t="s">
        <v>341</v>
      </c>
      <c r="U89" s="65" t="s">
        <v>341</v>
      </c>
      <c r="V89" s="65" t="s">
        <v>341</v>
      </c>
      <c r="W89" s="65" t="s">
        <v>341</v>
      </c>
      <c r="X89" s="65" t="s">
        <v>341</v>
      </c>
      <c r="Y89" s="65" t="s">
        <v>958</v>
      </c>
      <c r="Z89" s="65" t="s">
        <v>1717</v>
      </c>
      <c r="AA89" s="65" t="s">
        <v>1735</v>
      </c>
      <c r="AB89" s="65" t="s">
        <v>341</v>
      </c>
      <c r="AC89" s="65" t="s">
        <v>341</v>
      </c>
      <c r="AD89" s="65" t="s">
        <v>341</v>
      </c>
      <c r="AE89" s="65" t="s">
        <v>341</v>
      </c>
      <c r="AF89" s="65" t="s">
        <v>341</v>
      </c>
      <c r="AG89" s="65" t="s">
        <v>341</v>
      </c>
      <c r="AH89" s="65" t="s">
        <v>341</v>
      </c>
      <c r="AI89" s="65" t="s">
        <v>341</v>
      </c>
      <c r="AJ89" s="65" t="s">
        <v>341</v>
      </c>
      <c r="AK89" s="65" t="s">
        <v>341</v>
      </c>
      <c r="AL89" s="65" t="s">
        <v>341</v>
      </c>
      <c r="AM89" s="65" t="s">
        <v>341</v>
      </c>
      <c r="AN89" s="65" t="s">
        <v>341</v>
      </c>
      <c r="AO89" s="65" t="s">
        <v>341</v>
      </c>
      <c r="AP89" s="65" t="s">
        <v>341</v>
      </c>
      <c r="AQ89" s="65" t="s">
        <v>341</v>
      </c>
      <c r="AR89" s="65" t="s">
        <v>341</v>
      </c>
      <c r="AS89" s="65" t="s">
        <v>341</v>
      </c>
      <c r="AT89" s="65" t="s">
        <v>341</v>
      </c>
      <c r="AU89" s="65" t="s">
        <v>341</v>
      </c>
      <c r="AV89" s="65" t="s">
        <v>341</v>
      </c>
      <c r="AW89" s="65" t="s">
        <v>341</v>
      </c>
      <c r="AX89" s="65" t="s">
        <v>341</v>
      </c>
      <c r="AY89" s="65" t="s">
        <v>341</v>
      </c>
    </row>
    <row r="90" spans="1:51" x14ac:dyDescent="0.2">
      <c r="A90" s="65" t="s">
        <v>1313</v>
      </c>
      <c r="B90" s="65" t="s">
        <v>959</v>
      </c>
      <c r="C90" s="65" t="s">
        <v>960</v>
      </c>
      <c r="D90" s="65" t="s">
        <v>1736</v>
      </c>
      <c r="E90" s="65" t="s">
        <v>341</v>
      </c>
      <c r="F90" s="65" t="s">
        <v>341</v>
      </c>
      <c r="G90" s="65" t="s">
        <v>1715</v>
      </c>
      <c r="H90" s="65" t="s">
        <v>341</v>
      </c>
      <c r="I90" s="65" t="s">
        <v>341</v>
      </c>
      <c r="J90" s="65" t="s">
        <v>341</v>
      </c>
      <c r="K90" s="65" t="s">
        <v>341</v>
      </c>
      <c r="L90" s="65" t="s">
        <v>341</v>
      </c>
      <c r="M90" s="65" t="s">
        <v>341</v>
      </c>
      <c r="N90" s="65" t="s">
        <v>341</v>
      </c>
      <c r="O90" s="65" t="s">
        <v>341</v>
      </c>
      <c r="P90" s="65" t="s">
        <v>341</v>
      </c>
      <c r="Q90" s="65" t="s">
        <v>341</v>
      </c>
      <c r="R90" s="65" t="s">
        <v>341</v>
      </c>
      <c r="S90" s="65" t="s">
        <v>341</v>
      </c>
      <c r="T90" s="65" t="s">
        <v>341</v>
      </c>
      <c r="U90" s="65" t="s">
        <v>341</v>
      </c>
      <c r="V90" s="65" t="s">
        <v>341</v>
      </c>
      <c r="W90" s="65" t="s">
        <v>341</v>
      </c>
      <c r="X90" s="65" t="s">
        <v>341</v>
      </c>
      <c r="Y90" s="65" t="s">
        <v>960</v>
      </c>
      <c r="Z90" s="65" t="s">
        <v>1717</v>
      </c>
      <c r="AA90" s="65" t="s">
        <v>1737</v>
      </c>
      <c r="AB90" s="65" t="s">
        <v>341</v>
      </c>
      <c r="AC90" s="65" t="s">
        <v>341</v>
      </c>
      <c r="AD90" s="65" t="s">
        <v>341</v>
      </c>
      <c r="AE90" s="65" t="s">
        <v>341</v>
      </c>
      <c r="AF90" s="65" t="s">
        <v>341</v>
      </c>
      <c r="AG90" s="65" t="s">
        <v>341</v>
      </c>
      <c r="AH90" s="65" t="s">
        <v>341</v>
      </c>
      <c r="AI90" s="65" t="s">
        <v>341</v>
      </c>
      <c r="AJ90" s="65" t="s">
        <v>341</v>
      </c>
      <c r="AK90" s="65" t="s">
        <v>341</v>
      </c>
      <c r="AL90" s="65" t="s">
        <v>341</v>
      </c>
      <c r="AM90" s="65" t="s">
        <v>341</v>
      </c>
      <c r="AN90" s="65" t="s">
        <v>341</v>
      </c>
      <c r="AO90" s="65" t="s">
        <v>341</v>
      </c>
      <c r="AP90" s="65" t="s">
        <v>341</v>
      </c>
      <c r="AQ90" s="65" t="s">
        <v>341</v>
      </c>
      <c r="AR90" s="65" t="s">
        <v>341</v>
      </c>
      <c r="AS90" s="65" t="s">
        <v>341</v>
      </c>
      <c r="AT90" s="65" t="s">
        <v>341</v>
      </c>
      <c r="AU90" s="65" t="s">
        <v>341</v>
      </c>
      <c r="AV90" s="65" t="s">
        <v>341</v>
      </c>
      <c r="AW90" s="65" t="s">
        <v>341</v>
      </c>
      <c r="AX90" s="65" t="s">
        <v>341</v>
      </c>
      <c r="AY90" s="65" t="s">
        <v>341</v>
      </c>
    </row>
    <row r="91" spans="1:51" x14ac:dyDescent="0.2">
      <c r="A91" s="65" t="s">
        <v>1313</v>
      </c>
      <c r="B91" s="65" t="s">
        <v>961</v>
      </c>
      <c r="C91" s="65" t="s">
        <v>962</v>
      </c>
      <c r="D91" s="65" t="s">
        <v>1738</v>
      </c>
      <c r="E91" s="65" t="s">
        <v>341</v>
      </c>
      <c r="F91" s="65" t="s">
        <v>341</v>
      </c>
      <c r="G91" s="65" t="s">
        <v>1715</v>
      </c>
      <c r="H91" s="65" t="s">
        <v>341</v>
      </c>
      <c r="I91" s="65" t="s">
        <v>341</v>
      </c>
      <c r="J91" s="65" t="s">
        <v>341</v>
      </c>
      <c r="K91" s="65" t="s">
        <v>341</v>
      </c>
      <c r="L91" s="65" t="s">
        <v>341</v>
      </c>
      <c r="M91" s="65" t="s">
        <v>341</v>
      </c>
      <c r="N91" s="65" t="s">
        <v>341</v>
      </c>
      <c r="O91" s="65" t="s">
        <v>341</v>
      </c>
      <c r="P91" s="65" t="s">
        <v>341</v>
      </c>
      <c r="Q91" s="65" t="s">
        <v>341</v>
      </c>
      <c r="R91" s="65" t="s">
        <v>341</v>
      </c>
      <c r="S91" s="65" t="s">
        <v>341</v>
      </c>
      <c r="T91" s="65" t="s">
        <v>341</v>
      </c>
      <c r="U91" s="65" t="s">
        <v>341</v>
      </c>
      <c r="V91" s="65" t="s">
        <v>341</v>
      </c>
      <c r="W91" s="65" t="s">
        <v>341</v>
      </c>
      <c r="X91" s="65" t="s">
        <v>341</v>
      </c>
      <c r="Y91" s="65" t="s">
        <v>962</v>
      </c>
      <c r="Z91" s="65" t="s">
        <v>1717</v>
      </c>
      <c r="AA91" s="65" t="s">
        <v>1739</v>
      </c>
      <c r="AB91" s="65" t="s">
        <v>341</v>
      </c>
      <c r="AC91" s="65" t="s">
        <v>341</v>
      </c>
      <c r="AD91" s="65" t="s">
        <v>341</v>
      </c>
      <c r="AE91" s="65" t="s">
        <v>341</v>
      </c>
      <c r="AF91" s="65" t="s">
        <v>341</v>
      </c>
      <c r="AG91" s="65" t="s">
        <v>341</v>
      </c>
      <c r="AH91" s="65" t="s">
        <v>341</v>
      </c>
      <c r="AI91" s="65" t="s">
        <v>341</v>
      </c>
      <c r="AJ91" s="65" t="s">
        <v>341</v>
      </c>
      <c r="AK91" s="65" t="s">
        <v>341</v>
      </c>
      <c r="AL91" s="65" t="s">
        <v>341</v>
      </c>
      <c r="AM91" s="65" t="s">
        <v>341</v>
      </c>
      <c r="AN91" s="65" t="s">
        <v>341</v>
      </c>
      <c r="AO91" s="65" t="s">
        <v>341</v>
      </c>
      <c r="AP91" s="65" t="s">
        <v>341</v>
      </c>
      <c r="AQ91" s="65" t="s">
        <v>341</v>
      </c>
      <c r="AR91" s="65" t="s">
        <v>341</v>
      </c>
      <c r="AS91" s="65" t="s">
        <v>341</v>
      </c>
      <c r="AT91" s="65" t="s">
        <v>341</v>
      </c>
      <c r="AU91" s="65" t="s">
        <v>341</v>
      </c>
      <c r="AV91" s="65" t="s">
        <v>341</v>
      </c>
      <c r="AW91" s="65" t="s">
        <v>341</v>
      </c>
      <c r="AX91" s="65" t="s">
        <v>341</v>
      </c>
      <c r="AY91" s="65" t="s">
        <v>341</v>
      </c>
    </row>
    <row r="92" spans="1:51" x14ac:dyDescent="0.2">
      <c r="A92" s="65" t="s">
        <v>1313</v>
      </c>
      <c r="B92" s="65" t="s">
        <v>963</v>
      </c>
      <c r="C92" s="65" t="s">
        <v>964</v>
      </c>
      <c r="D92" s="65" t="s">
        <v>1740</v>
      </c>
      <c r="E92" s="65" t="s">
        <v>341</v>
      </c>
      <c r="F92" s="65" t="s">
        <v>341</v>
      </c>
      <c r="G92" s="65" t="s">
        <v>1715</v>
      </c>
      <c r="H92" s="65" t="s">
        <v>341</v>
      </c>
      <c r="I92" s="65" t="s">
        <v>341</v>
      </c>
      <c r="J92" s="65" t="s">
        <v>341</v>
      </c>
      <c r="K92" s="65" t="s">
        <v>341</v>
      </c>
      <c r="L92" s="65" t="s">
        <v>341</v>
      </c>
      <c r="M92" s="65" t="s">
        <v>341</v>
      </c>
      <c r="N92" s="65" t="s">
        <v>341</v>
      </c>
      <c r="O92" s="65" t="s">
        <v>341</v>
      </c>
      <c r="P92" s="65" t="s">
        <v>341</v>
      </c>
      <c r="Q92" s="65" t="s">
        <v>341</v>
      </c>
      <c r="R92" s="65" t="s">
        <v>341</v>
      </c>
      <c r="S92" s="65" t="s">
        <v>341</v>
      </c>
      <c r="T92" s="65" t="s">
        <v>341</v>
      </c>
      <c r="U92" s="65" t="s">
        <v>341</v>
      </c>
      <c r="V92" s="65" t="s">
        <v>341</v>
      </c>
      <c r="W92" s="65" t="s">
        <v>341</v>
      </c>
      <c r="X92" s="65" t="s">
        <v>341</v>
      </c>
      <c r="Y92" s="65" t="s">
        <v>1741</v>
      </c>
      <c r="Z92" s="65" t="s">
        <v>1730</v>
      </c>
      <c r="AA92" s="65" t="s">
        <v>1742</v>
      </c>
      <c r="AB92" s="65" t="s">
        <v>341</v>
      </c>
      <c r="AC92" s="65" t="s">
        <v>341</v>
      </c>
      <c r="AD92" s="65" t="s">
        <v>341</v>
      </c>
      <c r="AE92" s="65" t="s">
        <v>341</v>
      </c>
      <c r="AF92" s="65" t="s">
        <v>341</v>
      </c>
      <c r="AG92" s="65" t="s">
        <v>341</v>
      </c>
      <c r="AH92" s="65" t="s">
        <v>341</v>
      </c>
      <c r="AI92" s="65" t="s">
        <v>341</v>
      </c>
      <c r="AJ92" s="65" t="s">
        <v>341</v>
      </c>
      <c r="AK92" s="65" t="s">
        <v>341</v>
      </c>
      <c r="AL92" s="65" t="s">
        <v>341</v>
      </c>
      <c r="AM92" s="65" t="s">
        <v>341</v>
      </c>
      <c r="AN92" s="65" t="s">
        <v>341</v>
      </c>
      <c r="AO92" s="65" t="s">
        <v>341</v>
      </c>
      <c r="AP92" s="65" t="s">
        <v>341</v>
      </c>
      <c r="AQ92" s="65" t="s">
        <v>341</v>
      </c>
      <c r="AR92" s="65" t="s">
        <v>341</v>
      </c>
      <c r="AS92" s="65" t="s">
        <v>341</v>
      </c>
      <c r="AT92" s="65" t="s">
        <v>341</v>
      </c>
      <c r="AU92" s="65" t="s">
        <v>341</v>
      </c>
      <c r="AV92" s="65" t="s">
        <v>341</v>
      </c>
      <c r="AW92" s="65" t="s">
        <v>341</v>
      </c>
      <c r="AX92" s="65" t="s">
        <v>341</v>
      </c>
      <c r="AY92" s="65" t="s">
        <v>341</v>
      </c>
    </row>
    <row r="93" spans="1:51" x14ac:dyDescent="0.2">
      <c r="A93" s="65" t="s">
        <v>1313</v>
      </c>
      <c r="B93" s="65" t="s">
        <v>965</v>
      </c>
      <c r="C93" s="65" t="s">
        <v>966</v>
      </c>
      <c r="D93" s="65" t="s">
        <v>1743</v>
      </c>
      <c r="E93" s="65" t="s">
        <v>341</v>
      </c>
      <c r="F93" s="65" t="s">
        <v>341</v>
      </c>
      <c r="G93" s="65" t="s">
        <v>1715</v>
      </c>
      <c r="H93" s="65" t="s">
        <v>341</v>
      </c>
      <c r="I93" s="65" t="s">
        <v>341</v>
      </c>
      <c r="J93" s="65" t="s">
        <v>341</v>
      </c>
      <c r="K93" s="65" t="s">
        <v>341</v>
      </c>
      <c r="L93" s="65" t="s">
        <v>341</v>
      </c>
      <c r="M93" s="65" t="s">
        <v>341</v>
      </c>
      <c r="N93" s="65" t="s">
        <v>341</v>
      </c>
      <c r="O93" s="65" t="s">
        <v>341</v>
      </c>
      <c r="P93" s="65" t="s">
        <v>341</v>
      </c>
      <c r="Q93" s="65" t="s">
        <v>341</v>
      </c>
      <c r="R93" s="65" t="s">
        <v>341</v>
      </c>
      <c r="S93" s="65" t="s">
        <v>341</v>
      </c>
      <c r="T93" s="65" t="s">
        <v>341</v>
      </c>
      <c r="U93" s="65" t="s">
        <v>341</v>
      </c>
      <c r="V93" s="65" t="s">
        <v>341</v>
      </c>
      <c r="W93" s="65" t="s">
        <v>341</v>
      </c>
      <c r="X93" s="65" t="s">
        <v>341</v>
      </c>
      <c r="Y93" s="65" t="s">
        <v>1716</v>
      </c>
      <c r="Z93" s="65" t="s">
        <v>1717</v>
      </c>
      <c r="AA93" s="65" t="s">
        <v>1744</v>
      </c>
      <c r="AB93" s="65" t="s">
        <v>341</v>
      </c>
      <c r="AC93" s="65" t="s">
        <v>341</v>
      </c>
      <c r="AD93" s="65" t="s">
        <v>341</v>
      </c>
      <c r="AE93" s="65" t="s">
        <v>341</v>
      </c>
      <c r="AF93" s="65" t="s">
        <v>341</v>
      </c>
      <c r="AG93" s="65" t="s">
        <v>341</v>
      </c>
      <c r="AH93" s="65" t="s">
        <v>341</v>
      </c>
      <c r="AI93" s="65" t="s">
        <v>341</v>
      </c>
      <c r="AJ93" s="65" t="s">
        <v>341</v>
      </c>
      <c r="AK93" s="65" t="s">
        <v>341</v>
      </c>
      <c r="AL93" s="65" t="s">
        <v>341</v>
      </c>
      <c r="AM93" s="65" t="s">
        <v>341</v>
      </c>
      <c r="AN93" s="65" t="s">
        <v>341</v>
      </c>
      <c r="AO93" s="65" t="s">
        <v>341</v>
      </c>
      <c r="AP93" s="65" t="s">
        <v>341</v>
      </c>
      <c r="AQ93" s="65" t="s">
        <v>341</v>
      </c>
      <c r="AR93" s="65" t="s">
        <v>341</v>
      </c>
      <c r="AS93" s="65" t="s">
        <v>341</v>
      </c>
      <c r="AT93" s="65" t="s">
        <v>341</v>
      </c>
      <c r="AU93" s="65" t="s">
        <v>341</v>
      </c>
      <c r="AV93" s="65" t="s">
        <v>341</v>
      </c>
      <c r="AW93" s="65" t="s">
        <v>341</v>
      </c>
      <c r="AX93" s="65" t="s">
        <v>341</v>
      </c>
      <c r="AY93" s="65" t="s">
        <v>341</v>
      </c>
    </row>
    <row r="94" spans="1:51" x14ac:dyDescent="0.2">
      <c r="A94" s="65" t="s">
        <v>1313</v>
      </c>
      <c r="B94" s="65" t="s">
        <v>967</v>
      </c>
      <c r="C94" s="65" t="s">
        <v>968</v>
      </c>
      <c r="D94" s="65" t="s">
        <v>1745</v>
      </c>
      <c r="E94" s="65" t="s">
        <v>341</v>
      </c>
      <c r="F94" s="65" t="s">
        <v>341</v>
      </c>
      <c r="G94" s="65" t="s">
        <v>1715</v>
      </c>
      <c r="H94" s="65" t="s">
        <v>341</v>
      </c>
      <c r="I94" s="65" t="s">
        <v>341</v>
      </c>
      <c r="J94" s="65" t="s">
        <v>341</v>
      </c>
      <c r="K94" s="65" t="s">
        <v>341</v>
      </c>
      <c r="L94" s="65" t="s">
        <v>341</v>
      </c>
      <c r="M94" s="65" t="s">
        <v>341</v>
      </c>
      <c r="N94" s="65" t="s">
        <v>341</v>
      </c>
      <c r="O94" s="65" t="s">
        <v>341</v>
      </c>
      <c r="P94" s="65" t="s">
        <v>341</v>
      </c>
      <c r="Q94" s="65" t="s">
        <v>341</v>
      </c>
      <c r="R94" s="65" t="s">
        <v>341</v>
      </c>
      <c r="S94" s="65" t="s">
        <v>341</v>
      </c>
      <c r="T94" s="65" t="s">
        <v>341</v>
      </c>
      <c r="U94" s="65" t="s">
        <v>341</v>
      </c>
      <c r="V94" s="65" t="s">
        <v>341</v>
      </c>
      <c r="W94" s="65" t="s">
        <v>341</v>
      </c>
      <c r="X94" s="65" t="s">
        <v>341</v>
      </c>
      <c r="Y94" s="65" t="s">
        <v>1729</v>
      </c>
      <c r="Z94" s="65" t="s">
        <v>1730</v>
      </c>
      <c r="AA94" s="65" t="s">
        <v>1746</v>
      </c>
      <c r="AB94" s="65" t="s">
        <v>341</v>
      </c>
      <c r="AC94" s="65" t="s">
        <v>341</v>
      </c>
      <c r="AD94" s="65" t="s">
        <v>341</v>
      </c>
      <c r="AE94" s="65" t="s">
        <v>341</v>
      </c>
      <c r="AF94" s="65" t="s">
        <v>341</v>
      </c>
      <c r="AG94" s="65" t="s">
        <v>341</v>
      </c>
      <c r="AH94" s="65" t="s">
        <v>341</v>
      </c>
      <c r="AI94" s="65" t="s">
        <v>341</v>
      </c>
      <c r="AJ94" s="65" t="s">
        <v>341</v>
      </c>
      <c r="AK94" s="65" t="s">
        <v>341</v>
      </c>
      <c r="AL94" s="65" t="s">
        <v>341</v>
      </c>
      <c r="AM94" s="65" t="s">
        <v>341</v>
      </c>
      <c r="AN94" s="65" t="s">
        <v>341</v>
      </c>
      <c r="AO94" s="65" t="s">
        <v>341</v>
      </c>
      <c r="AP94" s="65" t="s">
        <v>341</v>
      </c>
      <c r="AQ94" s="65" t="s">
        <v>341</v>
      </c>
      <c r="AR94" s="65" t="s">
        <v>341</v>
      </c>
      <c r="AS94" s="65" t="s">
        <v>341</v>
      </c>
      <c r="AT94" s="65" t="s">
        <v>341</v>
      </c>
      <c r="AU94" s="65" t="s">
        <v>341</v>
      </c>
      <c r="AV94" s="65" t="s">
        <v>341</v>
      </c>
      <c r="AW94" s="65" t="s">
        <v>341</v>
      </c>
      <c r="AX94" s="65" t="s">
        <v>341</v>
      </c>
      <c r="AY94" s="65" t="s">
        <v>341</v>
      </c>
    </row>
    <row r="95" spans="1:51" x14ac:dyDescent="0.2">
      <c r="A95" s="65" t="s">
        <v>1313</v>
      </c>
      <c r="B95" s="65" t="s">
        <v>969</v>
      </c>
      <c r="C95" s="65" t="s">
        <v>970</v>
      </c>
      <c r="D95" s="65" t="s">
        <v>1747</v>
      </c>
      <c r="E95" s="65" t="s">
        <v>341</v>
      </c>
      <c r="F95" s="65" t="s">
        <v>341</v>
      </c>
      <c r="G95" s="65" t="s">
        <v>1715</v>
      </c>
      <c r="H95" s="65" t="s">
        <v>341</v>
      </c>
      <c r="I95" s="65" t="s">
        <v>341</v>
      </c>
      <c r="J95" s="65" t="s">
        <v>341</v>
      </c>
      <c r="K95" s="65" t="s">
        <v>341</v>
      </c>
      <c r="L95" s="65" t="s">
        <v>341</v>
      </c>
      <c r="M95" s="65" t="s">
        <v>341</v>
      </c>
      <c r="N95" s="65" t="s">
        <v>341</v>
      </c>
      <c r="O95" s="65" t="s">
        <v>341</v>
      </c>
      <c r="P95" s="65" t="s">
        <v>341</v>
      </c>
      <c r="Q95" s="65" t="s">
        <v>341</v>
      </c>
      <c r="R95" s="65" t="s">
        <v>341</v>
      </c>
      <c r="S95" s="65" t="s">
        <v>341</v>
      </c>
      <c r="T95" s="65" t="s">
        <v>341</v>
      </c>
      <c r="U95" s="65" t="s">
        <v>341</v>
      </c>
      <c r="V95" s="65" t="s">
        <v>341</v>
      </c>
      <c r="W95" s="65" t="s">
        <v>341</v>
      </c>
      <c r="X95" s="65" t="s">
        <v>341</v>
      </c>
      <c r="Y95" s="65" t="s">
        <v>970</v>
      </c>
      <c r="Z95" s="65" t="s">
        <v>1717</v>
      </c>
      <c r="AA95" s="65" t="s">
        <v>1748</v>
      </c>
      <c r="AB95" s="65" t="s">
        <v>341</v>
      </c>
      <c r="AC95" s="65" t="s">
        <v>341</v>
      </c>
      <c r="AD95" s="65" t="s">
        <v>341</v>
      </c>
      <c r="AE95" s="65" t="s">
        <v>341</v>
      </c>
      <c r="AF95" s="65" t="s">
        <v>341</v>
      </c>
      <c r="AG95" s="65" t="s">
        <v>341</v>
      </c>
      <c r="AH95" s="65" t="s">
        <v>341</v>
      </c>
      <c r="AI95" s="65" t="s">
        <v>341</v>
      </c>
      <c r="AJ95" s="65" t="s">
        <v>341</v>
      </c>
      <c r="AK95" s="65" t="s">
        <v>341</v>
      </c>
      <c r="AL95" s="65" t="s">
        <v>341</v>
      </c>
      <c r="AM95" s="65" t="s">
        <v>341</v>
      </c>
      <c r="AN95" s="65" t="s">
        <v>341</v>
      </c>
      <c r="AO95" s="65" t="s">
        <v>341</v>
      </c>
      <c r="AP95" s="65" t="s">
        <v>341</v>
      </c>
      <c r="AQ95" s="65" t="s">
        <v>341</v>
      </c>
      <c r="AR95" s="65" t="s">
        <v>341</v>
      </c>
      <c r="AS95" s="65" t="s">
        <v>341</v>
      </c>
      <c r="AT95" s="65" t="s">
        <v>341</v>
      </c>
      <c r="AU95" s="65" t="s">
        <v>341</v>
      </c>
      <c r="AV95" s="65" t="s">
        <v>341</v>
      </c>
      <c r="AW95" s="65" t="s">
        <v>341</v>
      </c>
      <c r="AX95" s="65" t="s">
        <v>341</v>
      </c>
      <c r="AY95" s="65" t="s">
        <v>341</v>
      </c>
    </row>
    <row r="96" spans="1:51" x14ac:dyDescent="0.2">
      <c r="A96" s="65" t="s">
        <v>1313</v>
      </c>
      <c r="B96" s="65" t="s">
        <v>971</v>
      </c>
      <c r="C96" s="65" t="s">
        <v>972</v>
      </c>
      <c r="D96" s="65" t="s">
        <v>1749</v>
      </c>
      <c r="E96" s="65" t="s">
        <v>341</v>
      </c>
      <c r="F96" s="65" t="s">
        <v>341</v>
      </c>
      <c r="G96" s="65" t="s">
        <v>1715</v>
      </c>
      <c r="H96" s="65" t="s">
        <v>341</v>
      </c>
      <c r="I96" s="65" t="s">
        <v>341</v>
      </c>
      <c r="J96" s="65" t="s">
        <v>341</v>
      </c>
      <c r="K96" s="65" t="s">
        <v>341</v>
      </c>
      <c r="L96" s="65" t="s">
        <v>341</v>
      </c>
      <c r="M96" s="65" t="s">
        <v>341</v>
      </c>
      <c r="N96" s="65" t="s">
        <v>341</v>
      </c>
      <c r="O96" s="65" t="s">
        <v>341</v>
      </c>
      <c r="P96" s="65" t="s">
        <v>341</v>
      </c>
      <c r="Q96" s="65" t="s">
        <v>341</v>
      </c>
      <c r="R96" s="65" t="s">
        <v>341</v>
      </c>
      <c r="S96" s="65" t="s">
        <v>341</v>
      </c>
      <c r="T96" s="65" t="s">
        <v>341</v>
      </c>
      <c r="U96" s="65" t="s">
        <v>341</v>
      </c>
      <c r="V96" s="65" t="s">
        <v>341</v>
      </c>
      <c r="W96" s="65" t="s">
        <v>341</v>
      </c>
      <c r="X96" s="65" t="s">
        <v>341</v>
      </c>
      <c r="Y96" s="65" t="s">
        <v>1720</v>
      </c>
      <c r="Z96" s="65" t="s">
        <v>1717</v>
      </c>
      <c r="AA96" s="65" t="s">
        <v>1750</v>
      </c>
      <c r="AB96" s="65" t="s">
        <v>341</v>
      </c>
      <c r="AC96" s="65" t="s">
        <v>341</v>
      </c>
      <c r="AD96" s="65" t="s">
        <v>341</v>
      </c>
      <c r="AE96" s="65" t="s">
        <v>341</v>
      </c>
      <c r="AF96" s="65" t="s">
        <v>341</v>
      </c>
      <c r="AG96" s="65" t="s">
        <v>341</v>
      </c>
      <c r="AH96" s="65" t="s">
        <v>341</v>
      </c>
      <c r="AI96" s="65" t="s">
        <v>341</v>
      </c>
      <c r="AJ96" s="65" t="s">
        <v>341</v>
      </c>
      <c r="AK96" s="65" t="s">
        <v>341</v>
      </c>
      <c r="AL96" s="65" t="s">
        <v>341</v>
      </c>
      <c r="AM96" s="65" t="s">
        <v>341</v>
      </c>
      <c r="AN96" s="65" t="s">
        <v>341</v>
      </c>
      <c r="AO96" s="65" t="s">
        <v>341</v>
      </c>
      <c r="AP96" s="65" t="s">
        <v>341</v>
      </c>
      <c r="AQ96" s="65" t="s">
        <v>341</v>
      </c>
      <c r="AR96" s="65" t="s">
        <v>341</v>
      </c>
      <c r="AS96" s="65" t="s">
        <v>341</v>
      </c>
      <c r="AT96" s="65" t="s">
        <v>341</v>
      </c>
      <c r="AU96" s="65" t="s">
        <v>341</v>
      </c>
      <c r="AV96" s="65" t="s">
        <v>341</v>
      </c>
      <c r="AW96" s="65" t="s">
        <v>341</v>
      </c>
      <c r="AX96" s="65" t="s">
        <v>341</v>
      </c>
      <c r="AY96" s="65" t="s">
        <v>341</v>
      </c>
    </row>
    <row r="97" spans="1:51" x14ac:dyDescent="0.2">
      <c r="A97" s="65" t="s">
        <v>1313</v>
      </c>
      <c r="B97" s="65" t="s">
        <v>973</v>
      </c>
      <c r="C97" s="65" t="s">
        <v>974</v>
      </c>
      <c r="D97" s="65" t="s">
        <v>1751</v>
      </c>
      <c r="E97" s="65" t="s">
        <v>341</v>
      </c>
      <c r="F97" s="65" t="s">
        <v>341</v>
      </c>
      <c r="G97" s="65" t="s">
        <v>1715</v>
      </c>
      <c r="H97" s="65" t="s">
        <v>341</v>
      </c>
      <c r="I97" s="65" t="s">
        <v>341</v>
      </c>
      <c r="J97" s="65" t="s">
        <v>341</v>
      </c>
      <c r="K97" s="65" t="s">
        <v>341</v>
      </c>
      <c r="L97" s="65" t="s">
        <v>341</v>
      </c>
      <c r="M97" s="65" t="s">
        <v>341</v>
      </c>
      <c r="N97" s="65" t="s">
        <v>341</v>
      </c>
      <c r="O97" s="65" t="s">
        <v>341</v>
      </c>
      <c r="P97" s="65" t="s">
        <v>341</v>
      </c>
      <c r="Q97" s="65" t="s">
        <v>341</v>
      </c>
      <c r="R97" s="65" t="s">
        <v>341</v>
      </c>
      <c r="S97" s="65" t="s">
        <v>341</v>
      </c>
      <c r="T97" s="65" t="s">
        <v>341</v>
      </c>
      <c r="U97" s="65" t="s">
        <v>341</v>
      </c>
      <c r="V97" s="65" t="s">
        <v>341</v>
      </c>
      <c r="W97" s="65" t="s">
        <v>341</v>
      </c>
      <c r="X97" s="65" t="s">
        <v>341</v>
      </c>
      <c r="Y97" s="65" t="s">
        <v>974</v>
      </c>
      <c r="Z97" s="65" t="s">
        <v>1717</v>
      </c>
      <c r="AA97" s="65" t="s">
        <v>1752</v>
      </c>
      <c r="AB97" s="65" t="s">
        <v>341</v>
      </c>
      <c r="AC97" s="65" t="s">
        <v>341</v>
      </c>
      <c r="AD97" s="65" t="s">
        <v>341</v>
      </c>
      <c r="AE97" s="65" t="s">
        <v>341</v>
      </c>
      <c r="AF97" s="65" t="s">
        <v>341</v>
      </c>
      <c r="AG97" s="65" t="s">
        <v>341</v>
      </c>
      <c r="AH97" s="65" t="s">
        <v>341</v>
      </c>
      <c r="AI97" s="65" t="s">
        <v>341</v>
      </c>
      <c r="AJ97" s="65" t="s">
        <v>341</v>
      </c>
      <c r="AK97" s="65" t="s">
        <v>341</v>
      </c>
      <c r="AL97" s="65" t="s">
        <v>341</v>
      </c>
      <c r="AM97" s="65" t="s">
        <v>341</v>
      </c>
      <c r="AN97" s="65" t="s">
        <v>341</v>
      </c>
      <c r="AO97" s="65" t="s">
        <v>341</v>
      </c>
      <c r="AP97" s="65" t="s">
        <v>341</v>
      </c>
      <c r="AQ97" s="65" t="s">
        <v>341</v>
      </c>
      <c r="AR97" s="65" t="s">
        <v>341</v>
      </c>
      <c r="AS97" s="65" t="s">
        <v>341</v>
      </c>
      <c r="AT97" s="65" t="s">
        <v>341</v>
      </c>
      <c r="AU97" s="65" t="s">
        <v>341</v>
      </c>
      <c r="AV97" s="65" t="s">
        <v>341</v>
      </c>
      <c r="AW97" s="65" t="s">
        <v>341</v>
      </c>
      <c r="AX97" s="65" t="s">
        <v>341</v>
      </c>
      <c r="AY97" s="65" t="s">
        <v>341</v>
      </c>
    </row>
    <row r="98" spans="1:51" x14ac:dyDescent="0.2">
      <c r="A98" s="65" t="s">
        <v>1313</v>
      </c>
      <c r="B98" s="65" t="s">
        <v>975</v>
      </c>
      <c r="C98" s="65" t="s">
        <v>976</v>
      </c>
      <c r="D98" s="65" t="s">
        <v>1753</v>
      </c>
      <c r="E98" s="65" t="s">
        <v>341</v>
      </c>
      <c r="F98" s="65" t="s">
        <v>341</v>
      </c>
      <c r="G98" s="65" t="s">
        <v>1715</v>
      </c>
      <c r="H98" s="65" t="s">
        <v>341</v>
      </c>
      <c r="I98" s="65" t="s">
        <v>341</v>
      </c>
      <c r="J98" s="65" t="s">
        <v>341</v>
      </c>
      <c r="K98" s="65" t="s">
        <v>341</v>
      </c>
      <c r="L98" s="65" t="s">
        <v>341</v>
      </c>
      <c r="M98" s="65" t="s">
        <v>341</v>
      </c>
      <c r="N98" s="65" t="s">
        <v>341</v>
      </c>
      <c r="O98" s="65" t="s">
        <v>341</v>
      </c>
      <c r="P98" s="65" t="s">
        <v>341</v>
      </c>
      <c r="Q98" s="65" t="s">
        <v>341</v>
      </c>
      <c r="R98" s="65" t="s">
        <v>341</v>
      </c>
      <c r="S98" s="65" t="s">
        <v>341</v>
      </c>
      <c r="T98" s="65" t="s">
        <v>341</v>
      </c>
      <c r="U98" s="65" t="s">
        <v>341</v>
      </c>
      <c r="V98" s="65" t="s">
        <v>341</v>
      </c>
      <c r="W98" s="65" t="s">
        <v>341</v>
      </c>
      <c r="X98" s="65" t="s">
        <v>341</v>
      </c>
      <c r="Y98" s="65" t="s">
        <v>976</v>
      </c>
      <c r="Z98" s="65" t="s">
        <v>1717</v>
      </c>
      <c r="AA98" s="65" t="s">
        <v>1754</v>
      </c>
      <c r="AB98" s="65" t="s">
        <v>341</v>
      </c>
      <c r="AC98" s="65" t="s">
        <v>341</v>
      </c>
      <c r="AD98" s="65" t="s">
        <v>341</v>
      </c>
      <c r="AE98" s="65" t="s">
        <v>341</v>
      </c>
      <c r="AF98" s="65" t="s">
        <v>341</v>
      </c>
      <c r="AG98" s="65" t="s">
        <v>341</v>
      </c>
      <c r="AH98" s="65" t="s">
        <v>341</v>
      </c>
      <c r="AI98" s="65" t="s">
        <v>341</v>
      </c>
      <c r="AJ98" s="65" t="s">
        <v>341</v>
      </c>
      <c r="AK98" s="65" t="s">
        <v>341</v>
      </c>
      <c r="AL98" s="65" t="s">
        <v>341</v>
      </c>
      <c r="AM98" s="65" t="s">
        <v>341</v>
      </c>
      <c r="AN98" s="65" t="s">
        <v>341</v>
      </c>
      <c r="AO98" s="65" t="s">
        <v>341</v>
      </c>
      <c r="AP98" s="65" t="s">
        <v>341</v>
      </c>
      <c r="AQ98" s="65" t="s">
        <v>341</v>
      </c>
      <c r="AR98" s="65" t="s">
        <v>341</v>
      </c>
      <c r="AS98" s="65" t="s">
        <v>341</v>
      </c>
      <c r="AT98" s="65" t="s">
        <v>341</v>
      </c>
      <c r="AU98" s="65" t="s">
        <v>341</v>
      </c>
      <c r="AV98" s="65" t="s">
        <v>341</v>
      </c>
      <c r="AW98" s="65" t="s">
        <v>341</v>
      </c>
      <c r="AX98" s="65" t="s">
        <v>341</v>
      </c>
      <c r="AY98" s="65" t="s">
        <v>341</v>
      </c>
    </row>
    <row r="99" spans="1:51" x14ac:dyDescent="0.2">
      <c r="A99" s="65" t="s">
        <v>1313</v>
      </c>
      <c r="B99" s="65" t="s">
        <v>977</v>
      </c>
      <c r="C99" s="65" t="s">
        <v>978</v>
      </c>
      <c r="D99" s="65" t="s">
        <v>1755</v>
      </c>
      <c r="E99" s="65" t="s">
        <v>341</v>
      </c>
      <c r="F99" s="65" t="s">
        <v>341</v>
      </c>
      <c r="G99" s="65" t="s">
        <v>1715</v>
      </c>
      <c r="H99" s="65" t="s">
        <v>341</v>
      </c>
      <c r="I99" s="65" t="s">
        <v>341</v>
      </c>
      <c r="J99" s="65" t="s">
        <v>341</v>
      </c>
      <c r="K99" s="65" t="s">
        <v>341</v>
      </c>
      <c r="L99" s="65" t="s">
        <v>341</v>
      </c>
      <c r="M99" s="65" t="s">
        <v>341</v>
      </c>
      <c r="N99" s="65" t="s">
        <v>341</v>
      </c>
      <c r="O99" s="65" t="s">
        <v>341</v>
      </c>
      <c r="P99" s="65" t="s">
        <v>341</v>
      </c>
      <c r="Q99" s="65" t="s">
        <v>341</v>
      </c>
      <c r="R99" s="65" t="s">
        <v>341</v>
      </c>
      <c r="S99" s="65" t="s">
        <v>341</v>
      </c>
      <c r="T99" s="65" t="s">
        <v>341</v>
      </c>
      <c r="U99" s="65" t="s">
        <v>341</v>
      </c>
      <c r="V99" s="65" t="s">
        <v>341</v>
      </c>
      <c r="W99" s="65" t="s">
        <v>341</v>
      </c>
      <c r="X99" s="65" t="s">
        <v>341</v>
      </c>
      <c r="Y99" s="65" t="s">
        <v>978</v>
      </c>
      <c r="Z99" s="65" t="s">
        <v>1730</v>
      </c>
      <c r="AA99" s="65" t="s">
        <v>1756</v>
      </c>
      <c r="AB99" s="65" t="s">
        <v>341</v>
      </c>
      <c r="AC99" s="65" t="s">
        <v>341</v>
      </c>
      <c r="AD99" s="65" t="s">
        <v>341</v>
      </c>
      <c r="AE99" s="65" t="s">
        <v>341</v>
      </c>
      <c r="AF99" s="65" t="s">
        <v>341</v>
      </c>
      <c r="AG99" s="65" t="s">
        <v>341</v>
      </c>
      <c r="AH99" s="65" t="s">
        <v>341</v>
      </c>
      <c r="AI99" s="65" t="s">
        <v>341</v>
      </c>
      <c r="AJ99" s="65" t="s">
        <v>341</v>
      </c>
      <c r="AK99" s="65" t="s">
        <v>341</v>
      </c>
      <c r="AL99" s="65" t="s">
        <v>341</v>
      </c>
      <c r="AM99" s="65" t="s">
        <v>341</v>
      </c>
      <c r="AN99" s="65" t="s">
        <v>341</v>
      </c>
      <c r="AO99" s="65" t="s">
        <v>341</v>
      </c>
      <c r="AP99" s="65" t="s">
        <v>341</v>
      </c>
      <c r="AQ99" s="65" t="s">
        <v>341</v>
      </c>
      <c r="AR99" s="65" t="s">
        <v>341</v>
      </c>
      <c r="AS99" s="65" t="s">
        <v>341</v>
      </c>
      <c r="AT99" s="65" t="s">
        <v>341</v>
      </c>
      <c r="AU99" s="65" t="s">
        <v>341</v>
      </c>
      <c r="AV99" s="65" t="s">
        <v>341</v>
      </c>
      <c r="AW99" s="65" t="s">
        <v>341</v>
      </c>
      <c r="AX99" s="65" t="s">
        <v>341</v>
      </c>
      <c r="AY99" s="65" t="s">
        <v>341</v>
      </c>
    </row>
    <row r="100" spans="1:51" x14ac:dyDescent="0.2">
      <c r="A100" s="65" t="s">
        <v>1313</v>
      </c>
      <c r="B100" s="65" t="s">
        <v>979</v>
      </c>
      <c r="C100" s="65" t="s">
        <v>980</v>
      </c>
      <c r="D100" s="65" t="s">
        <v>1757</v>
      </c>
      <c r="E100" s="65" t="s">
        <v>341</v>
      </c>
      <c r="F100" s="65" t="s">
        <v>341</v>
      </c>
      <c r="G100" s="65" t="s">
        <v>1715</v>
      </c>
      <c r="H100" s="65" t="s">
        <v>341</v>
      </c>
      <c r="I100" s="65" t="s">
        <v>341</v>
      </c>
      <c r="J100" s="65" t="s">
        <v>341</v>
      </c>
      <c r="K100" s="65" t="s">
        <v>341</v>
      </c>
      <c r="L100" s="65" t="s">
        <v>341</v>
      </c>
      <c r="M100" s="65" t="s">
        <v>341</v>
      </c>
      <c r="N100" s="65" t="s">
        <v>341</v>
      </c>
      <c r="O100" s="65" t="s">
        <v>341</v>
      </c>
      <c r="P100" s="65" t="s">
        <v>341</v>
      </c>
      <c r="Q100" s="65" t="s">
        <v>341</v>
      </c>
      <c r="R100" s="65" t="s">
        <v>341</v>
      </c>
      <c r="S100" s="65" t="s">
        <v>341</v>
      </c>
      <c r="T100" s="65" t="s">
        <v>341</v>
      </c>
      <c r="U100" s="65" t="s">
        <v>341</v>
      </c>
      <c r="V100" s="65" t="s">
        <v>341</v>
      </c>
      <c r="W100" s="65" t="s">
        <v>341</v>
      </c>
      <c r="X100" s="65" t="s">
        <v>341</v>
      </c>
      <c r="Y100" s="65" t="s">
        <v>1716</v>
      </c>
      <c r="Z100" s="65" t="s">
        <v>1717</v>
      </c>
      <c r="AA100" s="65" t="s">
        <v>1758</v>
      </c>
      <c r="AB100" s="65" t="s">
        <v>341</v>
      </c>
      <c r="AC100" s="65" t="s">
        <v>341</v>
      </c>
      <c r="AD100" s="65" t="s">
        <v>341</v>
      </c>
      <c r="AE100" s="65" t="s">
        <v>341</v>
      </c>
      <c r="AF100" s="65" t="s">
        <v>341</v>
      </c>
      <c r="AG100" s="65" t="s">
        <v>341</v>
      </c>
      <c r="AH100" s="65" t="s">
        <v>341</v>
      </c>
      <c r="AI100" s="65" t="s">
        <v>341</v>
      </c>
      <c r="AJ100" s="65" t="s">
        <v>341</v>
      </c>
      <c r="AK100" s="65" t="s">
        <v>341</v>
      </c>
      <c r="AL100" s="65" t="s">
        <v>341</v>
      </c>
      <c r="AM100" s="65" t="s">
        <v>341</v>
      </c>
      <c r="AN100" s="65" t="s">
        <v>341</v>
      </c>
      <c r="AO100" s="65" t="s">
        <v>341</v>
      </c>
      <c r="AP100" s="65" t="s">
        <v>341</v>
      </c>
      <c r="AQ100" s="65" t="s">
        <v>341</v>
      </c>
      <c r="AR100" s="65" t="s">
        <v>341</v>
      </c>
      <c r="AS100" s="65" t="s">
        <v>341</v>
      </c>
      <c r="AT100" s="65" t="s">
        <v>341</v>
      </c>
      <c r="AU100" s="65" t="s">
        <v>341</v>
      </c>
      <c r="AV100" s="65" t="s">
        <v>341</v>
      </c>
      <c r="AW100" s="65" t="s">
        <v>341</v>
      </c>
      <c r="AX100" s="65" t="s">
        <v>341</v>
      </c>
      <c r="AY100" s="65" t="s">
        <v>341</v>
      </c>
    </row>
    <row r="101" spans="1:51" x14ac:dyDescent="0.2">
      <c r="A101" s="65" t="s">
        <v>1313</v>
      </c>
      <c r="B101" s="65" t="s">
        <v>981</v>
      </c>
      <c r="C101" s="65" t="s">
        <v>982</v>
      </c>
      <c r="D101" s="65" t="s">
        <v>1759</v>
      </c>
      <c r="E101" s="65" t="s">
        <v>341</v>
      </c>
      <c r="F101" s="65" t="s">
        <v>341</v>
      </c>
      <c r="G101" s="65" t="s">
        <v>1715</v>
      </c>
      <c r="H101" s="65" t="s">
        <v>341</v>
      </c>
      <c r="I101" s="65" t="s">
        <v>341</v>
      </c>
      <c r="J101" s="65" t="s">
        <v>341</v>
      </c>
      <c r="K101" s="65" t="s">
        <v>341</v>
      </c>
      <c r="L101" s="65" t="s">
        <v>341</v>
      </c>
      <c r="M101" s="65" t="s">
        <v>341</v>
      </c>
      <c r="N101" s="65" t="s">
        <v>341</v>
      </c>
      <c r="O101" s="65" t="s">
        <v>341</v>
      </c>
      <c r="P101" s="65" t="s">
        <v>341</v>
      </c>
      <c r="Q101" s="65" t="s">
        <v>341</v>
      </c>
      <c r="R101" s="65" t="s">
        <v>341</v>
      </c>
      <c r="S101" s="65" t="s">
        <v>341</v>
      </c>
      <c r="T101" s="65" t="s">
        <v>341</v>
      </c>
      <c r="U101" s="65" t="s">
        <v>341</v>
      </c>
      <c r="V101" s="65" t="s">
        <v>341</v>
      </c>
      <c r="W101" s="65" t="s">
        <v>341</v>
      </c>
      <c r="X101" s="65" t="s">
        <v>341</v>
      </c>
      <c r="Y101" s="65" t="s">
        <v>982</v>
      </c>
      <c r="Z101" s="65" t="s">
        <v>1730</v>
      </c>
      <c r="AA101" s="65" t="s">
        <v>1760</v>
      </c>
      <c r="AB101" s="65" t="s">
        <v>341</v>
      </c>
      <c r="AC101" s="65" t="s">
        <v>341</v>
      </c>
      <c r="AD101" s="65" t="s">
        <v>341</v>
      </c>
      <c r="AE101" s="65" t="s">
        <v>341</v>
      </c>
      <c r="AF101" s="65" t="s">
        <v>341</v>
      </c>
      <c r="AG101" s="65" t="s">
        <v>341</v>
      </c>
      <c r="AH101" s="65" t="s">
        <v>341</v>
      </c>
      <c r="AI101" s="65" t="s">
        <v>341</v>
      </c>
      <c r="AJ101" s="65" t="s">
        <v>341</v>
      </c>
      <c r="AK101" s="65" t="s">
        <v>341</v>
      </c>
      <c r="AL101" s="65" t="s">
        <v>341</v>
      </c>
      <c r="AM101" s="65" t="s">
        <v>341</v>
      </c>
      <c r="AN101" s="65" t="s">
        <v>341</v>
      </c>
      <c r="AO101" s="65" t="s">
        <v>341</v>
      </c>
      <c r="AP101" s="65" t="s">
        <v>341</v>
      </c>
      <c r="AQ101" s="65" t="s">
        <v>341</v>
      </c>
      <c r="AR101" s="65" t="s">
        <v>341</v>
      </c>
      <c r="AS101" s="65" t="s">
        <v>341</v>
      </c>
      <c r="AT101" s="65" t="s">
        <v>341</v>
      </c>
      <c r="AU101" s="65" t="s">
        <v>341</v>
      </c>
      <c r="AV101" s="65" t="s">
        <v>341</v>
      </c>
      <c r="AW101" s="65" t="s">
        <v>341</v>
      </c>
      <c r="AX101" s="65" t="s">
        <v>341</v>
      </c>
      <c r="AY101" s="65" t="s">
        <v>341</v>
      </c>
    </row>
    <row r="102" spans="1:51" x14ac:dyDescent="0.2">
      <c r="A102" s="65" t="s">
        <v>1313</v>
      </c>
      <c r="B102" s="65" t="s">
        <v>983</v>
      </c>
      <c r="C102" s="65" t="s">
        <v>984</v>
      </c>
      <c r="D102" s="65" t="s">
        <v>1761</v>
      </c>
      <c r="E102" s="65" t="s">
        <v>341</v>
      </c>
      <c r="F102" s="65" t="s">
        <v>341</v>
      </c>
      <c r="G102" s="65" t="s">
        <v>1715</v>
      </c>
      <c r="H102" s="65" t="s">
        <v>341</v>
      </c>
      <c r="I102" s="65" t="s">
        <v>341</v>
      </c>
      <c r="J102" s="65" t="s">
        <v>341</v>
      </c>
      <c r="K102" s="65" t="s">
        <v>341</v>
      </c>
      <c r="L102" s="65" t="s">
        <v>341</v>
      </c>
      <c r="M102" s="65" t="s">
        <v>341</v>
      </c>
      <c r="N102" s="65" t="s">
        <v>341</v>
      </c>
      <c r="O102" s="65" t="s">
        <v>341</v>
      </c>
      <c r="P102" s="65" t="s">
        <v>341</v>
      </c>
      <c r="Q102" s="65" t="s">
        <v>341</v>
      </c>
      <c r="R102" s="65" t="s">
        <v>341</v>
      </c>
      <c r="S102" s="65" t="s">
        <v>341</v>
      </c>
      <c r="T102" s="65" t="s">
        <v>341</v>
      </c>
      <c r="U102" s="65" t="s">
        <v>341</v>
      </c>
      <c r="V102" s="65" t="s">
        <v>341</v>
      </c>
      <c r="W102" s="65" t="s">
        <v>341</v>
      </c>
      <c r="X102" s="65" t="s">
        <v>341</v>
      </c>
      <c r="Y102" s="65" t="s">
        <v>1762</v>
      </c>
      <c r="Z102" s="65" t="s">
        <v>1717</v>
      </c>
      <c r="AA102" s="65" t="s">
        <v>1763</v>
      </c>
      <c r="AB102" s="65" t="s">
        <v>341</v>
      </c>
      <c r="AC102" s="65" t="s">
        <v>341</v>
      </c>
      <c r="AD102" s="65" t="s">
        <v>341</v>
      </c>
      <c r="AE102" s="65" t="s">
        <v>341</v>
      </c>
      <c r="AF102" s="65" t="s">
        <v>341</v>
      </c>
      <c r="AG102" s="65" t="s">
        <v>341</v>
      </c>
      <c r="AH102" s="65" t="s">
        <v>341</v>
      </c>
      <c r="AI102" s="65" t="s">
        <v>341</v>
      </c>
      <c r="AJ102" s="65" t="s">
        <v>341</v>
      </c>
      <c r="AK102" s="65" t="s">
        <v>341</v>
      </c>
      <c r="AL102" s="65" t="s">
        <v>341</v>
      </c>
      <c r="AM102" s="65" t="s">
        <v>341</v>
      </c>
      <c r="AN102" s="65" t="s">
        <v>341</v>
      </c>
      <c r="AO102" s="65" t="s">
        <v>341</v>
      </c>
      <c r="AP102" s="65" t="s">
        <v>341</v>
      </c>
      <c r="AQ102" s="65" t="s">
        <v>341</v>
      </c>
      <c r="AR102" s="65" t="s">
        <v>341</v>
      </c>
      <c r="AS102" s="65" t="s">
        <v>341</v>
      </c>
      <c r="AT102" s="65" t="s">
        <v>341</v>
      </c>
      <c r="AU102" s="65" t="s">
        <v>341</v>
      </c>
      <c r="AV102" s="65" t="s">
        <v>341</v>
      </c>
      <c r="AW102" s="65" t="s">
        <v>341</v>
      </c>
      <c r="AX102" s="65" t="s">
        <v>341</v>
      </c>
      <c r="AY102" s="65" t="s">
        <v>341</v>
      </c>
    </row>
    <row r="103" spans="1:51" x14ac:dyDescent="0.2">
      <c r="A103" s="65" t="s">
        <v>1313</v>
      </c>
      <c r="B103" s="65" t="s">
        <v>985</v>
      </c>
      <c r="C103" s="65" t="s">
        <v>986</v>
      </c>
      <c r="D103" s="65" t="s">
        <v>1764</v>
      </c>
      <c r="E103" s="65" t="s">
        <v>341</v>
      </c>
      <c r="F103" s="65" t="s">
        <v>341</v>
      </c>
      <c r="G103" s="65" t="s">
        <v>1715</v>
      </c>
      <c r="H103" s="65" t="s">
        <v>341</v>
      </c>
      <c r="I103" s="65" t="s">
        <v>341</v>
      </c>
      <c r="J103" s="65" t="s">
        <v>341</v>
      </c>
      <c r="K103" s="65" t="s">
        <v>341</v>
      </c>
      <c r="L103" s="65" t="s">
        <v>341</v>
      </c>
      <c r="M103" s="65" t="s">
        <v>341</v>
      </c>
      <c r="N103" s="65" t="s">
        <v>341</v>
      </c>
      <c r="O103" s="65" t="s">
        <v>341</v>
      </c>
      <c r="P103" s="65" t="s">
        <v>341</v>
      </c>
      <c r="Q103" s="65" t="s">
        <v>341</v>
      </c>
      <c r="R103" s="65" t="s">
        <v>341</v>
      </c>
      <c r="S103" s="65" t="s">
        <v>341</v>
      </c>
      <c r="T103" s="65" t="s">
        <v>341</v>
      </c>
      <c r="U103" s="65" t="s">
        <v>341</v>
      </c>
      <c r="V103" s="65" t="s">
        <v>341</v>
      </c>
      <c r="W103" s="65" t="s">
        <v>341</v>
      </c>
      <c r="X103" s="65" t="s">
        <v>341</v>
      </c>
      <c r="Y103" s="65" t="s">
        <v>1716</v>
      </c>
      <c r="Z103" s="65" t="s">
        <v>1717</v>
      </c>
      <c r="AA103" s="65" t="s">
        <v>1765</v>
      </c>
      <c r="AB103" s="65" t="s">
        <v>341</v>
      </c>
      <c r="AC103" s="65" t="s">
        <v>341</v>
      </c>
      <c r="AD103" s="65" t="s">
        <v>341</v>
      </c>
      <c r="AE103" s="65" t="s">
        <v>341</v>
      </c>
      <c r="AF103" s="65" t="s">
        <v>341</v>
      </c>
      <c r="AG103" s="65" t="s">
        <v>341</v>
      </c>
      <c r="AH103" s="65" t="s">
        <v>341</v>
      </c>
      <c r="AI103" s="65" t="s">
        <v>341</v>
      </c>
      <c r="AJ103" s="65" t="s">
        <v>341</v>
      </c>
      <c r="AK103" s="65" t="s">
        <v>341</v>
      </c>
      <c r="AL103" s="65" t="s">
        <v>341</v>
      </c>
      <c r="AM103" s="65" t="s">
        <v>341</v>
      </c>
      <c r="AN103" s="65" t="s">
        <v>341</v>
      </c>
      <c r="AO103" s="65" t="s">
        <v>341</v>
      </c>
      <c r="AP103" s="65" t="s">
        <v>341</v>
      </c>
      <c r="AQ103" s="65" t="s">
        <v>341</v>
      </c>
      <c r="AR103" s="65" t="s">
        <v>341</v>
      </c>
      <c r="AS103" s="65" t="s">
        <v>341</v>
      </c>
      <c r="AT103" s="65" t="s">
        <v>341</v>
      </c>
      <c r="AU103" s="65" t="s">
        <v>341</v>
      </c>
      <c r="AV103" s="65" t="s">
        <v>341</v>
      </c>
      <c r="AW103" s="65" t="s">
        <v>341</v>
      </c>
      <c r="AX103" s="65" t="s">
        <v>341</v>
      </c>
      <c r="AY103" s="65" t="s">
        <v>341</v>
      </c>
    </row>
    <row r="104" spans="1:51" x14ac:dyDescent="0.2">
      <c r="A104" s="65" t="s">
        <v>1313</v>
      </c>
      <c r="B104" s="65" t="s">
        <v>987</v>
      </c>
      <c r="C104" s="65" t="s">
        <v>988</v>
      </c>
      <c r="D104" s="65" t="s">
        <v>1766</v>
      </c>
      <c r="E104" s="65" t="s">
        <v>341</v>
      </c>
      <c r="F104" s="65" t="s">
        <v>341</v>
      </c>
      <c r="G104" s="65" t="s">
        <v>1715</v>
      </c>
      <c r="H104" s="65" t="s">
        <v>341</v>
      </c>
      <c r="I104" s="65" t="s">
        <v>341</v>
      </c>
      <c r="J104" s="65" t="s">
        <v>341</v>
      </c>
      <c r="K104" s="65" t="s">
        <v>341</v>
      </c>
      <c r="L104" s="65" t="s">
        <v>341</v>
      </c>
      <c r="M104" s="65" t="s">
        <v>341</v>
      </c>
      <c r="N104" s="65" t="s">
        <v>341</v>
      </c>
      <c r="O104" s="65" t="s">
        <v>341</v>
      </c>
      <c r="P104" s="65" t="s">
        <v>341</v>
      </c>
      <c r="Q104" s="65" t="s">
        <v>341</v>
      </c>
      <c r="R104" s="65" t="s">
        <v>341</v>
      </c>
      <c r="S104" s="65" t="s">
        <v>341</v>
      </c>
      <c r="T104" s="65" t="s">
        <v>341</v>
      </c>
      <c r="U104" s="65" t="s">
        <v>341</v>
      </c>
      <c r="V104" s="65" t="s">
        <v>341</v>
      </c>
      <c r="W104" s="65" t="s">
        <v>341</v>
      </c>
      <c r="X104" s="65" t="s">
        <v>341</v>
      </c>
      <c r="Y104" s="65" t="s">
        <v>1767</v>
      </c>
      <c r="Z104" s="65" t="s">
        <v>1730</v>
      </c>
      <c r="AA104" s="65" t="s">
        <v>1768</v>
      </c>
      <c r="AB104" s="65" t="s">
        <v>341</v>
      </c>
      <c r="AC104" s="65" t="s">
        <v>341</v>
      </c>
      <c r="AD104" s="65" t="s">
        <v>341</v>
      </c>
      <c r="AE104" s="65" t="s">
        <v>341</v>
      </c>
      <c r="AF104" s="65" t="s">
        <v>341</v>
      </c>
      <c r="AG104" s="65" t="s">
        <v>341</v>
      </c>
      <c r="AH104" s="65" t="s">
        <v>341</v>
      </c>
      <c r="AI104" s="65" t="s">
        <v>341</v>
      </c>
      <c r="AJ104" s="65" t="s">
        <v>341</v>
      </c>
      <c r="AK104" s="65" t="s">
        <v>341</v>
      </c>
      <c r="AL104" s="65" t="s">
        <v>341</v>
      </c>
      <c r="AM104" s="65" t="s">
        <v>341</v>
      </c>
      <c r="AN104" s="65" t="s">
        <v>341</v>
      </c>
      <c r="AO104" s="65" t="s">
        <v>341</v>
      </c>
      <c r="AP104" s="65" t="s">
        <v>341</v>
      </c>
      <c r="AQ104" s="65" t="s">
        <v>341</v>
      </c>
      <c r="AR104" s="65" t="s">
        <v>341</v>
      </c>
      <c r="AS104" s="65" t="s">
        <v>341</v>
      </c>
      <c r="AT104" s="65" t="s">
        <v>341</v>
      </c>
      <c r="AU104" s="65" t="s">
        <v>341</v>
      </c>
      <c r="AV104" s="65" t="s">
        <v>341</v>
      </c>
      <c r="AW104" s="65" t="s">
        <v>341</v>
      </c>
      <c r="AX104" s="65" t="s">
        <v>341</v>
      </c>
      <c r="AY104" s="65" t="s">
        <v>341</v>
      </c>
    </row>
    <row r="105" spans="1:51" x14ac:dyDescent="0.2">
      <c r="A105" s="65" t="s">
        <v>1313</v>
      </c>
      <c r="B105" s="65" t="s">
        <v>989</v>
      </c>
      <c r="C105" s="65" t="s">
        <v>990</v>
      </c>
      <c r="D105" s="65" t="s">
        <v>1769</v>
      </c>
      <c r="E105" s="65" t="s">
        <v>341</v>
      </c>
      <c r="F105" s="65" t="s">
        <v>341</v>
      </c>
      <c r="G105" s="65" t="s">
        <v>1715</v>
      </c>
      <c r="H105" s="65" t="s">
        <v>341</v>
      </c>
      <c r="I105" s="65" t="s">
        <v>341</v>
      </c>
      <c r="J105" s="65" t="s">
        <v>341</v>
      </c>
      <c r="K105" s="65" t="s">
        <v>341</v>
      </c>
      <c r="L105" s="65" t="s">
        <v>341</v>
      </c>
      <c r="M105" s="65" t="s">
        <v>341</v>
      </c>
      <c r="N105" s="65" t="s">
        <v>341</v>
      </c>
      <c r="O105" s="65" t="s">
        <v>341</v>
      </c>
      <c r="P105" s="65" t="s">
        <v>341</v>
      </c>
      <c r="Q105" s="65" t="s">
        <v>341</v>
      </c>
      <c r="R105" s="65" t="s">
        <v>341</v>
      </c>
      <c r="S105" s="65" t="s">
        <v>341</v>
      </c>
      <c r="T105" s="65" t="s">
        <v>341</v>
      </c>
      <c r="U105" s="65" t="s">
        <v>341</v>
      </c>
      <c r="V105" s="65" t="s">
        <v>341</v>
      </c>
      <c r="W105" s="65" t="s">
        <v>341</v>
      </c>
      <c r="X105" s="65" t="s">
        <v>341</v>
      </c>
      <c r="Y105" s="65" t="s">
        <v>992</v>
      </c>
      <c r="Z105" s="65" t="s">
        <v>1313</v>
      </c>
      <c r="AA105" s="65" t="s">
        <v>1770</v>
      </c>
      <c r="AB105" s="65" t="s">
        <v>341</v>
      </c>
      <c r="AC105" s="65" t="s">
        <v>341</v>
      </c>
      <c r="AD105" s="65" t="s">
        <v>341</v>
      </c>
      <c r="AE105" s="65" t="s">
        <v>341</v>
      </c>
      <c r="AF105" s="65" t="s">
        <v>341</v>
      </c>
      <c r="AG105" s="65" t="s">
        <v>341</v>
      </c>
      <c r="AH105" s="65" t="s">
        <v>341</v>
      </c>
      <c r="AI105" s="65" t="s">
        <v>341</v>
      </c>
      <c r="AJ105" s="65" t="s">
        <v>341</v>
      </c>
      <c r="AK105" s="65" t="s">
        <v>341</v>
      </c>
      <c r="AL105" s="65" t="s">
        <v>341</v>
      </c>
      <c r="AM105" s="65" t="s">
        <v>341</v>
      </c>
      <c r="AN105" s="65" t="s">
        <v>341</v>
      </c>
      <c r="AO105" s="65" t="s">
        <v>341</v>
      </c>
      <c r="AP105" s="65" t="s">
        <v>341</v>
      </c>
      <c r="AQ105" s="65" t="s">
        <v>341</v>
      </c>
      <c r="AR105" s="65" t="s">
        <v>341</v>
      </c>
      <c r="AS105" s="65" t="s">
        <v>341</v>
      </c>
      <c r="AT105" s="65" t="s">
        <v>341</v>
      </c>
      <c r="AU105" s="65" t="s">
        <v>341</v>
      </c>
      <c r="AV105" s="65" t="s">
        <v>341</v>
      </c>
      <c r="AW105" s="65" t="s">
        <v>341</v>
      </c>
      <c r="AX105" s="65" t="s">
        <v>341</v>
      </c>
      <c r="AY105" s="65" t="s">
        <v>341</v>
      </c>
    </row>
    <row r="106" spans="1:51" x14ac:dyDescent="0.2">
      <c r="A106" s="65" t="s">
        <v>1313</v>
      </c>
      <c r="B106" s="65" t="s">
        <v>991</v>
      </c>
      <c r="C106" s="65" t="s">
        <v>992</v>
      </c>
      <c r="D106" s="65" t="s">
        <v>1771</v>
      </c>
      <c r="E106" s="65" t="s">
        <v>341</v>
      </c>
      <c r="F106" s="65" t="s">
        <v>341</v>
      </c>
      <c r="G106" s="65" t="s">
        <v>1715</v>
      </c>
      <c r="H106" s="65" t="s">
        <v>341</v>
      </c>
      <c r="I106" s="65" t="s">
        <v>341</v>
      </c>
      <c r="J106" s="65" t="s">
        <v>341</v>
      </c>
      <c r="K106" s="65" t="s">
        <v>341</v>
      </c>
      <c r="L106" s="65" t="s">
        <v>341</v>
      </c>
      <c r="M106" s="65" t="s">
        <v>341</v>
      </c>
      <c r="N106" s="65" t="s">
        <v>341</v>
      </c>
      <c r="O106" s="65" t="s">
        <v>341</v>
      </c>
      <c r="P106" s="65" t="s">
        <v>341</v>
      </c>
      <c r="Q106" s="65" t="s">
        <v>341</v>
      </c>
      <c r="R106" s="65" t="s">
        <v>341</v>
      </c>
      <c r="S106" s="65" t="s">
        <v>341</v>
      </c>
      <c r="T106" s="65" t="s">
        <v>341</v>
      </c>
      <c r="U106" s="65" t="s">
        <v>341</v>
      </c>
      <c r="V106" s="65" t="s">
        <v>341</v>
      </c>
      <c r="W106" s="65" t="s">
        <v>341</v>
      </c>
      <c r="X106" s="65" t="s">
        <v>341</v>
      </c>
      <c r="Y106" s="65" t="s">
        <v>992</v>
      </c>
      <c r="Z106" s="65" t="s">
        <v>1313</v>
      </c>
      <c r="AA106" s="65" t="s">
        <v>1772</v>
      </c>
      <c r="AB106" s="65" t="s">
        <v>341</v>
      </c>
      <c r="AC106" s="65" t="s">
        <v>341</v>
      </c>
      <c r="AD106" s="65" t="s">
        <v>341</v>
      </c>
      <c r="AE106" s="65" t="s">
        <v>341</v>
      </c>
      <c r="AF106" s="65" t="s">
        <v>341</v>
      </c>
      <c r="AG106" s="65" t="s">
        <v>341</v>
      </c>
      <c r="AH106" s="65" t="s">
        <v>341</v>
      </c>
      <c r="AI106" s="65" t="s">
        <v>341</v>
      </c>
      <c r="AJ106" s="65" t="s">
        <v>341</v>
      </c>
      <c r="AK106" s="65" t="s">
        <v>341</v>
      </c>
      <c r="AL106" s="65" t="s">
        <v>341</v>
      </c>
      <c r="AM106" s="65" t="s">
        <v>341</v>
      </c>
      <c r="AN106" s="65" t="s">
        <v>341</v>
      </c>
      <c r="AO106" s="65" t="s">
        <v>341</v>
      </c>
      <c r="AP106" s="65" t="s">
        <v>341</v>
      </c>
      <c r="AQ106" s="65" t="s">
        <v>341</v>
      </c>
      <c r="AR106" s="65" t="s">
        <v>341</v>
      </c>
      <c r="AS106" s="65" t="s">
        <v>341</v>
      </c>
      <c r="AT106" s="65" t="s">
        <v>341</v>
      </c>
      <c r="AU106" s="65" t="s">
        <v>341</v>
      </c>
      <c r="AV106" s="65" t="s">
        <v>341</v>
      </c>
      <c r="AW106" s="65" t="s">
        <v>341</v>
      </c>
      <c r="AX106" s="65" t="s">
        <v>341</v>
      </c>
      <c r="AY106" s="65" t="s">
        <v>341</v>
      </c>
    </row>
    <row r="107" spans="1:51" x14ac:dyDescent="0.2">
      <c r="A107" s="65" t="s">
        <v>1773</v>
      </c>
      <c r="B107" s="65" t="s">
        <v>1153</v>
      </c>
      <c r="C107" s="65" t="s">
        <v>1154</v>
      </c>
      <c r="D107" s="65" t="s">
        <v>1774</v>
      </c>
      <c r="E107" s="65" t="s">
        <v>341</v>
      </c>
      <c r="F107" s="65" t="s">
        <v>1775</v>
      </c>
      <c r="G107" s="65" t="s">
        <v>1776</v>
      </c>
      <c r="H107" s="65" t="s">
        <v>341</v>
      </c>
      <c r="I107" s="65" t="s">
        <v>341</v>
      </c>
      <c r="J107" s="65" t="s">
        <v>341</v>
      </c>
      <c r="K107" s="65" t="s">
        <v>341</v>
      </c>
      <c r="L107" s="65" t="s">
        <v>341</v>
      </c>
      <c r="M107" s="65" t="s">
        <v>341</v>
      </c>
      <c r="N107" s="65" t="s">
        <v>341</v>
      </c>
      <c r="O107" s="65" t="s">
        <v>341</v>
      </c>
      <c r="P107" s="65" t="s">
        <v>341</v>
      </c>
      <c r="Q107" s="65" t="s">
        <v>341</v>
      </c>
      <c r="R107" s="65" t="s">
        <v>341</v>
      </c>
      <c r="S107" s="65" t="s">
        <v>341</v>
      </c>
      <c r="T107" s="65" t="s">
        <v>341</v>
      </c>
      <c r="U107" s="65" t="s">
        <v>341</v>
      </c>
      <c r="V107" s="65" t="s">
        <v>341</v>
      </c>
      <c r="W107" s="65" t="s">
        <v>341</v>
      </c>
      <c r="X107" s="65" t="s">
        <v>341</v>
      </c>
      <c r="Y107" s="65" t="s">
        <v>1777</v>
      </c>
      <c r="Z107" s="65" t="s">
        <v>1360</v>
      </c>
      <c r="AA107" s="65" t="s">
        <v>1778</v>
      </c>
      <c r="AB107" s="65" t="s">
        <v>341</v>
      </c>
      <c r="AC107" s="65" t="s">
        <v>341</v>
      </c>
      <c r="AD107" s="65" t="s">
        <v>341</v>
      </c>
      <c r="AE107" s="65" t="s">
        <v>341</v>
      </c>
      <c r="AF107" s="65" t="s">
        <v>341</v>
      </c>
      <c r="AG107" s="65" t="s">
        <v>341</v>
      </c>
      <c r="AH107" s="65" t="s">
        <v>341</v>
      </c>
      <c r="AI107" s="65" t="s">
        <v>341</v>
      </c>
      <c r="AJ107" s="65" t="s">
        <v>341</v>
      </c>
      <c r="AK107" s="65" t="s">
        <v>341</v>
      </c>
      <c r="AL107" s="65" t="s">
        <v>341</v>
      </c>
      <c r="AM107" s="65" t="s">
        <v>341</v>
      </c>
      <c r="AN107" s="65" t="s">
        <v>341</v>
      </c>
      <c r="AO107" s="65" t="s">
        <v>341</v>
      </c>
      <c r="AP107" s="65" t="s">
        <v>341</v>
      </c>
      <c r="AQ107" s="65" t="s">
        <v>341</v>
      </c>
      <c r="AR107" s="65" t="s">
        <v>341</v>
      </c>
      <c r="AS107" s="65" t="s">
        <v>341</v>
      </c>
      <c r="AT107" s="65" t="s">
        <v>341</v>
      </c>
      <c r="AU107" s="65" t="s">
        <v>341</v>
      </c>
      <c r="AV107" s="65" t="s">
        <v>341</v>
      </c>
      <c r="AW107" s="65" t="s">
        <v>341</v>
      </c>
      <c r="AX107" s="65" t="s">
        <v>341</v>
      </c>
      <c r="AY107" s="65" t="s">
        <v>341</v>
      </c>
    </row>
    <row r="108" spans="1:51" x14ac:dyDescent="0.2">
      <c r="A108" s="65" t="s">
        <v>1773</v>
      </c>
      <c r="B108" s="65" t="s">
        <v>1155</v>
      </c>
      <c r="C108" s="65" t="s">
        <v>1156</v>
      </c>
      <c r="D108" s="65" t="s">
        <v>1779</v>
      </c>
      <c r="E108" s="65" t="s">
        <v>341</v>
      </c>
      <c r="F108" s="65" t="s">
        <v>1775</v>
      </c>
      <c r="G108" s="65" t="s">
        <v>1776</v>
      </c>
      <c r="H108" s="65" t="s">
        <v>341</v>
      </c>
      <c r="I108" s="65" t="s">
        <v>341</v>
      </c>
      <c r="J108" s="65" t="s">
        <v>341</v>
      </c>
      <c r="K108" s="65" t="s">
        <v>341</v>
      </c>
      <c r="L108" s="65" t="s">
        <v>341</v>
      </c>
      <c r="M108" s="65" t="s">
        <v>341</v>
      </c>
      <c r="N108" s="65" t="s">
        <v>341</v>
      </c>
      <c r="O108" s="65" t="s">
        <v>341</v>
      </c>
      <c r="P108" s="65" t="s">
        <v>341</v>
      </c>
      <c r="Q108" s="65" t="s">
        <v>341</v>
      </c>
      <c r="R108" s="65" t="s">
        <v>341</v>
      </c>
      <c r="S108" s="65" t="s">
        <v>341</v>
      </c>
      <c r="T108" s="65" t="s">
        <v>341</v>
      </c>
      <c r="U108" s="65" t="s">
        <v>341</v>
      </c>
      <c r="V108" s="65" t="s">
        <v>341</v>
      </c>
      <c r="W108" s="65" t="s">
        <v>341</v>
      </c>
      <c r="X108" s="65" t="s">
        <v>341</v>
      </c>
      <c r="Y108" s="65" t="s">
        <v>1777</v>
      </c>
      <c r="Z108" s="65" t="s">
        <v>1360</v>
      </c>
      <c r="AA108" s="65" t="s">
        <v>1780</v>
      </c>
      <c r="AB108" s="65" t="s">
        <v>341</v>
      </c>
      <c r="AC108" s="65" t="s">
        <v>341</v>
      </c>
      <c r="AD108" s="65" t="s">
        <v>341</v>
      </c>
      <c r="AE108" s="65" t="s">
        <v>341</v>
      </c>
      <c r="AF108" s="65" t="s">
        <v>341</v>
      </c>
      <c r="AG108" s="65" t="s">
        <v>341</v>
      </c>
      <c r="AH108" s="65" t="s">
        <v>341</v>
      </c>
      <c r="AI108" s="65" t="s">
        <v>341</v>
      </c>
      <c r="AJ108" s="65" t="s">
        <v>341</v>
      </c>
      <c r="AK108" s="65" t="s">
        <v>341</v>
      </c>
      <c r="AL108" s="65" t="s">
        <v>341</v>
      </c>
      <c r="AM108" s="65" t="s">
        <v>341</v>
      </c>
      <c r="AN108" s="65" t="s">
        <v>341</v>
      </c>
      <c r="AO108" s="65" t="s">
        <v>341</v>
      </c>
      <c r="AP108" s="65" t="s">
        <v>341</v>
      </c>
      <c r="AQ108" s="65" t="s">
        <v>341</v>
      </c>
      <c r="AR108" s="65" t="s">
        <v>341</v>
      </c>
      <c r="AS108" s="65" t="s">
        <v>341</v>
      </c>
      <c r="AT108" s="65" t="s">
        <v>341</v>
      </c>
      <c r="AU108" s="65" t="s">
        <v>341</v>
      </c>
      <c r="AV108" s="65" t="s">
        <v>341</v>
      </c>
      <c r="AW108" s="65" t="s">
        <v>341</v>
      </c>
      <c r="AX108" s="65" t="s">
        <v>341</v>
      </c>
      <c r="AY108" s="65" t="s">
        <v>341</v>
      </c>
    </row>
    <row r="109" spans="1:51" x14ac:dyDescent="0.2">
      <c r="A109" s="65" t="s">
        <v>1773</v>
      </c>
      <c r="B109" s="65" t="s">
        <v>1157</v>
      </c>
      <c r="C109" s="65" t="s">
        <v>1158</v>
      </c>
      <c r="D109" s="65" t="s">
        <v>1781</v>
      </c>
      <c r="E109" s="65" t="s">
        <v>341</v>
      </c>
      <c r="F109" s="65" t="s">
        <v>1775</v>
      </c>
      <c r="G109" s="65" t="s">
        <v>1776</v>
      </c>
      <c r="H109" s="65" t="s">
        <v>341</v>
      </c>
      <c r="I109" s="65" t="s">
        <v>341</v>
      </c>
      <c r="J109" s="65" t="s">
        <v>341</v>
      </c>
      <c r="K109" s="65" t="s">
        <v>341</v>
      </c>
      <c r="L109" s="65" t="s">
        <v>341</v>
      </c>
      <c r="M109" s="65" t="s">
        <v>341</v>
      </c>
      <c r="N109" s="65" t="s">
        <v>341</v>
      </c>
      <c r="O109" s="65" t="s">
        <v>341</v>
      </c>
      <c r="P109" s="65" t="s">
        <v>341</v>
      </c>
      <c r="Q109" s="65" t="s">
        <v>341</v>
      </c>
      <c r="R109" s="65" t="s">
        <v>341</v>
      </c>
      <c r="S109" s="65" t="s">
        <v>341</v>
      </c>
      <c r="T109" s="65" t="s">
        <v>341</v>
      </c>
      <c r="U109" s="65" t="s">
        <v>341</v>
      </c>
      <c r="V109" s="65" t="s">
        <v>341</v>
      </c>
      <c r="W109" s="65" t="s">
        <v>341</v>
      </c>
      <c r="X109" s="65" t="s">
        <v>341</v>
      </c>
      <c r="Y109" s="65" t="s">
        <v>1777</v>
      </c>
      <c r="Z109" s="65" t="s">
        <v>1360</v>
      </c>
      <c r="AA109" s="65" t="s">
        <v>1782</v>
      </c>
      <c r="AB109" s="65" t="s">
        <v>341</v>
      </c>
      <c r="AC109" s="65" t="s">
        <v>341</v>
      </c>
      <c r="AD109" s="65" t="s">
        <v>341</v>
      </c>
      <c r="AE109" s="65" t="s">
        <v>341</v>
      </c>
      <c r="AF109" s="65" t="s">
        <v>341</v>
      </c>
      <c r="AG109" s="65" t="s">
        <v>341</v>
      </c>
      <c r="AH109" s="65" t="s">
        <v>341</v>
      </c>
      <c r="AI109" s="65" t="s">
        <v>341</v>
      </c>
      <c r="AJ109" s="65" t="s">
        <v>341</v>
      </c>
      <c r="AK109" s="65" t="s">
        <v>341</v>
      </c>
      <c r="AL109" s="65" t="s">
        <v>341</v>
      </c>
      <c r="AM109" s="65" t="s">
        <v>341</v>
      </c>
      <c r="AN109" s="65" t="s">
        <v>341</v>
      </c>
      <c r="AO109" s="65" t="s">
        <v>341</v>
      </c>
      <c r="AP109" s="65" t="s">
        <v>341</v>
      </c>
      <c r="AQ109" s="65" t="s">
        <v>341</v>
      </c>
      <c r="AR109" s="65" t="s">
        <v>341</v>
      </c>
      <c r="AS109" s="65" t="s">
        <v>341</v>
      </c>
      <c r="AT109" s="65" t="s">
        <v>341</v>
      </c>
      <c r="AU109" s="65" t="s">
        <v>341</v>
      </c>
      <c r="AV109" s="65" t="s">
        <v>341</v>
      </c>
      <c r="AW109" s="65" t="s">
        <v>341</v>
      </c>
      <c r="AX109" s="65" t="s">
        <v>341</v>
      </c>
      <c r="AY109" s="65" t="s">
        <v>341</v>
      </c>
    </row>
    <row r="110" spans="1:51" x14ac:dyDescent="0.2">
      <c r="A110" s="65" t="s">
        <v>1773</v>
      </c>
      <c r="B110" s="65" t="s">
        <v>1159</v>
      </c>
      <c r="C110" s="65" t="s">
        <v>1160</v>
      </c>
      <c r="D110" s="65" t="s">
        <v>1783</v>
      </c>
      <c r="E110" s="65" t="s">
        <v>341</v>
      </c>
      <c r="F110" s="65" t="s">
        <v>1775</v>
      </c>
      <c r="G110" s="65" t="s">
        <v>1776</v>
      </c>
      <c r="H110" s="65" t="s">
        <v>341</v>
      </c>
      <c r="I110" s="65" t="s">
        <v>341</v>
      </c>
      <c r="J110" s="65" t="s">
        <v>341</v>
      </c>
      <c r="K110" s="65" t="s">
        <v>341</v>
      </c>
      <c r="L110" s="65" t="s">
        <v>341</v>
      </c>
      <c r="M110" s="65" t="s">
        <v>341</v>
      </c>
      <c r="N110" s="65" t="s">
        <v>341</v>
      </c>
      <c r="O110" s="65" t="s">
        <v>341</v>
      </c>
      <c r="P110" s="65" t="s">
        <v>341</v>
      </c>
      <c r="Q110" s="65" t="s">
        <v>341</v>
      </c>
      <c r="R110" s="65" t="s">
        <v>341</v>
      </c>
      <c r="S110" s="65" t="s">
        <v>341</v>
      </c>
      <c r="T110" s="65" t="s">
        <v>341</v>
      </c>
      <c r="U110" s="65" t="s">
        <v>341</v>
      </c>
      <c r="V110" s="65" t="s">
        <v>341</v>
      </c>
      <c r="W110" s="65" t="s">
        <v>341</v>
      </c>
      <c r="X110" s="65" t="s">
        <v>341</v>
      </c>
      <c r="Y110" s="65" t="s">
        <v>1784</v>
      </c>
      <c r="Z110" s="65" t="s">
        <v>1785</v>
      </c>
      <c r="AA110" s="65" t="s">
        <v>1786</v>
      </c>
      <c r="AB110" s="65" t="s">
        <v>341</v>
      </c>
      <c r="AC110" s="65" t="s">
        <v>341</v>
      </c>
      <c r="AD110" s="65" t="s">
        <v>341</v>
      </c>
      <c r="AE110" s="65" t="s">
        <v>341</v>
      </c>
      <c r="AF110" s="65" t="s">
        <v>341</v>
      </c>
      <c r="AG110" s="65" t="s">
        <v>341</v>
      </c>
      <c r="AH110" s="65" t="s">
        <v>341</v>
      </c>
      <c r="AI110" s="65" t="s">
        <v>341</v>
      </c>
      <c r="AJ110" s="65" t="s">
        <v>341</v>
      </c>
      <c r="AK110" s="65" t="s">
        <v>341</v>
      </c>
      <c r="AL110" s="65" t="s">
        <v>341</v>
      </c>
      <c r="AM110" s="65" t="s">
        <v>341</v>
      </c>
      <c r="AN110" s="65" t="s">
        <v>341</v>
      </c>
      <c r="AO110" s="65" t="s">
        <v>341</v>
      </c>
      <c r="AP110" s="65" t="s">
        <v>341</v>
      </c>
      <c r="AQ110" s="65" t="s">
        <v>341</v>
      </c>
      <c r="AR110" s="65" t="s">
        <v>341</v>
      </c>
      <c r="AS110" s="65" t="s">
        <v>341</v>
      </c>
      <c r="AT110" s="65" t="s">
        <v>341</v>
      </c>
      <c r="AU110" s="65" t="s">
        <v>341</v>
      </c>
      <c r="AV110" s="65" t="s">
        <v>341</v>
      </c>
      <c r="AW110" s="65" t="s">
        <v>341</v>
      </c>
      <c r="AX110" s="65" t="s">
        <v>341</v>
      </c>
      <c r="AY110" s="65" t="s">
        <v>341</v>
      </c>
    </row>
    <row r="111" spans="1:51" x14ac:dyDescent="0.2">
      <c r="A111" s="65" t="s">
        <v>1773</v>
      </c>
      <c r="B111" s="65" t="s">
        <v>1161</v>
      </c>
      <c r="C111" s="65" t="s">
        <v>1162</v>
      </c>
      <c r="D111" s="65" t="s">
        <v>1787</v>
      </c>
      <c r="E111" s="65" t="s">
        <v>341</v>
      </c>
      <c r="F111" s="65" t="s">
        <v>1775</v>
      </c>
      <c r="G111" s="65" t="s">
        <v>1776</v>
      </c>
      <c r="H111" s="65" t="s">
        <v>341</v>
      </c>
      <c r="I111" s="65" t="s">
        <v>341</v>
      </c>
      <c r="J111" s="65" t="s">
        <v>341</v>
      </c>
      <c r="K111" s="65" t="s">
        <v>341</v>
      </c>
      <c r="L111" s="65" t="s">
        <v>341</v>
      </c>
      <c r="M111" s="65" t="s">
        <v>341</v>
      </c>
      <c r="N111" s="65" t="s">
        <v>341</v>
      </c>
      <c r="O111" s="65" t="s">
        <v>341</v>
      </c>
      <c r="P111" s="65" t="s">
        <v>341</v>
      </c>
      <c r="Q111" s="65" t="s">
        <v>341</v>
      </c>
      <c r="R111" s="65" t="s">
        <v>341</v>
      </c>
      <c r="S111" s="65" t="s">
        <v>341</v>
      </c>
      <c r="T111" s="65" t="s">
        <v>341</v>
      </c>
      <c r="U111" s="65" t="s">
        <v>341</v>
      </c>
      <c r="V111" s="65" t="s">
        <v>341</v>
      </c>
      <c r="W111" s="65" t="s">
        <v>341</v>
      </c>
      <c r="X111" s="65" t="s">
        <v>341</v>
      </c>
      <c r="Y111" s="65" t="s">
        <v>882</v>
      </c>
      <c r="Z111" s="65" t="s">
        <v>1360</v>
      </c>
      <c r="AA111" s="65" t="s">
        <v>1788</v>
      </c>
      <c r="AB111" s="65" t="s">
        <v>341</v>
      </c>
      <c r="AC111" s="65" t="s">
        <v>341</v>
      </c>
      <c r="AD111" s="65" t="s">
        <v>341</v>
      </c>
      <c r="AE111" s="65" t="s">
        <v>341</v>
      </c>
      <c r="AF111" s="65" t="s">
        <v>341</v>
      </c>
      <c r="AG111" s="65" t="s">
        <v>341</v>
      </c>
      <c r="AH111" s="65" t="s">
        <v>341</v>
      </c>
      <c r="AI111" s="65" t="s">
        <v>341</v>
      </c>
      <c r="AJ111" s="65" t="s">
        <v>341</v>
      </c>
      <c r="AK111" s="65" t="s">
        <v>341</v>
      </c>
      <c r="AL111" s="65" t="s">
        <v>341</v>
      </c>
      <c r="AM111" s="65" t="s">
        <v>341</v>
      </c>
      <c r="AN111" s="65" t="s">
        <v>341</v>
      </c>
      <c r="AO111" s="65" t="s">
        <v>341</v>
      </c>
      <c r="AP111" s="65" t="s">
        <v>341</v>
      </c>
      <c r="AQ111" s="65" t="s">
        <v>341</v>
      </c>
      <c r="AR111" s="65" t="s">
        <v>341</v>
      </c>
      <c r="AS111" s="65" t="s">
        <v>341</v>
      </c>
      <c r="AT111" s="65" t="s">
        <v>341</v>
      </c>
      <c r="AU111" s="65" t="s">
        <v>341</v>
      </c>
      <c r="AV111" s="65" t="s">
        <v>341</v>
      </c>
      <c r="AW111" s="65" t="s">
        <v>341</v>
      </c>
      <c r="AX111" s="65" t="s">
        <v>341</v>
      </c>
      <c r="AY111" s="65" t="s">
        <v>341</v>
      </c>
    </row>
    <row r="112" spans="1:51" x14ac:dyDescent="0.2">
      <c r="A112" s="65" t="s">
        <v>1773</v>
      </c>
      <c r="B112" s="65" t="s">
        <v>1163</v>
      </c>
      <c r="C112" s="65" t="s">
        <v>1164</v>
      </c>
      <c r="D112" s="65" t="s">
        <v>1789</v>
      </c>
      <c r="E112" s="65" t="s">
        <v>341</v>
      </c>
      <c r="F112" s="65" t="s">
        <v>1775</v>
      </c>
      <c r="G112" s="65" t="s">
        <v>1776</v>
      </c>
      <c r="H112" s="65" t="s">
        <v>341</v>
      </c>
      <c r="I112" s="65" t="s">
        <v>341</v>
      </c>
      <c r="J112" s="65" t="s">
        <v>341</v>
      </c>
      <c r="K112" s="65" t="s">
        <v>341</v>
      </c>
      <c r="L112" s="65" t="s">
        <v>341</v>
      </c>
      <c r="M112" s="65" t="s">
        <v>341</v>
      </c>
      <c r="N112" s="65" t="s">
        <v>341</v>
      </c>
      <c r="O112" s="65" t="s">
        <v>341</v>
      </c>
      <c r="P112" s="65" t="s">
        <v>341</v>
      </c>
      <c r="Q112" s="65" t="s">
        <v>341</v>
      </c>
      <c r="R112" s="65" t="s">
        <v>341</v>
      </c>
      <c r="S112" s="65" t="s">
        <v>341</v>
      </c>
      <c r="T112" s="65" t="s">
        <v>341</v>
      </c>
      <c r="U112" s="65" t="s">
        <v>341</v>
      </c>
      <c r="V112" s="65" t="s">
        <v>341</v>
      </c>
      <c r="W112" s="65" t="s">
        <v>341</v>
      </c>
      <c r="X112" s="65" t="s">
        <v>341</v>
      </c>
      <c r="Y112" s="65" t="s">
        <v>1777</v>
      </c>
      <c r="Z112" s="65" t="s">
        <v>1360</v>
      </c>
      <c r="AA112" s="65" t="s">
        <v>1790</v>
      </c>
      <c r="AB112" s="65" t="s">
        <v>341</v>
      </c>
      <c r="AC112" s="65" t="s">
        <v>341</v>
      </c>
      <c r="AD112" s="65" t="s">
        <v>341</v>
      </c>
      <c r="AE112" s="65" t="s">
        <v>341</v>
      </c>
      <c r="AF112" s="65" t="s">
        <v>341</v>
      </c>
      <c r="AG112" s="65" t="s">
        <v>341</v>
      </c>
      <c r="AH112" s="65" t="s">
        <v>341</v>
      </c>
      <c r="AI112" s="65" t="s">
        <v>341</v>
      </c>
      <c r="AJ112" s="65" t="s">
        <v>341</v>
      </c>
      <c r="AK112" s="65" t="s">
        <v>341</v>
      </c>
      <c r="AL112" s="65" t="s">
        <v>341</v>
      </c>
      <c r="AM112" s="65" t="s">
        <v>341</v>
      </c>
      <c r="AN112" s="65" t="s">
        <v>341</v>
      </c>
      <c r="AO112" s="65" t="s">
        <v>341</v>
      </c>
      <c r="AP112" s="65" t="s">
        <v>341</v>
      </c>
      <c r="AQ112" s="65" t="s">
        <v>341</v>
      </c>
      <c r="AR112" s="65" t="s">
        <v>341</v>
      </c>
      <c r="AS112" s="65" t="s">
        <v>341</v>
      </c>
      <c r="AT112" s="65" t="s">
        <v>341</v>
      </c>
      <c r="AU112" s="65" t="s">
        <v>341</v>
      </c>
      <c r="AV112" s="65" t="s">
        <v>341</v>
      </c>
      <c r="AW112" s="65" t="s">
        <v>341</v>
      </c>
      <c r="AX112" s="65" t="s">
        <v>341</v>
      </c>
      <c r="AY112" s="65" t="s">
        <v>341</v>
      </c>
    </row>
    <row r="113" spans="1:51" x14ac:dyDescent="0.2">
      <c r="A113" s="65" t="s">
        <v>1773</v>
      </c>
      <c r="B113" s="65" t="s">
        <v>1165</v>
      </c>
      <c r="C113" s="65" t="s">
        <v>1166</v>
      </c>
      <c r="D113" s="65" t="s">
        <v>1791</v>
      </c>
      <c r="E113" s="65" t="s">
        <v>341</v>
      </c>
      <c r="F113" s="65" t="s">
        <v>1775</v>
      </c>
      <c r="G113" s="65" t="s">
        <v>1776</v>
      </c>
      <c r="H113" s="65" t="s">
        <v>341</v>
      </c>
      <c r="I113" s="65" t="s">
        <v>341</v>
      </c>
      <c r="J113" s="65" t="s">
        <v>341</v>
      </c>
      <c r="K113" s="65" t="s">
        <v>341</v>
      </c>
      <c r="L113" s="65" t="s">
        <v>341</v>
      </c>
      <c r="M113" s="65" t="s">
        <v>341</v>
      </c>
      <c r="N113" s="65" t="s">
        <v>341</v>
      </c>
      <c r="O113" s="65" t="s">
        <v>341</v>
      </c>
      <c r="P113" s="65" t="s">
        <v>341</v>
      </c>
      <c r="Q113" s="65" t="s">
        <v>341</v>
      </c>
      <c r="R113" s="65" t="s">
        <v>341</v>
      </c>
      <c r="S113" s="65" t="s">
        <v>341</v>
      </c>
      <c r="T113" s="65" t="s">
        <v>341</v>
      </c>
      <c r="U113" s="65" t="s">
        <v>341</v>
      </c>
      <c r="V113" s="65" t="s">
        <v>341</v>
      </c>
      <c r="W113" s="65" t="s">
        <v>341</v>
      </c>
      <c r="X113" s="65" t="s">
        <v>341</v>
      </c>
      <c r="Y113" s="65" t="s">
        <v>1777</v>
      </c>
      <c r="Z113" s="65" t="s">
        <v>1360</v>
      </c>
      <c r="AA113" s="65" t="s">
        <v>1792</v>
      </c>
      <c r="AB113" s="65" t="s">
        <v>341</v>
      </c>
      <c r="AC113" s="65" t="s">
        <v>341</v>
      </c>
      <c r="AD113" s="65" t="s">
        <v>341</v>
      </c>
      <c r="AE113" s="65" t="s">
        <v>341</v>
      </c>
      <c r="AF113" s="65" t="s">
        <v>341</v>
      </c>
      <c r="AG113" s="65" t="s">
        <v>341</v>
      </c>
      <c r="AH113" s="65" t="s">
        <v>341</v>
      </c>
      <c r="AI113" s="65" t="s">
        <v>341</v>
      </c>
      <c r="AJ113" s="65" t="s">
        <v>341</v>
      </c>
      <c r="AK113" s="65" t="s">
        <v>341</v>
      </c>
      <c r="AL113" s="65" t="s">
        <v>341</v>
      </c>
      <c r="AM113" s="65" t="s">
        <v>341</v>
      </c>
      <c r="AN113" s="65" t="s">
        <v>341</v>
      </c>
      <c r="AO113" s="65" t="s">
        <v>341</v>
      </c>
      <c r="AP113" s="65" t="s">
        <v>341</v>
      </c>
      <c r="AQ113" s="65" t="s">
        <v>341</v>
      </c>
      <c r="AR113" s="65" t="s">
        <v>341</v>
      </c>
      <c r="AS113" s="65" t="s">
        <v>341</v>
      </c>
      <c r="AT113" s="65" t="s">
        <v>341</v>
      </c>
      <c r="AU113" s="65" t="s">
        <v>341</v>
      </c>
      <c r="AV113" s="65" t="s">
        <v>341</v>
      </c>
      <c r="AW113" s="65" t="s">
        <v>341</v>
      </c>
      <c r="AX113" s="65" t="s">
        <v>341</v>
      </c>
      <c r="AY113" s="65" t="s">
        <v>341</v>
      </c>
    </row>
    <row r="114" spans="1:51" x14ac:dyDescent="0.2">
      <c r="A114" s="65" t="s">
        <v>1773</v>
      </c>
      <c r="B114" s="65" t="s">
        <v>1169</v>
      </c>
      <c r="C114" s="65" t="s">
        <v>1170</v>
      </c>
      <c r="D114" s="65" t="s">
        <v>1793</v>
      </c>
      <c r="E114" s="65" t="s">
        <v>341</v>
      </c>
      <c r="F114" s="65" t="s">
        <v>1775</v>
      </c>
      <c r="G114" s="65" t="s">
        <v>1776</v>
      </c>
      <c r="H114" s="65" t="s">
        <v>341</v>
      </c>
      <c r="I114" s="65" t="s">
        <v>341</v>
      </c>
      <c r="J114" s="65" t="s">
        <v>341</v>
      </c>
      <c r="K114" s="65" t="s">
        <v>341</v>
      </c>
      <c r="L114" s="65" t="s">
        <v>341</v>
      </c>
      <c r="M114" s="65" t="s">
        <v>341</v>
      </c>
      <c r="N114" s="65" t="s">
        <v>341</v>
      </c>
      <c r="O114" s="65" t="s">
        <v>341</v>
      </c>
      <c r="P114" s="65" t="s">
        <v>341</v>
      </c>
      <c r="Q114" s="65" t="s">
        <v>341</v>
      </c>
      <c r="R114" s="65" t="s">
        <v>341</v>
      </c>
      <c r="S114" s="65" t="s">
        <v>341</v>
      </c>
      <c r="T114" s="65" t="s">
        <v>341</v>
      </c>
      <c r="U114" s="65" t="s">
        <v>341</v>
      </c>
      <c r="V114" s="65" t="s">
        <v>341</v>
      </c>
      <c r="W114" s="65" t="s">
        <v>341</v>
      </c>
      <c r="X114" s="65" t="s">
        <v>341</v>
      </c>
      <c r="Y114" s="65" t="s">
        <v>1777</v>
      </c>
      <c r="Z114" s="65" t="s">
        <v>1360</v>
      </c>
      <c r="AA114" s="65" t="s">
        <v>1794</v>
      </c>
      <c r="AB114" s="65" t="s">
        <v>341</v>
      </c>
      <c r="AC114" s="65" t="s">
        <v>341</v>
      </c>
      <c r="AD114" s="65" t="s">
        <v>341</v>
      </c>
      <c r="AE114" s="65" t="s">
        <v>341</v>
      </c>
      <c r="AF114" s="65" t="s">
        <v>341</v>
      </c>
      <c r="AG114" s="65" t="s">
        <v>341</v>
      </c>
      <c r="AH114" s="65" t="s">
        <v>341</v>
      </c>
      <c r="AI114" s="65" t="s">
        <v>341</v>
      </c>
      <c r="AJ114" s="65" t="s">
        <v>341</v>
      </c>
      <c r="AK114" s="65" t="s">
        <v>341</v>
      </c>
      <c r="AL114" s="65" t="s">
        <v>341</v>
      </c>
      <c r="AM114" s="65" t="s">
        <v>341</v>
      </c>
      <c r="AN114" s="65" t="s">
        <v>341</v>
      </c>
      <c r="AO114" s="65" t="s">
        <v>341</v>
      </c>
      <c r="AP114" s="65" t="s">
        <v>341</v>
      </c>
      <c r="AQ114" s="65" t="s">
        <v>341</v>
      </c>
      <c r="AR114" s="65" t="s">
        <v>341</v>
      </c>
      <c r="AS114" s="65" t="s">
        <v>341</v>
      </c>
      <c r="AT114" s="65" t="s">
        <v>341</v>
      </c>
      <c r="AU114" s="65" t="s">
        <v>341</v>
      </c>
      <c r="AV114" s="65" t="s">
        <v>341</v>
      </c>
      <c r="AW114" s="65" t="s">
        <v>341</v>
      </c>
      <c r="AX114" s="65" t="s">
        <v>341</v>
      </c>
      <c r="AY114" s="65" t="s">
        <v>341</v>
      </c>
    </row>
    <row r="115" spans="1:51" x14ac:dyDescent="0.2">
      <c r="A115" s="65" t="s">
        <v>1773</v>
      </c>
      <c r="B115" s="65" t="s">
        <v>1171</v>
      </c>
      <c r="C115" s="65" t="s">
        <v>1172</v>
      </c>
      <c r="D115" s="65" t="s">
        <v>1795</v>
      </c>
      <c r="E115" s="65" t="s">
        <v>341</v>
      </c>
      <c r="F115" s="65" t="s">
        <v>1775</v>
      </c>
      <c r="G115" s="65" t="s">
        <v>1776</v>
      </c>
      <c r="H115" s="65" t="s">
        <v>341</v>
      </c>
      <c r="I115" s="65" t="s">
        <v>341</v>
      </c>
      <c r="J115" s="65" t="s">
        <v>341</v>
      </c>
      <c r="K115" s="65" t="s">
        <v>341</v>
      </c>
      <c r="L115" s="65" t="s">
        <v>341</v>
      </c>
      <c r="M115" s="65" t="s">
        <v>341</v>
      </c>
      <c r="N115" s="65" t="s">
        <v>341</v>
      </c>
      <c r="O115" s="65" t="s">
        <v>341</v>
      </c>
      <c r="P115" s="65" t="s">
        <v>341</v>
      </c>
      <c r="Q115" s="65" t="s">
        <v>341</v>
      </c>
      <c r="R115" s="65" t="s">
        <v>341</v>
      </c>
      <c r="S115" s="65" t="s">
        <v>341</v>
      </c>
      <c r="T115" s="65" t="s">
        <v>341</v>
      </c>
      <c r="U115" s="65" t="s">
        <v>341</v>
      </c>
      <c r="V115" s="65" t="s">
        <v>341</v>
      </c>
      <c r="W115" s="65" t="s">
        <v>341</v>
      </c>
      <c r="X115" s="65" t="s">
        <v>341</v>
      </c>
      <c r="Y115" s="65" t="s">
        <v>1777</v>
      </c>
      <c r="Z115" s="65" t="s">
        <v>1360</v>
      </c>
      <c r="AA115" s="65" t="s">
        <v>1796</v>
      </c>
      <c r="AB115" s="65" t="s">
        <v>341</v>
      </c>
      <c r="AC115" s="65" t="s">
        <v>341</v>
      </c>
      <c r="AD115" s="65" t="s">
        <v>341</v>
      </c>
      <c r="AE115" s="65" t="s">
        <v>341</v>
      </c>
      <c r="AF115" s="65" t="s">
        <v>341</v>
      </c>
      <c r="AG115" s="65" t="s">
        <v>341</v>
      </c>
      <c r="AH115" s="65" t="s">
        <v>341</v>
      </c>
      <c r="AI115" s="65" t="s">
        <v>341</v>
      </c>
      <c r="AJ115" s="65" t="s">
        <v>341</v>
      </c>
      <c r="AK115" s="65" t="s">
        <v>341</v>
      </c>
      <c r="AL115" s="65" t="s">
        <v>341</v>
      </c>
      <c r="AM115" s="65" t="s">
        <v>341</v>
      </c>
      <c r="AN115" s="65" t="s">
        <v>341</v>
      </c>
      <c r="AO115" s="65" t="s">
        <v>341</v>
      </c>
      <c r="AP115" s="65" t="s">
        <v>341</v>
      </c>
      <c r="AQ115" s="65" t="s">
        <v>341</v>
      </c>
      <c r="AR115" s="65" t="s">
        <v>341</v>
      </c>
      <c r="AS115" s="65" t="s">
        <v>341</v>
      </c>
      <c r="AT115" s="65" t="s">
        <v>341</v>
      </c>
      <c r="AU115" s="65" t="s">
        <v>341</v>
      </c>
      <c r="AV115" s="65" t="s">
        <v>341</v>
      </c>
      <c r="AW115" s="65" t="s">
        <v>341</v>
      </c>
      <c r="AX115" s="65" t="s">
        <v>341</v>
      </c>
      <c r="AY115" s="65" t="s">
        <v>341</v>
      </c>
    </row>
    <row r="116" spans="1:51" x14ac:dyDescent="0.2">
      <c r="A116" s="65" t="s">
        <v>1773</v>
      </c>
      <c r="B116" s="65" t="s">
        <v>1173</v>
      </c>
      <c r="C116" s="65" t="s">
        <v>1174</v>
      </c>
      <c r="D116" s="65" t="s">
        <v>1797</v>
      </c>
      <c r="E116" s="65" t="s">
        <v>341</v>
      </c>
      <c r="F116" s="65" t="s">
        <v>1775</v>
      </c>
      <c r="G116" s="65" t="s">
        <v>1776</v>
      </c>
      <c r="H116" s="65" t="s">
        <v>341</v>
      </c>
      <c r="I116" s="65" t="s">
        <v>341</v>
      </c>
      <c r="J116" s="65" t="s">
        <v>341</v>
      </c>
      <c r="K116" s="65" t="s">
        <v>341</v>
      </c>
      <c r="L116" s="65" t="s">
        <v>341</v>
      </c>
      <c r="M116" s="65" t="s">
        <v>341</v>
      </c>
      <c r="N116" s="65" t="s">
        <v>341</v>
      </c>
      <c r="O116" s="65" t="s">
        <v>341</v>
      </c>
      <c r="P116" s="65" t="s">
        <v>341</v>
      </c>
      <c r="Q116" s="65" t="s">
        <v>341</v>
      </c>
      <c r="R116" s="65" t="s">
        <v>341</v>
      </c>
      <c r="S116" s="65" t="s">
        <v>341</v>
      </c>
      <c r="T116" s="65" t="s">
        <v>341</v>
      </c>
      <c r="U116" s="65" t="s">
        <v>341</v>
      </c>
      <c r="V116" s="65" t="s">
        <v>341</v>
      </c>
      <c r="W116" s="65" t="s">
        <v>341</v>
      </c>
      <c r="X116" s="65" t="s">
        <v>341</v>
      </c>
      <c r="Y116" s="65" t="s">
        <v>1174</v>
      </c>
      <c r="Z116" s="65" t="s">
        <v>1360</v>
      </c>
      <c r="AA116" s="65" t="s">
        <v>1798</v>
      </c>
      <c r="AB116" s="65" t="s">
        <v>341</v>
      </c>
      <c r="AC116" s="65" t="s">
        <v>341</v>
      </c>
      <c r="AD116" s="65" t="s">
        <v>341</v>
      </c>
      <c r="AE116" s="65" t="s">
        <v>341</v>
      </c>
      <c r="AF116" s="65" t="s">
        <v>341</v>
      </c>
      <c r="AG116" s="65" t="s">
        <v>341</v>
      </c>
      <c r="AH116" s="65" t="s">
        <v>341</v>
      </c>
      <c r="AI116" s="65" t="s">
        <v>341</v>
      </c>
      <c r="AJ116" s="65" t="s">
        <v>341</v>
      </c>
      <c r="AK116" s="65" t="s">
        <v>341</v>
      </c>
      <c r="AL116" s="65" t="s">
        <v>341</v>
      </c>
      <c r="AM116" s="65" t="s">
        <v>341</v>
      </c>
      <c r="AN116" s="65" t="s">
        <v>341</v>
      </c>
      <c r="AO116" s="65" t="s">
        <v>341</v>
      </c>
      <c r="AP116" s="65" t="s">
        <v>341</v>
      </c>
      <c r="AQ116" s="65" t="s">
        <v>341</v>
      </c>
      <c r="AR116" s="65" t="s">
        <v>341</v>
      </c>
      <c r="AS116" s="65" t="s">
        <v>341</v>
      </c>
      <c r="AT116" s="65" t="s">
        <v>341</v>
      </c>
      <c r="AU116" s="65" t="s">
        <v>341</v>
      </c>
      <c r="AV116" s="65" t="s">
        <v>341</v>
      </c>
      <c r="AW116" s="65" t="s">
        <v>341</v>
      </c>
      <c r="AX116" s="65" t="s">
        <v>341</v>
      </c>
      <c r="AY116" s="65" t="s">
        <v>341</v>
      </c>
    </row>
    <row r="117" spans="1:51" x14ac:dyDescent="0.2">
      <c r="A117" s="65" t="s">
        <v>1773</v>
      </c>
      <c r="B117" s="65" t="s">
        <v>1175</v>
      </c>
      <c r="C117" s="65" t="s">
        <v>1176</v>
      </c>
      <c r="D117" s="65" t="s">
        <v>1799</v>
      </c>
      <c r="E117" s="65" t="s">
        <v>341</v>
      </c>
      <c r="F117" s="65" t="s">
        <v>1775</v>
      </c>
      <c r="G117" s="65" t="s">
        <v>1776</v>
      </c>
      <c r="H117" s="65" t="s">
        <v>341</v>
      </c>
      <c r="I117" s="65" t="s">
        <v>341</v>
      </c>
      <c r="J117" s="65" t="s">
        <v>341</v>
      </c>
      <c r="K117" s="65" t="s">
        <v>341</v>
      </c>
      <c r="L117" s="65" t="s">
        <v>341</v>
      </c>
      <c r="M117" s="65" t="s">
        <v>341</v>
      </c>
      <c r="N117" s="65" t="s">
        <v>341</v>
      </c>
      <c r="O117" s="65" t="s">
        <v>341</v>
      </c>
      <c r="P117" s="65" t="s">
        <v>341</v>
      </c>
      <c r="Q117" s="65" t="s">
        <v>341</v>
      </c>
      <c r="R117" s="65" t="s">
        <v>341</v>
      </c>
      <c r="S117" s="65" t="s">
        <v>341</v>
      </c>
      <c r="T117" s="65" t="s">
        <v>341</v>
      </c>
      <c r="U117" s="65" t="s">
        <v>341</v>
      </c>
      <c r="V117" s="65" t="s">
        <v>341</v>
      </c>
      <c r="W117" s="65" t="s">
        <v>341</v>
      </c>
      <c r="X117" s="65" t="s">
        <v>341</v>
      </c>
      <c r="Y117" s="65" t="s">
        <v>1777</v>
      </c>
      <c r="Z117" s="65" t="s">
        <v>1360</v>
      </c>
      <c r="AA117" s="65" t="s">
        <v>1800</v>
      </c>
      <c r="AB117" s="65" t="s">
        <v>341</v>
      </c>
      <c r="AC117" s="65" t="s">
        <v>341</v>
      </c>
      <c r="AD117" s="65" t="s">
        <v>341</v>
      </c>
      <c r="AE117" s="65" t="s">
        <v>341</v>
      </c>
      <c r="AF117" s="65" t="s">
        <v>341</v>
      </c>
      <c r="AG117" s="65" t="s">
        <v>341</v>
      </c>
      <c r="AH117" s="65" t="s">
        <v>341</v>
      </c>
      <c r="AI117" s="65" t="s">
        <v>341</v>
      </c>
      <c r="AJ117" s="65" t="s">
        <v>341</v>
      </c>
      <c r="AK117" s="65" t="s">
        <v>341</v>
      </c>
      <c r="AL117" s="65" t="s">
        <v>341</v>
      </c>
      <c r="AM117" s="65" t="s">
        <v>341</v>
      </c>
      <c r="AN117" s="65" t="s">
        <v>341</v>
      </c>
      <c r="AO117" s="65" t="s">
        <v>341</v>
      </c>
      <c r="AP117" s="65" t="s">
        <v>341</v>
      </c>
      <c r="AQ117" s="65" t="s">
        <v>341</v>
      </c>
      <c r="AR117" s="65" t="s">
        <v>341</v>
      </c>
      <c r="AS117" s="65" t="s">
        <v>341</v>
      </c>
      <c r="AT117" s="65" t="s">
        <v>341</v>
      </c>
      <c r="AU117" s="65" t="s">
        <v>341</v>
      </c>
      <c r="AV117" s="65" t="s">
        <v>341</v>
      </c>
      <c r="AW117" s="65" t="s">
        <v>341</v>
      </c>
      <c r="AX117" s="65" t="s">
        <v>341</v>
      </c>
      <c r="AY117" s="65" t="s">
        <v>341</v>
      </c>
    </row>
    <row r="118" spans="1:51" x14ac:dyDescent="0.2">
      <c r="A118" s="65" t="s">
        <v>1773</v>
      </c>
      <c r="B118" s="65" t="s">
        <v>1177</v>
      </c>
      <c r="C118" s="65" t="s">
        <v>1178</v>
      </c>
      <c r="D118" s="65" t="s">
        <v>1801</v>
      </c>
      <c r="E118" s="65" t="s">
        <v>341</v>
      </c>
      <c r="F118" s="65" t="s">
        <v>1775</v>
      </c>
      <c r="G118" s="65" t="s">
        <v>1776</v>
      </c>
      <c r="H118" s="65" t="s">
        <v>341</v>
      </c>
      <c r="I118" s="65" t="s">
        <v>341</v>
      </c>
      <c r="J118" s="65" t="s">
        <v>341</v>
      </c>
      <c r="K118" s="65" t="s">
        <v>341</v>
      </c>
      <c r="L118" s="65" t="s">
        <v>341</v>
      </c>
      <c r="M118" s="65" t="s">
        <v>341</v>
      </c>
      <c r="N118" s="65" t="s">
        <v>341</v>
      </c>
      <c r="O118" s="65" t="s">
        <v>341</v>
      </c>
      <c r="P118" s="65" t="s">
        <v>341</v>
      </c>
      <c r="Q118" s="65" t="s">
        <v>341</v>
      </c>
      <c r="R118" s="65" t="s">
        <v>341</v>
      </c>
      <c r="S118" s="65" t="s">
        <v>341</v>
      </c>
      <c r="T118" s="65" t="s">
        <v>341</v>
      </c>
      <c r="U118" s="65" t="s">
        <v>341</v>
      </c>
      <c r="V118" s="65" t="s">
        <v>341</v>
      </c>
      <c r="W118" s="65" t="s">
        <v>341</v>
      </c>
      <c r="X118" s="65" t="s">
        <v>341</v>
      </c>
      <c r="Y118" s="65" t="s">
        <v>1802</v>
      </c>
      <c r="Z118" s="65" t="s">
        <v>1785</v>
      </c>
      <c r="AA118" s="65" t="s">
        <v>1803</v>
      </c>
      <c r="AB118" s="65" t="s">
        <v>341</v>
      </c>
      <c r="AC118" s="65" t="s">
        <v>341</v>
      </c>
      <c r="AD118" s="65" t="s">
        <v>341</v>
      </c>
      <c r="AE118" s="65" t="s">
        <v>341</v>
      </c>
      <c r="AF118" s="65" t="s">
        <v>341</v>
      </c>
      <c r="AG118" s="65" t="s">
        <v>341</v>
      </c>
      <c r="AH118" s="65" t="s">
        <v>341</v>
      </c>
      <c r="AI118" s="65" t="s">
        <v>341</v>
      </c>
      <c r="AJ118" s="65" t="s">
        <v>341</v>
      </c>
      <c r="AK118" s="65" t="s">
        <v>341</v>
      </c>
      <c r="AL118" s="65" t="s">
        <v>341</v>
      </c>
      <c r="AM118" s="65" t="s">
        <v>341</v>
      </c>
      <c r="AN118" s="65" t="s">
        <v>341</v>
      </c>
      <c r="AO118" s="65" t="s">
        <v>341</v>
      </c>
      <c r="AP118" s="65" t="s">
        <v>341</v>
      </c>
      <c r="AQ118" s="65" t="s">
        <v>341</v>
      </c>
      <c r="AR118" s="65" t="s">
        <v>341</v>
      </c>
      <c r="AS118" s="65" t="s">
        <v>341</v>
      </c>
      <c r="AT118" s="65" t="s">
        <v>341</v>
      </c>
      <c r="AU118" s="65" t="s">
        <v>341</v>
      </c>
      <c r="AV118" s="65" t="s">
        <v>341</v>
      </c>
      <c r="AW118" s="65" t="s">
        <v>341</v>
      </c>
      <c r="AX118" s="65" t="s">
        <v>341</v>
      </c>
      <c r="AY118" s="65" t="s">
        <v>341</v>
      </c>
    </row>
    <row r="119" spans="1:51" x14ac:dyDescent="0.2">
      <c r="A119" s="65" t="s">
        <v>1773</v>
      </c>
      <c r="B119" s="65" t="s">
        <v>1179</v>
      </c>
      <c r="C119" s="65" t="s">
        <v>1180</v>
      </c>
      <c r="D119" s="65" t="s">
        <v>1804</v>
      </c>
      <c r="E119" s="65" t="s">
        <v>341</v>
      </c>
      <c r="F119" s="65" t="s">
        <v>1775</v>
      </c>
      <c r="G119" s="65" t="s">
        <v>1776</v>
      </c>
      <c r="H119" s="65" t="s">
        <v>341</v>
      </c>
      <c r="I119" s="65" t="s">
        <v>341</v>
      </c>
      <c r="J119" s="65" t="s">
        <v>341</v>
      </c>
      <c r="K119" s="65" t="s">
        <v>341</v>
      </c>
      <c r="L119" s="65" t="s">
        <v>341</v>
      </c>
      <c r="M119" s="65" t="s">
        <v>341</v>
      </c>
      <c r="N119" s="65" t="s">
        <v>341</v>
      </c>
      <c r="O119" s="65" t="s">
        <v>341</v>
      </c>
      <c r="P119" s="65" t="s">
        <v>341</v>
      </c>
      <c r="Q119" s="65" t="s">
        <v>341</v>
      </c>
      <c r="R119" s="65" t="s">
        <v>341</v>
      </c>
      <c r="S119" s="65" t="s">
        <v>341</v>
      </c>
      <c r="T119" s="65" t="s">
        <v>341</v>
      </c>
      <c r="U119" s="65" t="s">
        <v>341</v>
      </c>
      <c r="V119" s="65" t="s">
        <v>341</v>
      </c>
      <c r="W119" s="65" t="s">
        <v>341</v>
      </c>
      <c r="X119" s="65" t="s">
        <v>341</v>
      </c>
      <c r="Y119" s="65" t="s">
        <v>1180</v>
      </c>
      <c r="Z119" s="65" t="s">
        <v>1785</v>
      </c>
      <c r="AA119" s="65" t="s">
        <v>1805</v>
      </c>
      <c r="AB119" s="65" t="s">
        <v>341</v>
      </c>
      <c r="AC119" s="65" t="s">
        <v>341</v>
      </c>
      <c r="AD119" s="65" t="s">
        <v>341</v>
      </c>
      <c r="AE119" s="65" t="s">
        <v>341</v>
      </c>
      <c r="AF119" s="65" t="s">
        <v>341</v>
      </c>
      <c r="AG119" s="65" t="s">
        <v>341</v>
      </c>
      <c r="AH119" s="65" t="s">
        <v>341</v>
      </c>
      <c r="AI119" s="65" t="s">
        <v>341</v>
      </c>
      <c r="AJ119" s="65" t="s">
        <v>341</v>
      </c>
      <c r="AK119" s="65" t="s">
        <v>341</v>
      </c>
      <c r="AL119" s="65" t="s">
        <v>341</v>
      </c>
      <c r="AM119" s="65" t="s">
        <v>341</v>
      </c>
      <c r="AN119" s="65" t="s">
        <v>341</v>
      </c>
      <c r="AO119" s="65" t="s">
        <v>341</v>
      </c>
      <c r="AP119" s="65" t="s">
        <v>341</v>
      </c>
      <c r="AQ119" s="65" t="s">
        <v>341</v>
      </c>
      <c r="AR119" s="65" t="s">
        <v>341</v>
      </c>
      <c r="AS119" s="65" t="s">
        <v>341</v>
      </c>
      <c r="AT119" s="65" t="s">
        <v>341</v>
      </c>
      <c r="AU119" s="65" t="s">
        <v>341</v>
      </c>
      <c r="AV119" s="65" t="s">
        <v>341</v>
      </c>
      <c r="AW119" s="65" t="s">
        <v>341</v>
      </c>
      <c r="AX119" s="65" t="s">
        <v>341</v>
      </c>
      <c r="AY119" s="65" t="s">
        <v>341</v>
      </c>
    </row>
    <row r="120" spans="1:51" x14ac:dyDescent="0.2">
      <c r="A120" s="65" t="s">
        <v>1773</v>
      </c>
      <c r="B120" s="65" t="s">
        <v>1181</v>
      </c>
      <c r="C120" s="65" t="s">
        <v>1182</v>
      </c>
      <c r="D120" s="65" t="s">
        <v>1806</v>
      </c>
      <c r="E120" s="65" t="s">
        <v>341</v>
      </c>
      <c r="F120" s="65" t="s">
        <v>1775</v>
      </c>
      <c r="G120" s="65" t="s">
        <v>1776</v>
      </c>
      <c r="H120" s="65" t="s">
        <v>341</v>
      </c>
      <c r="I120" s="65" t="s">
        <v>341</v>
      </c>
      <c r="J120" s="65" t="s">
        <v>341</v>
      </c>
      <c r="K120" s="65" t="s">
        <v>341</v>
      </c>
      <c r="L120" s="65" t="s">
        <v>341</v>
      </c>
      <c r="M120" s="65" t="s">
        <v>341</v>
      </c>
      <c r="N120" s="65" t="s">
        <v>341</v>
      </c>
      <c r="O120" s="65" t="s">
        <v>341</v>
      </c>
      <c r="P120" s="65" t="s">
        <v>341</v>
      </c>
      <c r="Q120" s="65" t="s">
        <v>341</v>
      </c>
      <c r="R120" s="65" t="s">
        <v>341</v>
      </c>
      <c r="S120" s="65" t="s">
        <v>341</v>
      </c>
      <c r="T120" s="65" t="s">
        <v>341</v>
      </c>
      <c r="U120" s="65" t="s">
        <v>341</v>
      </c>
      <c r="V120" s="65" t="s">
        <v>341</v>
      </c>
      <c r="W120" s="65" t="s">
        <v>341</v>
      </c>
      <c r="X120" s="65" t="s">
        <v>341</v>
      </c>
      <c r="Y120" s="65" t="s">
        <v>1777</v>
      </c>
      <c r="Z120" s="65" t="s">
        <v>1360</v>
      </c>
      <c r="AA120" s="65" t="s">
        <v>1807</v>
      </c>
      <c r="AB120" s="65" t="s">
        <v>341</v>
      </c>
      <c r="AC120" s="65" t="s">
        <v>341</v>
      </c>
      <c r="AD120" s="65" t="s">
        <v>341</v>
      </c>
      <c r="AE120" s="65" t="s">
        <v>341</v>
      </c>
      <c r="AF120" s="65" t="s">
        <v>341</v>
      </c>
      <c r="AG120" s="65" t="s">
        <v>341</v>
      </c>
      <c r="AH120" s="65" t="s">
        <v>341</v>
      </c>
      <c r="AI120" s="65" t="s">
        <v>341</v>
      </c>
      <c r="AJ120" s="65" t="s">
        <v>341</v>
      </c>
      <c r="AK120" s="65" t="s">
        <v>341</v>
      </c>
      <c r="AL120" s="65" t="s">
        <v>341</v>
      </c>
      <c r="AM120" s="65" t="s">
        <v>341</v>
      </c>
      <c r="AN120" s="65" t="s">
        <v>341</v>
      </c>
      <c r="AO120" s="65" t="s">
        <v>341</v>
      </c>
      <c r="AP120" s="65" t="s">
        <v>341</v>
      </c>
      <c r="AQ120" s="65" t="s">
        <v>341</v>
      </c>
      <c r="AR120" s="65" t="s">
        <v>341</v>
      </c>
      <c r="AS120" s="65" t="s">
        <v>341</v>
      </c>
      <c r="AT120" s="65" t="s">
        <v>341</v>
      </c>
      <c r="AU120" s="65" t="s">
        <v>341</v>
      </c>
      <c r="AV120" s="65" t="s">
        <v>341</v>
      </c>
      <c r="AW120" s="65" t="s">
        <v>341</v>
      </c>
      <c r="AX120" s="65" t="s">
        <v>341</v>
      </c>
      <c r="AY120" s="65" t="s">
        <v>341</v>
      </c>
    </row>
    <row r="121" spans="1:51" x14ac:dyDescent="0.2">
      <c r="A121" s="65" t="s">
        <v>1773</v>
      </c>
      <c r="B121" s="65" t="s">
        <v>1183</v>
      </c>
      <c r="C121" s="65" t="s">
        <v>1184</v>
      </c>
      <c r="D121" s="65" t="s">
        <v>1808</v>
      </c>
      <c r="E121" s="65" t="s">
        <v>341</v>
      </c>
      <c r="F121" s="65" t="s">
        <v>1775</v>
      </c>
      <c r="G121" s="65" t="s">
        <v>1776</v>
      </c>
      <c r="H121" s="65" t="s">
        <v>341</v>
      </c>
      <c r="I121" s="65" t="s">
        <v>341</v>
      </c>
      <c r="J121" s="65" t="s">
        <v>341</v>
      </c>
      <c r="K121" s="65" t="s">
        <v>341</v>
      </c>
      <c r="L121" s="65" t="s">
        <v>341</v>
      </c>
      <c r="M121" s="65" t="s">
        <v>341</v>
      </c>
      <c r="N121" s="65" t="s">
        <v>341</v>
      </c>
      <c r="O121" s="65" t="s">
        <v>341</v>
      </c>
      <c r="P121" s="65" t="s">
        <v>341</v>
      </c>
      <c r="Q121" s="65" t="s">
        <v>341</v>
      </c>
      <c r="R121" s="65" t="s">
        <v>341</v>
      </c>
      <c r="S121" s="65" t="s">
        <v>341</v>
      </c>
      <c r="T121" s="65" t="s">
        <v>341</v>
      </c>
      <c r="U121" s="65" t="s">
        <v>341</v>
      </c>
      <c r="V121" s="65" t="s">
        <v>341</v>
      </c>
      <c r="W121" s="65" t="s">
        <v>341</v>
      </c>
      <c r="X121" s="65" t="s">
        <v>341</v>
      </c>
      <c r="Y121" s="65" t="s">
        <v>1184</v>
      </c>
      <c r="Z121" s="65" t="s">
        <v>1785</v>
      </c>
      <c r="AA121" s="65" t="s">
        <v>1809</v>
      </c>
      <c r="AB121" s="65" t="s">
        <v>341</v>
      </c>
      <c r="AC121" s="65" t="s">
        <v>341</v>
      </c>
      <c r="AD121" s="65" t="s">
        <v>341</v>
      </c>
      <c r="AE121" s="65" t="s">
        <v>341</v>
      </c>
      <c r="AF121" s="65" t="s">
        <v>341</v>
      </c>
      <c r="AG121" s="65" t="s">
        <v>341</v>
      </c>
      <c r="AH121" s="65" t="s">
        <v>341</v>
      </c>
      <c r="AI121" s="65" t="s">
        <v>341</v>
      </c>
      <c r="AJ121" s="65" t="s">
        <v>341</v>
      </c>
      <c r="AK121" s="65" t="s">
        <v>341</v>
      </c>
      <c r="AL121" s="65" t="s">
        <v>341</v>
      </c>
      <c r="AM121" s="65" t="s">
        <v>341</v>
      </c>
      <c r="AN121" s="65" t="s">
        <v>341</v>
      </c>
      <c r="AO121" s="65" t="s">
        <v>341</v>
      </c>
      <c r="AP121" s="65" t="s">
        <v>341</v>
      </c>
      <c r="AQ121" s="65" t="s">
        <v>341</v>
      </c>
      <c r="AR121" s="65" t="s">
        <v>341</v>
      </c>
      <c r="AS121" s="65" t="s">
        <v>341</v>
      </c>
      <c r="AT121" s="65" t="s">
        <v>341</v>
      </c>
      <c r="AU121" s="65" t="s">
        <v>341</v>
      </c>
      <c r="AV121" s="65" t="s">
        <v>341</v>
      </c>
      <c r="AW121" s="65" t="s">
        <v>341</v>
      </c>
      <c r="AX121" s="65" t="s">
        <v>341</v>
      </c>
      <c r="AY121" s="65" t="s">
        <v>341</v>
      </c>
    </row>
    <row r="122" spans="1:51" x14ac:dyDescent="0.2">
      <c r="A122" s="65" t="s">
        <v>1773</v>
      </c>
      <c r="B122" s="65" t="s">
        <v>1185</v>
      </c>
      <c r="C122" s="65" t="s">
        <v>1186</v>
      </c>
      <c r="D122" s="65" t="s">
        <v>1810</v>
      </c>
      <c r="E122" s="65" t="s">
        <v>341</v>
      </c>
      <c r="F122" s="65" t="s">
        <v>1775</v>
      </c>
      <c r="G122" s="65" t="s">
        <v>1776</v>
      </c>
      <c r="H122" s="65" t="s">
        <v>341</v>
      </c>
      <c r="I122" s="65" t="s">
        <v>341</v>
      </c>
      <c r="J122" s="65" t="s">
        <v>341</v>
      </c>
      <c r="K122" s="65" t="s">
        <v>341</v>
      </c>
      <c r="L122" s="65" t="s">
        <v>341</v>
      </c>
      <c r="M122" s="65" t="s">
        <v>341</v>
      </c>
      <c r="N122" s="65" t="s">
        <v>341</v>
      </c>
      <c r="O122" s="65" t="s">
        <v>341</v>
      </c>
      <c r="P122" s="65" t="s">
        <v>341</v>
      </c>
      <c r="Q122" s="65" t="s">
        <v>341</v>
      </c>
      <c r="R122" s="65" t="s">
        <v>341</v>
      </c>
      <c r="S122" s="65" t="s">
        <v>341</v>
      </c>
      <c r="T122" s="65" t="s">
        <v>341</v>
      </c>
      <c r="U122" s="65" t="s">
        <v>341</v>
      </c>
      <c r="V122" s="65" t="s">
        <v>341</v>
      </c>
      <c r="W122" s="65" t="s">
        <v>341</v>
      </c>
      <c r="X122" s="65" t="s">
        <v>341</v>
      </c>
      <c r="Y122" s="65" t="s">
        <v>1811</v>
      </c>
      <c r="Z122" s="65" t="s">
        <v>1360</v>
      </c>
      <c r="AA122" s="65" t="s">
        <v>1812</v>
      </c>
      <c r="AB122" s="65" t="s">
        <v>341</v>
      </c>
      <c r="AC122" s="65" t="s">
        <v>341</v>
      </c>
      <c r="AD122" s="65" t="s">
        <v>341</v>
      </c>
      <c r="AE122" s="65" t="s">
        <v>341</v>
      </c>
      <c r="AF122" s="65" t="s">
        <v>341</v>
      </c>
      <c r="AG122" s="65" t="s">
        <v>341</v>
      </c>
      <c r="AH122" s="65" t="s">
        <v>341</v>
      </c>
      <c r="AI122" s="65" t="s">
        <v>341</v>
      </c>
      <c r="AJ122" s="65" t="s">
        <v>341</v>
      </c>
      <c r="AK122" s="65" t="s">
        <v>341</v>
      </c>
      <c r="AL122" s="65" t="s">
        <v>341</v>
      </c>
      <c r="AM122" s="65" t="s">
        <v>341</v>
      </c>
      <c r="AN122" s="65" t="s">
        <v>341</v>
      </c>
      <c r="AO122" s="65" t="s">
        <v>341</v>
      </c>
      <c r="AP122" s="65" t="s">
        <v>341</v>
      </c>
      <c r="AQ122" s="65" t="s">
        <v>341</v>
      </c>
      <c r="AR122" s="65" t="s">
        <v>341</v>
      </c>
      <c r="AS122" s="65" t="s">
        <v>341</v>
      </c>
      <c r="AT122" s="65" t="s">
        <v>341</v>
      </c>
      <c r="AU122" s="65" t="s">
        <v>341</v>
      </c>
      <c r="AV122" s="65" t="s">
        <v>341</v>
      </c>
      <c r="AW122" s="65" t="s">
        <v>341</v>
      </c>
      <c r="AX122" s="65" t="s">
        <v>341</v>
      </c>
      <c r="AY122" s="65" t="s">
        <v>341</v>
      </c>
    </row>
    <row r="123" spans="1:51" x14ac:dyDescent="0.2">
      <c r="A123" s="65" t="s">
        <v>1773</v>
      </c>
      <c r="B123" s="65" t="s">
        <v>1187</v>
      </c>
      <c r="C123" s="65" t="s">
        <v>1188</v>
      </c>
      <c r="D123" s="65" t="s">
        <v>1813</v>
      </c>
      <c r="E123" s="65" t="s">
        <v>341</v>
      </c>
      <c r="F123" s="65" t="s">
        <v>1775</v>
      </c>
      <c r="G123" s="65" t="s">
        <v>1776</v>
      </c>
      <c r="H123" s="65" t="s">
        <v>341</v>
      </c>
      <c r="I123" s="65" t="s">
        <v>341</v>
      </c>
      <c r="J123" s="65" t="s">
        <v>341</v>
      </c>
      <c r="K123" s="65" t="s">
        <v>341</v>
      </c>
      <c r="L123" s="65" t="s">
        <v>341</v>
      </c>
      <c r="M123" s="65" t="s">
        <v>341</v>
      </c>
      <c r="N123" s="65" t="s">
        <v>341</v>
      </c>
      <c r="O123" s="65" t="s">
        <v>341</v>
      </c>
      <c r="P123" s="65" t="s">
        <v>341</v>
      </c>
      <c r="Q123" s="65" t="s">
        <v>341</v>
      </c>
      <c r="R123" s="65" t="s">
        <v>341</v>
      </c>
      <c r="S123" s="65" t="s">
        <v>341</v>
      </c>
      <c r="T123" s="65" t="s">
        <v>341</v>
      </c>
      <c r="U123" s="65" t="s">
        <v>341</v>
      </c>
      <c r="V123" s="65" t="s">
        <v>341</v>
      </c>
      <c r="W123" s="65" t="s">
        <v>341</v>
      </c>
      <c r="X123" s="65" t="s">
        <v>341</v>
      </c>
      <c r="Y123" s="65" t="s">
        <v>1188</v>
      </c>
      <c r="Z123" s="65" t="s">
        <v>1785</v>
      </c>
      <c r="AA123" s="65" t="s">
        <v>1814</v>
      </c>
      <c r="AB123" s="65" t="s">
        <v>341</v>
      </c>
      <c r="AC123" s="65" t="s">
        <v>341</v>
      </c>
      <c r="AD123" s="65" t="s">
        <v>341</v>
      </c>
      <c r="AE123" s="65" t="s">
        <v>341</v>
      </c>
      <c r="AF123" s="65" t="s">
        <v>341</v>
      </c>
      <c r="AG123" s="65" t="s">
        <v>341</v>
      </c>
      <c r="AH123" s="65" t="s">
        <v>341</v>
      </c>
      <c r="AI123" s="65" t="s">
        <v>341</v>
      </c>
      <c r="AJ123" s="65" t="s">
        <v>341</v>
      </c>
      <c r="AK123" s="65" t="s">
        <v>341</v>
      </c>
      <c r="AL123" s="65" t="s">
        <v>341</v>
      </c>
      <c r="AM123" s="65" t="s">
        <v>341</v>
      </c>
      <c r="AN123" s="65" t="s">
        <v>341</v>
      </c>
      <c r="AO123" s="65" t="s">
        <v>341</v>
      </c>
      <c r="AP123" s="65" t="s">
        <v>341</v>
      </c>
      <c r="AQ123" s="65" t="s">
        <v>341</v>
      </c>
      <c r="AR123" s="65" t="s">
        <v>341</v>
      </c>
      <c r="AS123" s="65" t="s">
        <v>341</v>
      </c>
      <c r="AT123" s="65" t="s">
        <v>341</v>
      </c>
      <c r="AU123" s="65" t="s">
        <v>341</v>
      </c>
      <c r="AV123" s="65" t="s">
        <v>341</v>
      </c>
      <c r="AW123" s="65" t="s">
        <v>341</v>
      </c>
      <c r="AX123" s="65" t="s">
        <v>341</v>
      </c>
      <c r="AY123" s="65" t="s">
        <v>341</v>
      </c>
    </row>
    <row r="124" spans="1:51" x14ac:dyDescent="0.2">
      <c r="A124" s="65" t="s">
        <v>1773</v>
      </c>
      <c r="B124" s="65" t="s">
        <v>1189</v>
      </c>
      <c r="C124" s="65" t="s">
        <v>1190</v>
      </c>
      <c r="D124" s="65" t="s">
        <v>1815</v>
      </c>
      <c r="E124" s="65" t="s">
        <v>341</v>
      </c>
      <c r="F124" s="65" t="s">
        <v>1775</v>
      </c>
      <c r="G124" s="65" t="s">
        <v>1776</v>
      </c>
      <c r="H124" s="65" t="s">
        <v>341</v>
      </c>
      <c r="I124" s="65" t="s">
        <v>341</v>
      </c>
      <c r="J124" s="65" t="s">
        <v>341</v>
      </c>
      <c r="K124" s="65" t="s">
        <v>341</v>
      </c>
      <c r="L124" s="65" t="s">
        <v>341</v>
      </c>
      <c r="M124" s="65" t="s">
        <v>341</v>
      </c>
      <c r="N124" s="65" t="s">
        <v>341</v>
      </c>
      <c r="O124" s="65" t="s">
        <v>341</v>
      </c>
      <c r="P124" s="65" t="s">
        <v>341</v>
      </c>
      <c r="Q124" s="65" t="s">
        <v>341</v>
      </c>
      <c r="R124" s="65" t="s">
        <v>341</v>
      </c>
      <c r="S124" s="65" t="s">
        <v>341</v>
      </c>
      <c r="T124" s="65" t="s">
        <v>341</v>
      </c>
      <c r="U124" s="65" t="s">
        <v>341</v>
      </c>
      <c r="V124" s="65" t="s">
        <v>341</v>
      </c>
      <c r="W124" s="65" t="s">
        <v>341</v>
      </c>
      <c r="X124" s="65" t="s">
        <v>341</v>
      </c>
      <c r="Y124" s="65" t="s">
        <v>1802</v>
      </c>
      <c r="Z124" s="65" t="s">
        <v>1785</v>
      </c>
      <c r="AA124" s="65" t="s">
        <v>1816</v>
      </c>
      <c r="AB124" s="65" t="s">
        <v>341</v>
      </c>
      <c r="AC124" s="65" t="s">
        <v>341</v>
      </c>
      <c r="AD124" s="65" t="s">
        <v>341</v>
      </c>
      <c r="AE124" s="65" t="s">
        <v>341</v>
      </c>
      <c r="AF124" s="65" t="s">
        <v>341</v>
      </c>
      <c r="AG124" s="65" t="s">
        <v>341</v>
      </c>
      <c r="AH124" s="65" t="s">
        <v>341</v>
      </c>
      <c r="AI124" s="65" t="s">
        <v>341</v>
      </c>
      <c r="AJ124" s="65" t="s">
        <v>341</v>
      </c>
      <c r="AK124" s="65" t="s">
        <v>341</v>
      </c>
      <c r="AL124" s="65" t="s">
        <v>341</v>
      </c>
      <c r="AM124" s="65" t="s">
        <v>341</v>
      </c>
      <c r="AN124" s="65" t="s">
        <v>341</v>
      </c>
      <c r="AO124" s="65" t="s">
        <v>341</v>
      </c>
      <c r="AP124" s="65" t="s">
        <v>341</v>
      </c>
      <c r="AQ124" s="65" t="s">
        <v>341</v>
      </c>
      <c r="AR124" s="65" t="s">
        <v>341</v>
      </c>
      <c r="AS124" s="65" t="s">
        <v>341</v>
      </c>
      <c r="AT124" s="65" t="s">
        <v>341</v>
      </c>
      <c r="AU124" s="65" t="s">
        <v>341</v>
      </c>
      <c r="AV124" s="65" t="s">
        <v>341</v>
      </c>
      <c r="AW124" s="65" t="s">
        <v>341</v>
      </c>
      <c r="AX124" s="65" t="s">
        <v>341</v>
      </c>
      <c r="AY124" s="65" t="s">
        <v>341</v>
      </c>
    </row>
    <row r="125" spans="1:51" x14ac:dyDescent="0.2">
      <c r="A125" s="65" t="s">
        <v>1773</v>
      </c>
      <c r="B125" s="65" t="s">
        <v>1191</v>
      </c>
      <c r="C125" s="65" t="s">
        <v>1192</v>
      </c>
      <c r="D125" s="65" t="s">
        <v>1817</v>
      </c>
      <c r="E125" s="65" t="s">
        <v>341</v>
      </c>
      <c r="F125" s="65" t="s">
        <v>1775</v>
      </c>
      <c r="G125" s="65" t="s">
        <v>1776</v>
      </c>
      <c r="H125" s="65" t="s">
        <v>341</v>
      </c>
      <c r="I125" s="65" t="s">
        <v>341</v>
      </c>
      <c r="J125" s="65" t="s">
        <v>341</v>
      </c>
      <c r="K125" s="65" t="s">
        <v>341</v>
      </c>
      <c r="L125" s="65" t="s">
        <v>341</v>
      </c>
      <c r="M125" s="65" t="s">
        <v>341</v>
      </c>
      <c r="N125" s="65" t="s">
        <v>341</v>
      </c>
      <c r="O125" s="65" t="s">
        <v>341</v>
      </c>
      <c r="P125" s="65" t="s">
        <v>341</v>
      </c>
      <c r="Q125" s="65" t="s">
        <v>341</v>
      </c>
      <c r="R125" s="65" t="s">
        <v>341</v>
      </c>
      <c r="S125" s="65" t="s">
        <v>341</v>
      </c>
      <c r="T125" s="65" t="s">
        <v>341</v>
      </c>
      <c r="U125" s="65" t="s">
        <v>341</v>
      </c>
      <c r="V125" s="65" t="s">
        <v>341</v>
      </c>
      <c r="W125" s="65" t="s">
        <v>341</v>
      </c>
      <c r="X125" s="65" t="s">
        <v>341</v>
      </c>
      <c r="Y125" s="65" t="s">
        <v>1777</v>
      </c>
      <c r="Z125" s="65" t="s">
        <v>1360</v>
      </c>
      <c r="AA125" s="65" t="s">
        <v>1818</v>
      </c>
      <c r="AB125" s="65" t="s">
        <v>341</v>
      </c>
      <c r="AC125" s="65" t="s">
        <v>341</v>
      </c>
      <c r="AD125" s="65" t="s">
        <v>341</v>
      </c>
      <c r="AE125" s="65" t="s">
        <v>341</v>
      </c>
      <c r="AF125" s="65" t="s">
        <v>341</v>
      </c>
      <c r="AG125" s="65" t="s">
        <v>341</v>
      </c>
      <c r="AH125" s="65" t="s">
        <v>341</v>
      </c>
      <c r="AI125" s="65" t="s">
        <v>341</v>
      </c>
      <c r="AJ125" s="65" t="s">
        <v>341</v>
      </c>
      <c r="AK125" s="65" t="s">
        <v>341</v>
      </c>
      <c r="AL125" s="65" t="s">
        <v>341</v>
      </c>
      <c r="AM125" s="65" t="s">
        <v>341</v>
      </c>
      <c r="AN125" s="65" t="s">
        <v>341</v>
      </c>
      <c r="AO125" s="65" t="s">
        <v>341</v>
      </c>
      <c r="AP125" s="65" t="s">
        <v>341</v>
      </c>
      <c r="AQ125" s="65" t="s">
        <v>341</v>
      </c>
      <c r="AR125" s="65" t="s">
        <v>341</v>
      </c>
      <c r="AS125" s="65" t="s">
        <v>341</v>
      </c>
      <c r="AT125" s="65" t="s">
        <v>341</v>
      </c>
      <c r="AU125" s="65" t="s">
        <v>341</v>
      </c>
      <c r="AV125" s="65" t="s">
        <v>341</v>
      </c>
      <c r="AW125" s="65" t="s">
        <v>341</v>
      </c>
      <c r="AX125" s="65" t="s">
        <v>341</v>
      </c>
      <c r="AY125" s="65" t="s">
        <v>341</v>
      </c>
    </row>
    <row r="126" spans="1:51" x14ac:dyDescent="0.2">
      <c r="A126" s="65" t="s">
        <v>1341</v>
      </c>
      <c r="B126" s="65" t="s">
        <v>993</v>
      </c>
      <c r="C126" s="65" t="s">
        <v>994</v>
      </c>
      <c r="D126" s="65" t="s">
        <v>1819</v>
      </c>
      <c r="E126" s="65" t="s">
        <v>341</v>
      </c>
      <c r="F126" s="65" t="s">
        <v>1820</v>
      </c>
      <c r="G126" s="65" t="s">
        <v>1821</v>
      </c>
      <c r="H126" s="65" t="s">
        <v>341</v>
      </c>
      <c r="I126" s="65" t="s">
        <v>341</v>
      </c>
      <c r="J126" s="65" t="s">
        <v>341</v>
      </c>
      <c r="K126" s="65" t="s">
        <v>341</v>
      </c>
      <c r="L126" s="65" t="s">
        <v>341</v>
      </c>
      <c r="M126" s="65" t="s">
        <v>341</v>
      </c>
      <c r="N126" s="65" t="s">
        <v>341</v>
      </c>
      <c r="O126" s="65" t="s">
        <v>341</v>
      </c>
      <c r="P126" s="65" t="s">
        <v>341</v>
      </c>
      <c r="Q126" s="65" t="s">
        <v>341</v>
      </c>
      <c r="R126" s="65" t="s">
        <v>341</v>
      </c>
      <c r="S126" s="65" t="s">
        <v>341</v>
      </c>
      <c r="T126" s="65" t="s">
        <v>341</v>
      </c>
      <c r="U126" s="65" t="s">
        <v>341</v>
      </c>
      <c r="V126" s="65" t="s">
        <v>341</v>
      </c>
      <c r="W126" s="65" t="s">
        <v>341</v>
      </c>
      <c r="X126" s="65" t="s">
        <v>341</v>
      </c>
      <c r="Y126" s="65" t="s">
        <v>1822</v>
      </c>
      <c r="Z126" s="65" t="s">
        <v>1823</v>
      </c>
      <c r="AA126" s="65" t="s">
        <v>1824</v>
      </c>
      <c r="AB126" s="65" t="s">
        <v>341</v>
      </c>
      <c r="AC126" s="65" t="s">
        <v>341</v>
      </c>
      <c r="AD126" s="65" t="s">
        <v>341</v>
      </c>
      <c r="AE126" s="65" t="s">
        <v>341</v>
      </c>
      <c r="AF126" s="65" t="s">
        <v>341</v>
      </c>
      <c r="AG126" s="65" t="s">
        <v>341</v>
      </c>
      <c r="AH126" s="65" t="s">
        <v>341</v>
      </c>
      <c r="AI126" s="65" t="s">
        <v>341</v>
      </c>
      <c r="AJ126" s="65" t="s">
        <v>341</v>
      </c>
      <c r="AK126" s="65" t="s">
        <v>341</v>
      </c>
      <c r="AL126" s="65" t="s">
        <v>341</v>
      </c>
      <c r="AM126" s="65" t="s">
        <v>341</v>
      </c>
      <c r="AN126" s="65" t="s">
        <v>341</v>
      </c>
      <c r="AO126" s="65" t="s">
        <v>341</v>
      </c>
      <c r="AP126" s="65" t="s">
        <v>341</v>
      </c>
      <c r="AQ126" s="65" t="s">
        <v>341</v>
      </c>
      <c r="AR126" s="65" t="s">
        <v>341</v>
      </c>
      <c r="AS126" s="65" t="s">
        <v>341</v>
      </c>
      <c r="AT126" s="65" t="s">
        <v>341</v>
      </c>
      <c r="AU126" s="65" t="s">
        <v>341</v>
      </c>
      <c r="AV126" s="65" t="s">
        <v>341</v>
      </c>
      <c r="AW126" s="65" t="s">
        <v>341</v>
      </c>
      <c r="AX126" s="65" t="s">
        <v>341</v>
      </c>
      <c r="AY126" s="65" t="s">
        <v>341</v>
      </c>
    </row>
    <row r="127" spans="1:51" x14ac:dyDescent="0.2">
      <c r="A127" s="65" t="s">
        <v>1341</v>
      </c>
      <c r="B127" s="65" t="s">
        <v>995</v>
      </c>
      <c r="C127" s="65" t="s">
        <v>996</v>
      </c>
      <c r="D127" s="65" t="s">
        <v>1825</v>
      </c>
      <c r="E127" s="65" t="s">
        <v>341</v>
      </c>
      <c r="F127" s="65" t="s">
        <v>1820</v>
      </c>
      <c r="G127" s="65" t="s">
        <v>1821</v>
      </c>
      <c r="H127" s="65" t="s">
        <v>341</v>
      </c>
      <c r="I127" s="65" t="s">
        <v>341</v>
      </c>
      <c r="J127" s="65" t="s">
        <v>341</v>
      </c>
      <c r="K127" s="65" t="s">
        <v>341</v>
      </c>
      <c r="L127" s="65" t="s">
        <v>341</v>
      </c>
      <c r="M127" s="65" t="s">
        <v>341</v>
      </c>
      <c r="N127" s="65" t="s">
        <v>341</v>
      </c>
      <c r="O127" s="65" t="s">
        <v>341</v>
      </c>
      <c r="P127" s="65" t="s">
        <v>341</v>
      </c>
      <c r="Q127" s="65" t="s">
        <v>341</v>
      </c>
      <c r="R127" s="65" t="s">
        <v>341</v>
      </c>
      <c r="S127" s="65" t="s">
        <v>341</v>
      </c>
      <c r="T127" s="65" t="s">
        <v>341</v>
      </c>
      <c r="U127" s="65" t="s">
        <v>341</v>
      </c>
      <c r="V127" s="65" t="s">
        <v>341</v>
      </c>
      <c r="W127" s="65" t="s">
        <v>341</v>
      </c>
      <c r="X127" s="65" t="s">
        <v>341</v>
      </c>
      <c r="Y127" s="65" t="s">
        <v>1826</v>
      </c>
      <c r="Z127" s="65" t="s">
        <v>1827</v>
      </c>
      <c r="AA127" s="65" t="s">
        <v>1828</v>
      </c>
      <c r="AB127" s="65" t="s">
        <v>341</v>
      </c>
      <c r="AC127" s="65" t="s">
        <v>341</v>
      </c>
      <c r="AD127" s="65" t="s">
        <v>341</v>
      </c>
      <c r="AE127" s="65" t="s">
        <v>341</v>
      </c>
      <c r="AF127" s="65" t="s">
        <v>341</v>
      </c>
      <c r="AG127" s="65" t="s">
        <v>341</v>
      </c>
      <c r="AH127" s="65" t="s">
        <v>341</v>
      </c>
      <c r="AI127" s="65" t="s">
        <v>341</v>
      </c>
      <c r="AJ127" s="65" t="s">
        <v>341</v>
      </c>
      <c r="AK127" s="65" t="s">
        <v>341</v>
      </c>
      <c r="AL127" s="65" t="s">
        <v>341</v>
      </c>
      <c r="AM127" s="65" t="s">
        <v>341</v>
      </c>
      <c r="AN127" s="65" t="s">
        <v>341</v>
      </c>
      <c r="AO127" s="65" t="s">
        <v>341</v>
      </c>
      <c r="AP127" s="65" t="s">
        <v>341</v>
      </c>
      <c r="AQ127" s="65" t="s">
        <v>341</v>
      </c>
      <c r="AR127" s="65" t="s">
        <v>341</v>
      </c>
      <c r="AS127" s="65" t="s">
        <v>341</v>
      </c>
      <c r="AT127" s="65" t="s">
        <v>341</v>
      </c>
      <c r="AU127" s="65" t="s">
        <v>341</v>
      </c>
      <c r="AV127" s="65" t="s">
        <v>341</v>
      </c>
      <c r="AW127" s="65" t="s">
        <v>341</v>
      </c>
      <c r="AX127" s="65" t="s">
        <v>341</v>
      </c>
      <c r="AY127" s="65" t="s">
        <v>341</v>
      </c>
    </row>
    <row r="128" spans="1:51" x14ac:dyDescent="0.2">
      <c r="A128" s="65" t="s">
        <v>1341</v>
      </c>
      <c r="B128" s="65" t="s">
        <v>997</v>
      </c>
      <c r="C128" s="65" t="s">
        <v>998</v>
      </c>
      <c r="D128" s="65" t="s">
        <v>1829</v>
      </c>
      <c r="E128" s="65" t="s">
        <v>341</v>
      </c>
      <c r="F128" s="65" t="s">
        <v>1820</v>
      </c>
      <c r="G128" s="65" t="s">
        <v>1821</v>
      </c>
      <c r="H128" s="65" t="s">
        <v>341</v>
      </c>
      <c r="I128" s="65" t="s">
        <v>341</v>
      </c>
      <c r="J128" s="65" t="s">
        <v>341</v>
      </c>
      <c r="K128" s="65" t="s">
        <v>341</v>
      </c>
      <c r="L128" s="65" t="s">
        <v>341</v>
      </c>
      <c r="M128" s="65" t="s">
        <v>341</v>
      </c>
      <c r="N128" s="65" t="s">
        <v>341</v>
      </c>
      <c r="O128" s="65" t="s">
        <v>341</v>
      </c>
      <c r="P128" s="65" t="s">
        <v>341</v>
      </c>
      <c r="Q128" s="65" t="s">
        <v>341</v>
      </c>
      <c r="R128" s="65" t="s">
        <v>341</v>
      </c>
      <c r="S128" s="65" t="s">
        <v>341</v>
      </c>
      <c r="T128" s="65" t="s">
        <v>341</v>
      </c>
      <c r="U128" s="65" t="s">
        <v>341</v>
      </c>
      <c r="V128" s="65" t="s">
        <v>341</v>
      </c>
      <c r="W128" s="65" t="s">
        <v>341</v>
      </c>
      <c r="X128" s="65" t="s">
        <v>341</v>
      </c>
      <c r="Y128" s="65" t="s">
        <v>1830</v>
      </c>
      <c r="Z128" s="65" t="s">
        <v>1823</v>
      </c>
      <c r="AA128" s="65" t="s">
        <v>1831</v>
      </c>
      <c r="AB128" s="65" t="s">
        <v>341</v>
      </c>
      <c r="AC128" s="65" t="s">
        <v>341</v>
      </c>
      <c r="AD128" s="65" t="s">
        <v>341</v>
      </c>
      <c r="AE128" s="65" t="s">
        <v>341</v>
      </c>
      <c r="AF128" s="65" t="s">
        <v>341</v>
      </c>
      <c r="AG128" s="65" t="s">
        <v>341</v>
      </c>
      <c r="AH128" s="65" t="s">
        <v>341</v>
      </c>
      <c r="AI128" s="65" t="s">
        <v>341</v>
      </c>
      <c r="AJ128" s="65" t="s">
        <v>341</v>
      </c>
      <c r="AK128" s="65" t="s">
        <v>341</v>
      </c>
      <c r="AL128" s="65" t="s">
        <v>341</v>
      </c>
      <c r="AM128" s="65" t="s">
        <v>341</v>
      </c>
      <c r="AN128" s="65" t="s">
        <v>341</v>
      </c>
      <c r="AO128" s="65" t="s">
        <v>341</v>
      </c>
      <c r="AP128" s="65" t="s">
        <v>341</v>
      </c>
      <c r="AQ128" s="65" t="s">
        <v>341</v>
      </c>
      <c r="AR128" s="65" t="s">
        <v>341</v>
      </c>
      <c r="AS128" s="65" t="s">
        <v>341</v>
      </c>
      <c r="AT128" s="65" t="s">
        <v>341</v>
      </c>
      <c r="AU128" s="65" t="s">
        <v>341</v>
      </c>
      <c r="AV128" s="65" t="s">
        <v>341</v>
      </c>
      <c r="AW128" s="65" t="s">
        <v>341</v>
      </c>
      <c r="AX128" s="65" t="s">
        <v>341</v>
      </c>
      <c r="AY128" s="65" t="s">
        <v>341</v>
      </c>
    </row>
    <row r="129" spans="1:51" x14ac:dyDescent="0.2">
      <c r="A129" s="65" t="s">
        <v>1341</v>
      </c>
      <c r="B129" s="65" t="s">
        <v>999</v>
      </c>
      <c r="C129" s="65" t="s">
        <v>1000</v>
      </c>
      <c r="D129" s="65" t="s">
        <v>1832</v>
      </c>
      <c r="E129" s="65" t="s">
        <v>341</v>
      </c>
      <c r="F129" s="65" t="s">
        <v>1820</v>
      </c>
      <c r="G129" s="65" t="s">
        <v>1821</v>
      </c>
      <c r="H129" s="65" t="s">
        <v>341</v>
      </c>
      <c r="I129" s="65" t="s">
        <v>341</v>
      </c>
      <c r="J129" s="65" t="s">
        <v>341</v>
      </c>
      <c r="K129" s="65" t="s">
        <v>341</v>
      </c>
      <c r="L129" s="65" t="s">
        <v>341</v>
      </c>
      <c r="M129" s="65" t="s">
        <v>341</v>
      </c>
      <c r="N129" s="65" t="s">
        <v>341</v>
      </c>
      <c r="O129" s="65" t="s">
        <v>341</v>
      </c>
      <c r="P129" s="65" t="s">
        <v>341</v>
      </c>
      <c r="Q129" s="65" t="s">
        <v>341</v>
      </c>
      <c r="R129" s="65" t="s">
        <v>341</v>
      </c>
      <c r="S129" s="65" t="s">
        <v>341</v>
      </c>
      <c r="T129" s="65" t="s">
        <v>341</v>
      </c>
      <c r="U129" s="65" t="s">
        <v>341</v>
      </c>
      <c r="V129" s="65" t="s">
        <v>341</v>
      </c>
      <c r="W129" s="65" t="s">
        <v>341</v>
      </c>
      <c r="X129" s="65" t="s">
        <v>341</v>
      </c>
      <c r="Y129" s="65" t="s">
        <v>1822</v>
      </c>
      <c r="Z129" s="65" t="s">
        <v>1823</v>
      </c>
      <c r="AA129" s="65" t="s">
        <v>1833</v>
      </c>
      <c r="AB129" s="65" t="s">
        <v>341</v>
      </c>
      <c r="AC129" s="65" t="s">
        <v>341</v>
      </c>
      <c r="AD129" s="65" t="s">
        <v>341</v>
      </c>
      <c r="AE129" s="65" t="s">
        <v>341</v>
      </c>
      <c r="AF129" s="65" t="s">
        <v>341</v>
      </c>
      <c r="AG129" s="65" t="s">
        <v>341</v>
      </c>
      <c r="AH129" s="65" t="s">
        <v>341</v>
      </c>
      <c r="AI129" s="65" t="s">
        <v>341</v>
      </c>
      <c r="AJ129" s="65" t="s">
        <v>341</v>
      </c>
      <c r="AK129" s="65" t="s">
        <v>341</v>
      </c>
      <c r="AL129" s="65" t="s">
        <v>341</v>
      </c>
      <c r="AM129" s="65" t="s">
        <v>341</v>
      </c>
      <c r="AN129" s="65" t="s">
        <v>341</v>
      </c>
      <c r="AO129" s="65" t="s">
        <v>341</v>
      </c>
      <c r="AP129" s="65" t="s">
        <v>341</v>
      </c>
      <c r="AQ129" s="65" t="s">
        <v>341</v>
      </c>
      <c r="AR129" s="65" t="s">
        <v>341</v>
      </c>
      <c r="AS129" s="65" t="s">
        <v>341</v>
      </c>
      <c r="AT129" s="65" t="s">
        <v>341</v>
      </c>
      <c r="AU129" s="65" t="s">
        <v>341</v>
      </c>
      <c r="AV129" s="65" t="s">
        <v>341</v>
      </c>
      <c r="AW129" s="65" t="s">
        <v>341</v>
      </c>
      <c r="AX129" s="65" t="s">
        <v>341</v>
      </c>
      <c r="AY129" s="65" t="s">
        <v>341</v>
      </c>
    </row>
    <row r="130" spans="1:51" x14ac:dyDescent="0.2">
      <c r="A130" s="65" t="s">
        <v>1341</v>
      </c>
      <c r="B130" s="65" t="s">
        <v>1001</v>
      </c>
      <c r="C130" s="65" t="s">
        <v>1002</v>
      </c>
      <c r="D130" s="65" t="s">
        <v>1834</v>
      </c>
      <c r="E130" s="65" t="s">
        <v>341</v>
      </c>
      <c r="F130" s="65" t="s">
        <v>1820</v>
      </c>
      <c r="G130" s="65" t="s">
        <v>1821</v>
      </c>
      <c r="H130" s="65" t="s">
        <v>341</v>
      </c>
      <c r="I130" s="65" t="s">
        <v>341</v>
      </c>
      <c r="J130" s="65" t="s">
        <v>341</v>
      </c>
      <c r="K130" s="65" t="s">
        <v>341</v>
      </c>
      <c r="L130" s="65" t="s">
        <v>341</v>
      </c>
      <c r="M130" s="65" t="s">
        <v>341</v>
      </c>
      <c r="N130" s="65" t="s">
        <v>341</v>
      </c>
      <c r="O130" s="65" t="s">
        <v>341</v>
      </c>
      <c r="P130" s="65" t="s">
        <v>341</v>
      </c>
      <c r="Q130" s="65" t="s">
        <v>341</v>
      </c>
      <c r="R130" s="65" t="s">
        <v>341</v>
      </c>
      <c r="S130" s="65" t="s">
        <v>341</v>
      </c>
      <c r="T130" s="65" t="s">
        <v>341</v>
      </c>
      <c r="U130" s="65" t="s">
        <v>341</v>
      </c>
      <c r="V130" s="65" t="s">
        <v>341</v>
      </c>
      <c r="W130" s="65" t="s">
        <v>341</v>
      </c>
      <c r="X130" s="65" t="s">
        <v>341</v>
      </c>
      <c r="Y130" s="65" t="s">
        <v>1835</v>
      </c>
      <c r="Z130" s="65" t="s">
        <v>1827</v>
      </c>
      <c r="AA130" s="65" t="s">
        <v>1836</v>
      </c>
      <c r="AB130" s="65" t="s">
        <v>341</v>
      </c>
      <c r="AC130" s="65" t="s">
        <v>341</v>
      </c>
      <c r="AD130" s="65" t="s">
        <v>341</v>
      </c>
      <c r="AE130" s="65" t="s">
        <v>341</v>
      </c>
      <c r="AF130" s="65" t="s">
        <v>341</v>
      </c>
      <c r="AG130" s="65" t="s">
        <v>341</v>
      </c>
      <c r="AH130" s="65" t="s">
        <v>341</v>
      </c>
      <c r="AI130" s="65" t="s">
        <v>341</v>
      </c>
      <c r="AJ130" s="65" t="s">
        <v>341</v>
      </c>
      <c r="AK130" s="65" t="s">
        <v>341</v>
      </c>
      <c r="AL130" s="65" t="s">
        <v>341</v>
      </c>
      <c r="AM130" s="65" t="s">
        <v>341</v>
      </c>
      <c r="AN130" s="65" t="s">
        <v>341</v>
      </c>
      <c r="AO130" s="65" t="s">
        <v>341</v>
      </c>
      <c r="AP130" s="65" t="s">
        <v>341</v>
      </c>
      <c r="AQ130" s="65" t="s">
        <v>341</v>
      </c>
      <c r="AR130" s="65" t="s">
        <v>341</v>
      </c>
      <c r="AS130" s="65" t="s">
        <v>341</v>
      </c>
      <c r="AT130" s="65" t="s">
        <v>341</v>
      </c>
      <c r="AU130" s="65" t="s">
        <v>341</v>
      </c>
      <c r="AV130" s="65" t="s">
        <v>341</v>
      </c>
      <c r="AW130" s="65" t="s">
        <v>341</v>
      </c>
      <c r="AX130" s="65" t="s">
        <v>341</v>
      </c>
      <c r="AY130" s="65" t="s">
        <v>341</v>
      </c>
    </row>
    <row r="131" spans="1:51" x14ac:dyDescent="0.2">
      <c r="A131" s="65" t="s">
        <v>1341</v>
      </c>
      <c r="B131" s="65" t="s">
        <v>1003</v>
      </c>
      <c r="C131" s="65" t="s">
        <v>1004</v>
      </c>
      <c r="D131" s="65" t="s">
        <v>1837</v>
      </c>
      <c r="E131" s="65" t="s">
        <v>341</v>
      </c>
      <c r="F131" s="65" t="s">
        <v>1820</v>
      </c>
      <c r="G131" s="65" t="s">
        <v>1821</v>
      </c>
      <c r="H131" s="65" t="s">
        <v>341</v>
      </c>
      <c r="I131" s="65" t="s">
        <v>341</v>
      </c>
      <c r="J131" s="65" t="s">
        <v>341</v>
      </c>
      <c r="K131" s="65" t="s">
        <v>341</v>
      </c>
      <c r="L131" s="65" t="s">
        <v>341</v>
      </c>
      <c r="M131" s="65" t="s">
        <v>341</v>
      </c>
      <c r="N131" s="65" t="s">
        <v>341</v>
      </c>
      <c r="O131" s="65" t="s">
        <v>341</v>
      </c>
      <c r="P131" s="65" t="s">
        <v>341</v>
      </c>
      <c r="Q131" s="65" t="s">
        <v>341</v>
      </c>
      <c r="R131" s="65" t="s">
        <v>341</v>
      </c>
      <c r="S131" s="65" t="s">
        <v>341</v>
      </c>
      <c r="T131" s="65" t="s">
        <v>341</v>
      </c>
      <c r="U131" s="65" t="s">
        <v>341</v>
      </c>
      <c r="V131" s="65" t="s">
        <v>341</v>
      </c>
      <c r="W131" s="65" t="s">
        <v>341</v>
      </c>
      <c r="X131" s="65" t="s">
        <v>341</v>
      </c>
      <c r="Y131" s="65" t="s">
        <v>1822</v>
      </c>
      <c r="Z131" s="65" t="s">
        <v>1823</v>
      </c>
      <c r="AA131" s="65" t="s">
        <v>1838</v>
      </c>
      <c r="AB131" s="65" t="s">
        <v>341</v>
      </c>
      <c r="AC131" s="65" t="s">
        <v>341</v>
      </c>
      <c r="AD131" s="65" t="s">
        <v>341</v>
      </c>
      <c r="AE131" s="65" t="s">
        <v>341</v>
      </c>
      <c r="AF131" s="65" t="s">
        <v>341</v>
      </c>
      <c r="AG131" s="65" t="s">
        <v>341</v>
      </c>
      <c r="AH131" s="65" t="s">
        <v>341</v>
      </c>
      <c r="AI131" s="65" t="s">
        <v>341</v>
      </c>
      <c r="AJ131" s="65" t="s">
        <v>341</v>
      </c>
      <c r="AK131" s="65" t="s">
        <v>341</v>
      </c>
      <c r="AL131" s="65" t="s">
        <v>341</v>
      </c>
      <c r="AM131" s="65" t="s">
        <v>341</v>
      </c>
      <c r="AN131" s="65" t="s">
        <v>341</v>
      </c>
      <c r="AO131" s="65" t="s">
        <v>341</v>
      </c>
      <c r="AP131" s="65" t="s">
        <v>341</v>
      </c>
      <c r="AQ131" s="65" t="s">
        <v>341</v>
      </c>
      <c r="AR131" s="65" t="s">
        <v>341</v>
      </c>
      <c r="AS131" s="65" t="s">
        <v>341</v>
      </c>
      <c r="AT131" s="65" t="s">
        <v>341</v>
      </c>
      <c r="AU131" s="65" t="s">
        <v>341</v>
      </c>
      <c r="AV131" s="65" t="s">
        <v>341</v>
      </c>
      <c r="AW131" s="65" t="s">
        <v>341</v>
      </c>
      <c r="AX131" s="65" t="s">
        <v>341</v>
      </c>
      <c r="AY131" s="65" t="s">
        <v>341</v>
      </c>
    </row>
    <row r="132" spans="1:51" x14ac:dyDescent="0.2">
      <c r="A132" s="65" t="s">
        <v>1341</v>
      </c>
      <c r="B132" s="65" t="s">
        <v>1005</v>
      </c>
      <c r="C132" s="65" t="s">
        <v>1006</v>
      </c>
      <c r="D132" s="65" t="s">
        <v>1839</v>
      </c>
      <c r="E132" s="65" t="s">
        <v>341</v>
      </c>
      <c r="F132" s="65" t="s">
        <v>1820</v>
      </c>
      <c r="G132" s="65" t="s">
        <v>1821</v>
      </c>
      <c r="H132" s="65" t="s">
        <v>341</v>
      </c>
      <c r="I132" s="65" t="s">
        <v>341</v>
      </c>
      <c r="J132" s="65" t="s">
        <v>341</v>
      </c>
      <c r="K132" s="65" t="s">
        <v>341</v>
      </c>
      <c r="L132" s="65" t="s">
        <v>341</v>
      </c>
      <c r="M132" s="65" t="s">
        <v>341</v>
      </c>
      <c r="N132" s="65" t="s">
        <v>341</v>
      </c>
      <c r="O132" s="65" t="s">
        <v>341</v>
      </c>
      <c r="P132" s="65" t="s">
        <v>341</v>
      </c>
      <c r="Q132" s="65" t="s">
        <v>341</v>
      </c>
      <c r="R132" s="65" t="s">
        <v>341</v>
      </c>
      <c r="S132" s="65" t="s">
        <v>341</v>
      </c>
      <c r="T132" s="65" t="s">
        <v>341</v>
      </c>
      <c r="U132" s="65" t="s">
        <v>341</v>
      </c>
      <c r="V132" s="65" t="s">
        <v>341</v>
      </c>
      <c r="W132" s="65" t="s">
        <v>341</v>
      </c>
      <c r="X132" s="65" t="s">
        <v>341</v>
      </c>
      <c r="Y132" s="65" t="s">
        <v>1822</v>
      </c>
      <c r="Z132" s="65" t="s">
        <v>1823</v>
      </c>
      <c r="AA132" s="65" t="s">
        <v>1840</v>
      </c>
      <c r="AB132" s="65" t="s">
        <v>341</v>
      </c>
      <c r="AC132" s="65" t="s">
        <v>341</v>
      </c>
      <c r="AD132" s="65" t="s">
        <v>341</v>
      </c>
      <c r="AE132" s="65" t="s">
        <v>341</v>
      </c>
      <c r="AF132" s="65" t="s">
        <v>341</v>
      </c>
      <c r="AG132" s="65" t="s">
        <v>341</v>
      </c>
      <c r="AH132" s="65" t="s">
        <v>341</v>
      </c>
      <c r="AI132" s="65" t="s">
        <v>341</v>
      </c>
      <c r="AJ132" s="65" t="s">
        <v>341</v>
      </c>
      <c r="AK132" s="65" t="s">
        <v>341</v>
      </c>
      <c r="AL132" s="65" t="s">
        <v>341</v>
      </c>
      <c r="AM132" s="65" t="s">
        <v>341</v>
      </c>
      <c r="AN132" s="65" t="s">
        <v>341</v>
      </c>
      <c r="AO132" s="65" t="s">
        <v>341</v>
      </c>
      <c r="AP132" s="65" t="s">
        <v>341</v>
      </c>
      <c r="AQ132" s="65" t="s">
        <v>341</v>
      </c>
      <c r="AR132" s="65" t="s">
        <v>341</v>
      </c>
      <c r="AS132" s="65" t="s">
        <v>341</v>
      </c>
      <c r="AT132" s="65" t="s">
        <v>341</v>
      </c>
      <c r="AU132" s="65" t="s">
        <v>341</v>
      </c>
      <c r="AV132" s="65" t="s">
        <v>341</v>
      </c>
      <c r="AW132" s="65" t="s">
        <v>341</v>
      </c>
      <c r="AX132" s="65" t="s">
        <v>341</v>
      </c>
      <c r="AY132" s="65" t="s">
        <v>341</v>
      </c>
    </row>
    <row r="133" spans="1:51" x14ac:dyDescent="0.2">
      <c r="A133" s="65" t="s">
        <v>1341</v>
      </c>
      <c r="B133" s="65" t="s">
        <v>1007</v>
      </c>
      <c r="C133" s="65" t="s">
        <v>1008</v>
      </c>
      <c r="D133" s="65" t="s">
        <v>1841</v>
      </c>
      <c r="E133" s="65" t="s">
        <v>341</v>
      </c>
      <c r="F133" s="65" t="s">
        <v>1820</v>
      </c>
      <c r="G133" s="65" t="s">
        <v>1821</v>
      </c>
      <c r="H133" s="65" t="s">
        <v>341</v>
      </c>
      <c r="I133" s="65" t="s">
        <v>341</v>
      </c>
      <c r="J133" s="65" t="s">
        <v>341</v>
      </c>
      <c r="K133" s="65" t="s">
        <v>341</v>
      </c>
      <c r="L133" s="65" t="s">
        <v>341</v>
      </c>
      <c r="M133" s="65" t="s">
        <v>341</v>
      </c>
      <c r="N133" s="65" t="s">
        <v>341</v>
      </c>
      <c r="O133" s="65" t="s">
        <v>341</v>
      </c>
      <c r="P133" s="65" t="s">
        <v>341</v>
      </c>
      <c r="Q133" s="65" t="s">
        <v>341</v>
      </c>
      <c r="R133" s="65" t="s">
        <v>341</v>
      </c>
      <c r="S133" s="65" t="s">
        <v>341</v>
      </c>
      <c r="T133" s="65" t="s">
        <v>341</v>
      </c>
      <c r="U133" s="65" t="s">
        <v>341</v>
      </c>
      <c r="V133" s="65" t="s">
        <v>341</v>
      </c>
      <c r="W133" s="65" t="s">
        <v>341</v>
      </c>
      <c r="X133" s="65" t="s">
        <v>341</v>
      </c>
      <c r="Y133" s="65" t="s">
        <v>1842</v>
      </c>
      <c r="Z133" s="65" t="s">
        <v>1823</v>
      </c>
      <c r="AA133" s="65" t="s">
        <v>1843</v>
      </c>
      <c r="AB133" s="65" t="s">
        <v>341</v>
      </c>
      <c r="AC133" s="65" t="s">
        <v>341</v>
      </c>
      <c r="AD133" s="65" t="s">
        <v>341</v>
      </c>
      <c r="AE133" s="65" t="s">
        <v>341</v>
      </c>
      <c r="AF133" s="65" t="s">
        <v>341</v>
      </c>
      <c r="AG133" s="65" t="s">
        <v>341</v>
      </c>
      <c r="AH133" s="65" t="s">
        <v>341</v>
      </c>
      <c r="AI133" s="65" t="s">
        <v>341</v>
      </c>
      <c r="AJ133" s="65" t="s">
        <v>341</v>
      </c>
      <c r="AK133" s="65" t="s">
        <v>341</v>
      </c>
      <c r="AL133" s="65" t="s">
        <v>341</v>
      </c>
      <c r="AM133" s="65" t="s">
        <v>341</v>
      </c>
      <c r="AN133" s="65" t="s">
        <v>341</v>
      </c>
      <c r="AO133" s="65" t="s">
        <v>341</v>
      </c>
      <c r="AP133" s="65" t="s">
        <v>341</v>
      </c>
      <c r="AQ133" s="65" t="s">
        <v>341</v>
      </c>
      <c r="AR133" s="65" t="s">
        <v>341</v>
      </c>
      <c r="AS133" s="65" t="s">
        <v>341</v>
      </c>
      <c r="AT133" s="65" t="s">
        <v>341</v>
      </c>
      <c r="AU133" s="65" t="s">
        <v>341</v>
      </c>
      <c r="AV133" s="65" t="s">
        <v>341</v>
      </c>
      <c r="AW133" s="65" t="s">
        <v>341</v>
      </c>
      <c r="AX133" s="65" t="s">
        <v>341</v>
      </c>
      <c r="AY133" s="65" t="s">
        <v>341</v>
      </c>
    </row>
    <row r="134" spans="1:51" x14ac:dyDescent="0.2">
      <c r="A134" s="65" t="s">
        <v>1341</v>
      </c>
      <c r="B134" s="65" t="s">
        <v>1009</v>
      </c>
      <c r="C134" s="65" t="s">
        <v>1010</v>
      </c>
      <c r="D134" s="65" t="s">
        <v>1844</v>
      </c>
      <c r="E134" s="65" t="s">
        <v>341</v>
      </c>
      <c r="F134" s="65" t="s">
        <v>1820</v>
      </c>
      <c r="G134" s="65" t="s">
        <v>1821</v>
      </c>
      <c r="H134" s="65" t="s">
        <v>341</v>
      </c>
      <c r="I134" s="65" t="s">
        <v>341</v>
      </c>
      <c r="J134" s="65" t="s">
        <v>341</v>
      </c>
      <c r="K134" s="65" t="s">
        <v>341</v>
      </c>
      <c r="L134" s="65" t="s">
        <v>341</v>
      </c>
      <c r="M134" s="65" t="s">
        <v>341</v>
      </c>
      <c r="N134" s="65" t="s">
        <v>341</v>
      </c>
      <c r="O134" s="65" t="s">
        <v>341</v>
      </c>
      <c r="P134" s="65" t="s">
        <v>341</v>
      </c>
      <c r="Q134" s="65" t="s">
        <v>341</v>
      </c>
      <c r="R134" s="65" t="s">
        <v>341</v>
      </c>
      <c r="S134" s="65" t="s">
        <v>341</v>
      </c>
      <c r="T134" s="65" t="s">
        <v>341</v>
      </c>
      <c r="U134" s="65" t="s">
        <v>341</v>
      </c>
      <c r="V134" s="65" t="s">
        <v>341</v>
      </c>
      <c r="W134" s="65" t="s">
        <v>341</v>
      </c>
      <c r="X134" s="65" t="s">
        <v>341</v>
      </c>
      <c r="Y134" s="65" t="s">
        <v>1822</v>
      </c>
      <c r="Z134" s="65" t="s">
        <v>1823</v>
      </c>
      <c r="AA134" s="65" t="s">
        <v>1845</v>
      </c>
      <c r="AB134" s="65" t="s">
        <v>341</v>
      </c>
      <c r="AC134" s="65" t="s">
        <v>341</v>
      </c>
      <c r="AD134" s="65" t="s">
        <v>341</v>
      </c>
      <c r="AE134" s="65" t="s">
        <v>341</v>
      </c>
      <c r="AF134" s="65" t="s">
        <v>341</v>
      </c>
      <c r="AG134" s="65" t="s">
        <v>341</v>
      </c>
      <c r="AH134" s="65" t="s">
        <v>341</v>
      </c>
      <c r="AI134" s="65" t="s">
        <v>341</v>
      </c>
      <c r="AJ134" s="65" t="s">
        <v>341</v>
      </c>
      <c r="AK134" s="65" t="s">
        <v>341</v>
      </c>
      <c r="AL134" s="65" t="s">
        <v>341</v>
      </c>
      <c r="AM134" s="65" t="s">
        <v>341</v>
      </c>
      <c r="AN134" s="65" t="s">
        <v>341</v>
      </c>
      <c r="AO134" s="65" t="s">
        <v>341</v>
      </c>
      <c r="AP134" s="65" t="s">
        <v>341</v>
      </c>
      <c r="AQ134" s="65" t="s">
        <v>341</v>
      </c>
      <c r="AR134" s="65" t="s">
        <v>341</v>
      </c>
      <c r="AS134" s="65" t="s">
        <v>341</v>
      </c>
      <c r="AT134" s="65" t="s">
        <v>341</v>
      </c>
      <c r="AU134" s="65" t="s">
        <v>341</v>
      </c>
      <c r="AV134" s="65" t="s">
        <v>341</v>
      </c>
      <c r="AW134" s="65" t="s">
        <v>341</v>
      </c>
      <c r="AX134" s="65" t="s">
        <v>341</v>
      </c>
      <c r="AY134" s="65" t="s">
        <v>341</v>
      </c>
    </row>
    <row r="135" spans="1:51" x14ac:dyDescent="0.2">
      <c r="A135" s="65" t="s">
        <v>1341</v>
      </c>
      <c r="B135" s="65" t="s">
        <v>1011</v>
      </c>
      <c r="C135" s="65" t="s">
        <v>1012</v>
      </c>
      <c r="D135" s="65" t="s">
        <v>1846</v>
      </c>
      <c r="E135" s="65" t="s">
        <v>341</v>
      </c>
      <c r="F135" s="65" t="s">
        <v>1820</v>
      </c>
      <c r="G135" s="65" t="s">
        <v>1821</v>
      </c>
      <c r="H135" s="65" t="s">
        <v>341</v>
      </c>
      <c r="I135" s="65" t="s">
        <v>341</v>
      </c>
      <c r="J135" s="65" t="s">
        <v>341</v>
      </c>
      <c r="K135" s="65" t="s">
        <v>341</v>
      </c>
      <c r="L135" s="65" t="s">
        <v>341</v>
      </c>
      <c r="M135" s="65" t="s">
        <v>341</v>
      </c>
      <c r="N135" s="65" t="s">
        <v>341</v>
      </c>
      <c r="O135" s="65" t="s">
        <v>341</v>
      </c>
      <c r="P135" s="65" t="s">
        <v>341</v>
      </c>
      <c r="Q135" s="65" t="s">
        <v>341</v>
      </c>
      <c r="R135" s="65" t="s">
        <v>341</v>
      </c>
      <c r="S135" s="65" t="s">
        <v>341</v>
      </c>
      <c r="T135" s="65" t="s">
        <v>341</v>
      </c>
      <c r="U135" s="65" t="s">
        <v>341</v>
      </c>
      <c r="V135" s="65" t="s">
        <v>341</v>
      </c>
      <c r="W135" s="65" t="s">
        <v>341</v>
      </c>
      <c r="X135" s="65" t="s">
        <v>341</v>
      </c>
      <c r="Y135" s="65" t="s">
        <v>1822</v>
      </c>
      <c r="Z135" s="65" t="s">
        <v>1823</v>
      </c>
      <c r="AA135" s="65" t="s">
        <v>1847</v>
      </c>
      <c r="AB135" s="65" t="s">
        <v>341</v>
      </c>
      <c r="AC135" s="65" t="s">
        <v>341</v>
      </c>
      <c r="AD135" s="65" t="s">
        <v>341</v>
      </c>
      <c r="AE135" s="65" t="s">
        <v>341</v>
      </c>
      <c r="AF135" s="65" t="s">
        <v>341</v>
      </c>
      <c r="AG135" s="65" t="s">
        <v>341</v>
      </c>
      <c r="AH135" s="65" t="s">
        <v>341</v>
      </c>
      <c r="AI135" s="65" t="s">
        <v>341</v>
      </c>
      <c r="AJ135" s="65" t="s">
        <v>341</v>
      </c>
      <c r="AK135" s="65" t="s">
        <v>341</v>
      </c>
      <c r="AL135" s="65" t="s">
        <v>341</v>
      </c>
      <c r="AM135" s="65" t="s">
        <v>341</v>
      </c>
      <c r="AN135" s="65" t="s">
        <v>341</v>
      </c>
      <c r="AO135" s="65" t="s">
        <v>341</v>
      </c>
      <c r="AP135" s="65" t="s">
        <v>341</v>
      </c>
      <c r="AQ135" s="65" t="s">
        <v>341</v>
      </c>
      <c r="AR135" s="65" t="s">
        <v>341</v>
      </c>
      <c r="AS135" s="65" t="s">
        <v>341</v>
      </c>
      <c r="AT135" s="65" t="s">
        <v>341</v>
      </c>
      <c r="AU135" s="65" t="s">
        <v>341</v>
      </c>
      <c r="AV135" s="65" t="s">
        <v>341</v>
      </c>
      <c r="AW135" s="65" t="s">
        <v>341</v>
      </c>
      <c r="AX135" s="65" t="s">
        <v>341</v>
      </c>
      <c r="AY135" s="65" t="s">
        <v>341</v>
      </c>
    </row>
    <row r="136" spans="1:51" x14ac:dyDescent="0.2">
      <c r="A136" s="65" t="s">
        <v>1341</v>
      </c>
      <c r="B136" s="65" t="s">
        <v>1015</v>
      </c>
      <c r="C136" s="65" t="s">
        <v>1016</v>
      </c>
      <c r="D136" s="65" t="s">
        <v>1848</v>
      </c>
      <c r="E136" s="65" t="s">
        <v>341</v>
      </c>
      <c r="F136" s="65" t="s">
        <v>1820</v>
      </c>
      <c r="G136" s="65" t="s">
        <v>1821</v>
      </c>
      <c r="H136" s="65" t="s">
        <v>341</v>
      </c>
      <c r="I136" s="65" t="s">
        <v>341</v>
      </c>
      <c r="J136" s="65" t="s">
        <v>341</v>
      </c>
      <c r="K136" s="65" t="s">
        <v>341</v>
      </c>
      <c r="L136" s="65" t="s">
        <v>341</v>
      </c>
      <c r="M136" s="65" t="s">
        <v>341</v>
      </c>
      <c r="N136" s="65" t="s">
        <v>341</v>
      </c>
      <c r="O136" s="65" t="s">
        <v>341</v>
      </c>
      <c r="P136" s="65" t="s">
        <v>341</v>
      </c>
      <c r="Q136" s="65" t="s">
        <v>341</v>
      </c>
      <c r="R136" s="65" t="s">
        <v>341</v>
      </c>
      <c r="S136" s="65" t="s">
        <v>341</v>
      </c>
      <c r="T136" s="65" t="s">
        <v>341</v>
      </c>
      <c r="U136" s="65" t="s">
        <v>341</v>
      </c>
      <c r="V136" s="65" t="s">
        <v>341</v>
      </c>
      <c r="W136" s="65" t="s">
        <v>341</v>
      </c>
      <c r="X136" s="65" t="s">
        <v>341</v>
      </c>
      <c r="Y136" s="65" t="s">
        <v>1835</v>
      </c>
      <c r="Z136" s="65" t="s">
        <v>1827</v>
      </c>
      <c r="AA136" s="65" t="s">
        <v>1849</v>
      </c>
      <c r="AB136" s="65" t="s">
        <v>341</v>
      </c>
      <c r="AC136" s="65" t="s">
        <v>341</v>
      </c>
      <c r="AD136" s="65" t="s">
        <v>341</v>
      </c>
      <c r="AE136" s="65" t="s">
        <v>341</v>
      </c>
      <c r="AF136" s="65" t="s">
        <v>341</v>
      </c>
      <c r="AG136" s="65" t="s">
        <v>341</v>
      </c>
      <c r="AH136" s="65" t="s">
        <v>341</v>
      </c>
      <c r="AI136" s="65" t="s">
        <v>341</v>
      </c>
      <c r="AJ136" s="65" t="s">
        <v>341</v>
      </c>
      <c r="AK136" s="65" t="s">
        <v>341</v>
      </c>
      <c r="AL136" s="65" t="s">
        <v>341</v>
      </c>
      <c r="AM136" s="65" t="s">
        <v>341</v>
      </c>
      <c r="AN136" s="65" t="s">
        <v>341</v>
      </c>
      <c r="AO136" s="65" t="s">
        <v>341</v>
      </c>
      <c r="AP136" s="65" t="s">
        <v>341</v>
      </c>
      <c r="AQ136" s="65" t="s">
        <v>341</v>
      </c>
      <c r="AR136" s="65" t="s">
        <v>341</v>
      </c>
      <c r="AS136" s="65" t="s">
        <v>341</v>
      </c>
      <c r="AT136" s="65" t="s">
        <v>341</v>
      </c>
      <c r="AU136" s="65" t="s">
        <v>341</v>
      </c>
      <c r="AV136" s="65" t="s">
        <v>341</v>
      </c>
      <c r="AW136" s="65" t="s">
        <v>341</v>
      </c>
      <c r="AX136" s="65" t="s">
        <v>341</v>
      </c>
      <c r="AY136" s="65" t="s">
        <v>341</v>
      </c>
    </row>
    <row r="137" spans="1:51" x14ac:dyDescent="0.2">
      <c r="A137" s="65" t="s">
        <v>1341</v>
      </c>
      <c r="B137" s="65" t="s">
        <v>1017</v>
      </c>
      <c r="C137" s="65" t="s">
        <v>1018</v>
      </c>
      <c r="D137" s="65" t="s">
        <v>1850</v>
      </c>
      <c r="E137" s="65" t="s">
        <v>341</v>
      </c>
      <c r="F137" s="65" t="s">
        <v>1820</v>
      </c>
      <c r="G137" s="65" t="s">
        <v>1821</v>
      </c>
      <c r="H137" s="65" t="s">
        <v>341</v>
      </c>
      <c r="I137" s="65" t="s">
        <v>341</v>
      </c>
      <c r="J137" s="65" t="s">
        <v>341</v>
      </c>
      <c r="K137" s="65" t="s">
        <v>341</v>
      </c>
      <c r="L137" s="65" t="s">
        <v>341</v>
      </c>
      <c r="M137" s="65" t="s">
        <v>341</v>
      </c>
      <c r="N137" s="65" t="s">
        <v>341</v>
      </c>
      <c r="O137" s="65" t="s">
        <v>341</v>
      </c>
      <c r="P137" s="65" t="s">
        <v>341</v>
      </c>
      <c r="Q137" s="65" t="s">
        <v>341</v>
      </c>
      <c r="R137" s="65" t="s">
        <v>341</v>
      </c>
      <c r="S137" s="65" t="s">
        <v>341</v>
      </c>
      <c r="T137" s="65" t="s">
        <v>341</v>
      </c>
      <c r="U137" s="65" t="s">
        <v>341</v>
      </c>
      <c r="V137" s="65" t="s">
        <v>341</v>
      </c>
      <c r="W137" s="65" t="s">
        <v>341</v>
      </c>
      <c r="X137" s="65" t="s">
        <v>341</v>
      </c>
      <c r="Y137" s="65" t="s">
        <v>1822</v>
      </c>
      <c r="Z137" s="65" t="s">
        <v>1823</v>
      </c>
      <c r="AA137" s="65" t="s">
        <v>1851</v>
      </c>
      <c r="AB137" s="65" t="s">
        <v>341</v>
      </c>
      <c r="AC137" s="65" t="s">
        <v>341</v>
      </c>
      <c r="AD137" s="65" t="s">
        <v>341</v>
      </c>
      <c r="AE137" s="65" t="s">
        <v>341</v>
      </c>
      <c r="AF137" s="65" t="s">
        <v>341</v>
      </c>
      <c r="AG137" s="65" t="s">
        <v>341</v>
      </c>
      <c r="AH137" s="65" t="s">
        <v>341</v>
      </c>
      <c r="AI137" s="65" t="s">
        <v>341</v>
      </c>
      <c r="AJ137" s="65" t="s">
        <v>341</v>
      </c>
      <c r="AK137" s="65" t="s">
        <v>341</v>
      </c>
      <c r="AL137" s="65" t="s">
        <v>341</v>
      </c>
      <c r="AM137" s="65" t="s">
        <v>341</v>
      </c>
      <c r="AN137" s="65" t="s">
        <v>341</v>
      </c>
      <c r="AO137" s="65" t="s">
        <v>341</v>
      </c>
      <c r="AP137" s="65" t="s">
        <v>341</v>
      </c>
      <c r="AQ137" s="65" t="s">
        <v>341</v>
      </c>
      <c r="AR137" s="65" t="s">
        <v>341</v>
      </c>
      <c r="AS137" s="65" t="s">
        <v>341</v>
      </c>
      <c r="AT137" s="65" t="s">
        <v>341</v>
      </c>
      <c r="AU137" s="65" t="s">
        <v>341</v>
      </c>
      <c r="AV137" s="65" t="s">
        <v>341</v>
      </c>
      <c r="AW137" s="65" t="s">
        <v>341</v>
      </c>
      <c r="AX137" s="65" t="s">
        <v>341</v>
      </c>
      <c r="AY137" s="65" t="s">
        <v>341</v>
      </c>
    </row>
    <row r="138" spans="1:51" x14ac:dyDescent="0.2">
      <c r="A138" s="65" t="s">
        <v>1341</v>
      </c>
      <c r="B138" s="65" t="s">
        <v>1019</v>
      </c>
      <c r="C138" s="65" t="s">
        <v>1020</v>
      </c>
      <c r="D138" s="65" t="s">
        <v>1852</v>
      </c>
      <c r="E138" s="65" t="s">
        <v>341</v>
      </c>
      <c r="F138" s="65" t="s">
        <v>1820</v>
      </c>
      <c r="G138" s="65" t="s">
        <v>1821</v>
      </c>
      <c r="H138" s="65" t="s">
        <v>341</v>
      </c>
      <c r="I138" s="65" t="s">
        <v>341</v>
      </c>
      <c r="J138" s="65" t="s">
        <v>341</v>
      </c>
      <c r="K138" s="65" t="s">
        <v>341</v>
      </c>
      <c r="L138" s="65" t="s">
        <v>341</v>
      </c>
      <c r="M138" s="65" t="s">
        <v>341</v>
      </c>
      <c r="N138" s="65" t="s">
        <v>341</v>
      </c>
      <c r="O138" s="65" t="s">
        <v>341</v>
      </c>
      <c r="P138" s="65" t="s">
        <v>341</v>
      </c>
      <c r="Q138" s="65" t="s">
        <v>341</v>
      </c>
      <c r="R138" s="65" t="s">
        <v>341</v>
      </c>
      <c r="S138" s="65" t="s">
        <v>341</v>
      </c>
      <c r="T138" s="65" t="s">
        <v>341</v>
      </c>
      <c r="U138" s="65" t="s">
        <v>341</v>
      </c>
      <c r="V138" s="65" t="s">
        <v>341</v>
      </c>
      <c r="W138" s="65" t="s">
        <v>341</v>
      </c>
      <c r="X138" s="65" t="s">
        <v>341</v>
      </c>
      <c r="Y138" s="65" t="s">
        <v>1020</v>
      </c>
      <c r="Z138" s="65" t="s">
        <v>1853</v>
      </c>
      <c r="AA138" s="65" t="s">
        <v>1854</v>
      </c>
      <c r="AB138" s="65" t="s">
        <v>341</v>
      </c>
      <c r="AC138" s="65" t="s">
        <v>341</v>
      </c>
      <c r="AD138" s="65" t="s">
        <v>341</v>
      </c>
      <c r="AE138" s="65" t="s">
        <v>341</v>
      </c>
      <c r="AF138" s="65" t="s">
        <v>341</v>
      </c>
      <c r="AG138" s="65" t="s">
        <v>341</v>
      </c>
      <c r="AH138" s="65" t="s">
        <v>341</v>
      </c>
      <c r="AI138" s="65" t="s">
        <v>341</v>
      </c>
      <c r="AJ138" s="65" t="s">
        <v>341</v>
      </c>
      <c r="AK138" s="65" t="s">
        <v>341</v>
      </c>
      <c r="AL138" s="65" t="s">
        <v>341</v>
      </c>
      <c r="AM138" s="65" t="s">
        <v>341</v>
      </c>
      <c r="AN138" s="65" t="s">
        <v>341</v>
      </c>
      <c r="AO138" s="65" t="s">
        <v>341</v>
      </c>
      <c r="AP138" s="65" t="s">
        <v>341</v>
      </c>
      <c r="AQ138" s="65" t="s">
        <v>341</v>
      </c>
      <c r="AR138" s="65" t="s">
        <v>341</v>
      </c>
      <c r="AS138" s="65" t="s">
        <v>341</v>
      </c>
      <c r="AT138" s="65" t="s">
        <v>341</v>
      </c>
      <c r="AU138" s="65" t="s">
        <v>341</v>
      </c>
      <c r="AV138" s="65" t="s">
        <v>341</v>
      </c>
      <c r="AW138" s="65" t="s">
        <v>341</v>
      </c>
      <c r="AX138" s="65" t="s">
        <v>341</v>
      </c>
      <c r="AY138" s="65" t="s">
        <v>341</v>
      </c>
    </row>
    <row r="139" spans="1:51" x14ac:dyDescent="0.2">
      <c r="A139" s="65" t="s">
        <v>1341</v>
      </c>
      <c r="B139" s="65" t="s">
        <v>1021</v>
      </c>
      <c r="C139" s="65" t="s">
        <v>1022</v>
      </c>
      <c r="D139" s="65" t="s">
        <v>1855</v>
      </c>
      <c r="E139" s="65" t="s">
        <v>341</v>
      </c>
      <c r="F139" s="65" t="s">
        <v>1820</v>
      </c>
      <c r="G139" s="65" t="s">
        <v>1821</v>
      </c>
      <c r="H139" s="65" t="s">
        <v>341</v>
      </c>
      <c r="I139" s="65" t="s">
        <v>341</v>
      </c>
      <c r="J139" s="65" t="s">
        <v>341</v>
      </c>
      <c r="K139" s="65" t="s">
        <v>341</v>
      </c>
      <c r="L139" s="65" t="s">
        <v>341</v>
      </c>
      <c r="M139" s="65" t="s">
        <v>341</v>
      </c>
      <c r="N139" s="65" t="s">
        <v>341</v>
      </c>
      <c r="O139" s="65" t="s">
        <v>341</v>
      </c>
      <c r="P139" s="65" t="s">
        <v>341</v>
      </c>
      <c r="Q139" s="65" t="s">
        <v>341</v>
      </c>
      <c r="R139" s="65" t="s">
        <v>341</v>
      </c>
      <c r="S139" s="65" t="s">
        <v>341</v>
      </c>
      <c r="T139" s="65" t="s">
        <v>341</v>
      </c>
      <c r="U139" s="65" t="s">
        <v>341</v>
      </c>
      <c r="V139" s="65" t="s">
        <v>341</v>
      </c>
      <c r="W139" s="65" t="s">
        <v>341</v>
      </c>
      <c r="X139" s="65" t="s">
        <v>341</v>
      </c>
      <c r="Y139" s="65" t="s">
        <v>1835</v>
      </c>
      <c r="Z139" s="65" t="s">
        <v>1827</v>
      </c>
      <c r="AA139" s="65" t="s">
        <v>1856</v>
      </c>
      <c r="AB139" s="65" t="s">
        <v>341</v>
      </c>
      <c r="AC139" s="65" t="s">
        <v>341</v>
      </c>
      <c r="AD139" s="65" t="s">
        <v>341</v>
      </c>
      <c r="AE139" s="65" t="s">
        <v>341</v>
      </c>
      <c r="AF139" s="65" t="s">
        <v>341</v>
      </c>
      <c r="AG139" s="65" t="s">
        <v>341</v>
      </c>
      <c r="AH139" s="65" t="s">
        <v>341</v>
      </c>
      <c r="AI139" s="65" t="s">
        <v>341</v>
      </c>
      <c r="AJ139" s="65" t="s">
        <v>341</v>
      </c>
      <c r="AK139" s="65" t="s">
        <v>341</v>
      </c>
      <c r="AL139" s="65" t="s">
        <v>341</v>
      </c>
      <c r="AM139" s="65" t="s">
        <v>341</v>
      </c>
      <c r="AN139" s="65" t="s">
        <v>341</v>
      </c>
      <c r="AO139" s="65" t="s">
        <v>341</v>
      </c>
      <c r="AP139" s="65" t="s">
        <v>341</v>
      </c>
      <c r="AQ139" s="65" t="s">
        <v>341</v>
      </c>
      <c r="AR139" s="65" t="s">
        <v>341</v>
      </c>
      <c r="AS139" s="65" t="s">
        <v>341</v>
      </c>
      <c r="AT139" s="65" t="s">
        <v>341</v>
      </c>
      <c r="AU139" s="65" t="s">
        <v>341</v>
      </c>
      <c r="AV139" s="65" t="s">
        <v>341</v>
      </c>
      <c r="AW139" s="65" t="s">
        <v>341</v>
      </c>
      <c r="AX139" s="65" t="s">
        <v>341</v>
      </c>
      <c r="AY139" s="65" t="s">
        <v>341</v>
      </c>
    </row>
    <row r="140" spans="1:51" x14ac:dyDescent="0.2">
      <c r="A140" s="65" t="s">
        <v>1341</v>
      </c>
      <c r="B140" s="65" t="s">
        <v>1025</v>
      </c>
      <c r="C140" s="65" t="s">
        <v>1026</v>
      </c>
      <c r="D140" s="65" t="s">
        <v>1857</v>
      </c>
      <c r="E140" s="65" t="s">
        <v>341</v>
      </c>
      <c r="F140" s="65" t="s">
        <v>1820</v>
      </c>
      <c r="G140" s="65" t="s">
        <v>1821</v>
      </c>
      <c r="H140" s="65" t="s">
        <v>341</v>
      </c>
      <c r="I140" s="65" t="s">
        <v>341</v>
      </c>
      <c r="J140" s="65" t="s">
        <v>341</v>
      </c>
      <c r="K140" s="65" t="s">
        <v>341</v>
      </c>
      <c r="L140" s="65" t="s">
        <v>341</v>
      </c>
      <c r="M140" s="65" t="s">
        <v>341</v>
      </c>
      <c r="N140" s="65" t="s">
        <v>341</v>
      </c>
      <c r="O140" s="65" t="s">
        <v>341</v>
      </c>
      <c r="P140" s="65" t="s">
        <v>341</v>
      </c>
      <c r="Q140" s="65" t="s">
        <v>341</v>
      </c>
      <c r="R140" s="65" t="s">
        <v>341</v>
      </c>
      <c r="S140" s="65" t="s">
        <v>341</v>
      </c>
      <c r="T140" s="65" t="s">
        <v>341</v>
      </c>
      <c r="U140" s="65" t="s">
        <v>341</v>
      </c>
      <c r="V140" s="65" t="s">
        <v>341</v>
      </c>
      <c r="W140" s="65" t="s">
        <v>341</v>
      </c>
      <c r="X140" s="65" t="s">
        <v>341</v>
      </c>
      <c r="Y140" s="65" t="s">
        <v>1835</v>
      </c>
      <c r="Z140" s="65" t="s">
        <v>1827</v>
      </c>
      <c r="AA140" s="65" t="s">
        <v>1858</v>
      </c>
      <c r="AB140" s="65" t="s">
        <v>341</v>
      </c>
      <c r="AC140" s="65" t="s">
        <v>341</v>
      </c>
      <c r="AD140" s="65" t="s">
        <v>341</v>
      </c>
      <c r="AE140" s="65" t="s">
        <v>341</v>
      </c>
      <c r="AF140" s="65" t="s">
        <v>341</v>
      </c>
      <c r="AG140" s="65" t="s">
        <v>341</v>
      </c>
      <c r="AH140" s="65" t="s">
        <v>341</v>
      </c>
      <c r="AI140" s="65" t="s">
        <v>341</v>
      </c>
      <c r="AJ140" s="65" t="s">
        <v>341</v>
      </c>
      <c r="AK140" s="65" t="s">
        <v>341</v>
      </c>
      <c r="AL140" s="65" t="s">
        <v>341</v>
      </c>
      <c r="AM140" s="65" t="s">
        <v>341</v>
      </c>
      <c r="AN140" s="65" t="s">
        <v>341</v>
      </c>
      <c r="AO140" s="65" t="s">
        <v>341</v>
      </c>
      <c r="AP140" s="65" t="s">
        <v>341</v>
      </c>
      <c r="AQ140" s="65" t="s">
        <v>341</v>
      </c>
      <c r="AR140" s="65" t="s">
        <v>341</v>
      </c>
      <c r="AS140" s="65" t="s">
        <v>341</v>
      </c>
      <c r="AT140" s="65" t="s">
        <v>341</v>
      </c>
      <c r="AU140" s="65" t="s">
        <v>341</v>
      </c>
      <c r="AV140" s="65" t="s">
        <v>341</v>
      </c>
      <c r="AW140" s="65" t="s">
        <v>341</v>
      </c>
      <c r="AX140" s="65" t="s">
        <v>341</v>
      </c>
      <c r="AY140" s="65" t="s">
        <v>341</v>
      </c>
    </row>
    <row r="141" spans="1:51" x14ac:dyDescent="0.2">
      <c r="A141" s="65" t="s">
        <v>1341</v>
      </c>
      <c r="B141" s="65" t="s">
        <v>1027</v>
      </c>
      <c r="C141" s="65" t="s">
        <v>1028</v>
      </c>
      <c r="D141" s="65" t="s">
        <v>1859</v>
      </c>
      <c r="E141" s="65" t="s">
        <v>341</v>
      </c>
      <c r="F141" s="65" t="s">
        <v>1820</v>
      </c>
      <c r="G141" s="65" t="s">
        <v>1821</v>
      </c>
      <c r="H141" s="65" t="s">
        <v>341</v>
      </c>
      <c r="I141" s="65" t="s">
        <v>341</v>
      </c>
      <c r="J141" s="65" t="s">
        <v>341</v>
      </c>
      <c r="K141" s="65" t="s">
        <v>341</v>
      </c>
      <c r="L141" s="65" t="s">
        <v>341</v>
      </c>
      <c r="M141" s="65" t="s">
        <v>341</v>
      </c>
      <c r="N141" s="65" t="s">
        <v>341</v>
      </c>
      <c r="O141" s="65" t="s">
        <v>341</v>
      </c>
      <c r="P141" s="65" t="s">
        <v>341</v>
      </c>
      <c r="Q141" s="65" t="s">
        <v>341</v>
      </c>
      <c r="R141" s="65" t="s">
        <v>341</v>
      </c>
      <c r="S141" s="65" t="s">
        <v>341</v>
      </c>
      <c r="T141" s="65" t="s">
        <v>341</v>
      </c>
      <c r="U141" s="65" t="s">
        <v>341</v>
      </c>
      <c r="V141" s="65" t="s">
        <v>341</v>
      </c>
      <c r="W141" s="65" t="s">
        <v>341</v>
      </c>
      <c r="X141" s="65" t="s">
        <v>341</v>
      </c>
      <c r="Y141" s="65" t="s">
        <v>1860</v>
      </c>
      <c r="Z141" s="65" t="s">
        <v>1827</v>
      </c>
      <c r="AA141" s="65" t="s">
        <v>1861</v>
      </c>
      <c r="AB141" s="65" t="s">
        <v>341</v>
      </c>
      <c r="AC141" s="65" t="s">
        <v>341</v>
      </c>
      <c r="AD141" s="65" t="s">
        <v>341</v>
      </c>
      <c r="AE141" s="65" t="s">
        <v>341</v>
      </c>
      <c r="AF141" s="65" t="s">
        <v>341</v>
      </c>
      <c r="AG141" s="65" t="s">
        <v>341</v>
      </c>
      <c r="AH141" s="65" t="s">
        <v>341</v>
      </c>
      <c r="AI141" s="65" t="s">
        <v>341</v>
      </c>
      <c r="AJ141" s="65" t="s">
        <v>341</v>
      </c>
      <c r="AK141" s="65" t="s">
        <v>341</v>
      </c>
      <c r="AL141" s="65" t="s">
        <v>341</v>
      </c>
      <c r="AM141" s="65" t="s">
        <v>341</v>
      </c>
      <c r="AN141" s="65" t="s">
        <v>341</v>
      </c>
      <c r="AO141" s="65" t="s">
        <v>341</v>
      </c>
      <c r="AP141" s="65" t="s">
        <v>341</v>
      </c>
      <c r="AQ141" s="65" t="s">
        <v>341</v>
      </c>
      <c r="AR141" s="65" t="s">
        <v>341</v>
      </c>
      <c r="AS141" s="65" t="s">
        <v>341</v>
      </c>
      <c r="AT141" s="65" t="s">
        <v>341</v>
      </c>
      <c r="AU141" s="65" t="s">
        <v>341</v>
      </c>
      <c r="AV141" s="65" t="s">
        <v>341</v>
      </c>
      <c r="AW141" s="65" t="s">
        <v>341</v>
      </c>
      <c r="AX141" s="65" t="s">
        <v>341</v>
      </c>
      <c r="AY141" s="65" t="s">
        <v>341</v>
      </c>
    </row>
    <row r="142" spans="1:51" x14ac:dyDescent="0.2">
      <c r="A142" s="65" t="s">
        <v>1341</v>
      </c>
      <c r="B142" s="65" t="s">
        <v>1029</v>
      </c>
      <c r="C142" s="65" t="s">
        <v>1030</v>
      </c>
      <c r="D142" s="65" t="s">
        <v>1862</v>
      </c>
      <c r="E142" s="65" t="s">
        <v>341</v>
      </c>
      <c r="F142" s="65" t="s">
        <v>1820</v>
      </c>
      <c r="G142" s="65" t="s">
        <v>1821</v>
      </c>
      <c r="H142" s="65" t="s">
        <v>341</v>
      </c>
      <c r="I142" s="65" t="s">
        <v>341</v>
      </c>
      <c r="J142" s="65" t="s">
        <v>341</v>
      </c>
      <c r="K142" s="65" t="s">
        <v>341</v>
      </c>
      <c r="L142" s="65" t="s">
        <v>341</v>
      </c>
      <c r="M142" s="65" t="s">
        <v>341</v>
      </c>
      <c r="N142" s="65" t="s">
        <v>341</v>
      </c>
      <c r="O142" s="65" t="s">
        <v>341</v>
      </c>
      <c r="P142" s="65" t="s">
        <v>341</v>
      </c>
      <c r="Q142" s="65" t="s">
        <v>341</v>
      </c>
      <c r="R142" s="65" t="s">
        <v>341</v>
      </c>
      <c r="S142" s="65" t="s">
        <v>341</v>
      </c>
      <c r="T142" s="65" t="s">
        <v>341</v>
      </c>
      <c r="U142" s="65" t="s">
        <v>341</v>
      </c>
      <c r="V142" s="65" t="s">
        <v>341</v>
      </c>
      <c r="W142" s="65" t="s">
        <v>341</v>
      </c>
      <c r="X142" s="65" t="s">
        <v>341</v>
      </c>
      <c r="Y142" s="65" t="s">
        <v>341</v>
      </c>
      <c r="Z142" s="65" t="s">
        <v>341</v>
      </c>
      <c r="AA142" s="65" t="s">
        <v>341</v>
      </c>
      <c r="AB142" s="65" t="s">
        <v>341</v>
      </c>
      <c r="AC142" s="65" t="s">
        <v>341</v>
      </c>
      <c r="AD142" s="65" t="s">
        <v>341</v>
      </c>
      <c r="AE142" s="65" t="s">
        <v>341</v>
      </c>
      <c r="AF142" s="65" t="s">
        <v>341</v>
      </c>
      <c r="AG142" s="65" t="s">
        <v>341</v>
      </c>
      <c r="AH142" s="65" t="s">
        <v>341</v>
      </c>
      <c r="AI142" s="65" t="s">
        <v>341</v>
      </c>
      <c r="AJ142" s="65" t="s">
        <v>341</v>
      </c>
      <c r="AK142" s="65" t="s">
        <v>341</v>
      </c>
      <c r="AL142" s="65" t="s">
        <v>341</v>
      </c>
      <c r="AM142" s="65" t="s">
        <v>341</v>
      </c>
      <c r="AN142" s="65" t="s">
        <v>341</v>
      </c>
      <c r="AO142" s="65" t="s">
        <v>341</v>
      </c>
      <c r="AP142" s="65" t="s">
        <v>341</v>
      </c>
      <c r="AQ142" s="65" t="s">
        <v>341</v>
      </c>
      <c r="AR142" s="65" t="s">
        <v>341</v>
      </c>
      <c r="AS142" s="65" t="s">
        <v>341</v>
      </c>
      <c r="AT142" s="65" t="s">
        <v>341</v>
      </c>
      <c r="AU142" s="65" t="s">
        <v>341</v>
      </c>
      <c r="AV142" s="65" t="s">
        <v>341</v>
      </c>
      <c r="AW142" s="65" t="s">
        <v>341</v>
      </c>
      <c r="AX142" s="65" t="s">
        <v>341</v>
      </c>
      <c r="AY142" s="65" t="s">
        <v>341</v>
      </c>
    </row>
    <row r="143" spans="1:51" x14ac:dyDescent="0.2">
      <c r="A143" s="65" t="s">
        <v>1341</v>
      </c>
      <c r="B143" s="65" t="s">
        <v>1031</v>
      </c>
      <c r="C143" s="65" t="s">
        <v>1032</v>
      </c>
      <c r="D143" s="65" t="s">
        <v>1863</v>
      </c>
      <c r="E143" s="65" t="s">
        <v>341</v>
      </c>
      <c r="F143" s="65" t="s">
        <v>1820</v>
      </c>
      <c r="G143" s="65" t="s">
        <v>1821</v>
      </c>
      <c r="H143" s="65" t="s">
        <v>341</v>
      </c>
      <c r="I143" s="65" t="s">
        <v>341</v>
      </c>
      <c r="J143" s="65" t="s">
        <v>341</v>
      </c>
      <c r="K143" s="65" t="s">
        <v>341</v>
      </c>
      <c r="L143" s="65" t="s">
        <v>341</v>
      </c>
      <c r="M143" s="65" t="s">
        <v>341</v>
      </c>
      <c r="N143" s="65" t="s">
        <v>341</v>
      </c>
      <c r="O143" s="65" t="s">
        <v>341</v>
      </c>
      <c r="P143" s="65" t="s">
        <v>341</v>
      </c>
      <c r="Q143" s="65" t="s">
        <v>341</v>
      </c>
      <c r="R143" s="65" t="s">
        <v>341</v>
      </c>
      <c r="S143" s="65" t="s">
        <v>341</v>
      </c>
      <c r="T143" s="65" t="s">
        <v>341</v>
      </c>
      <c r="U143" s="65" t="s">
        <v>341</v>
      </c>
      <c r="V143" s="65" t="s">
        <v>341</v>
      </c>
      <c r="W143" s="65" t="s">
        <v>341</v>
      </c>
      <c r="X143" s="65" t="s">
        <v>341</v>
      </c>
      <c r="Y143" s="65" t="s">
        <v>1864</v>
      </c>
      <c r="Z143" s="65" t="s">
        <v>1827</v>
      </c>
      <c r="AA143" s="65" t="s">
        <v>1865</v>
      </c>
      <c r="AB143" s="65" t="s">
        <v>341</v>
      </c>
      <c r="AC143" s="65" t="s">
        <v>341</v>
      </c>
      <c r="AD143" s="65" t="s">
        <v>341</v>
      </c>
      <c r="AE143" s="65" t="s">
        <v>341</v>
      </c>
      <c r="AF143" s="65" t="s">
        <v>341</v>
      </c>
      <c r="AG143" s="65" t="s">
        <v>341</v>
      </c>
      <c r="AH143" s="65" t="s">
        <v>341</v>
      </c>
      <c r="AI143" s="65" t="s">
        <v>341</v>
      </c>
      <c r="AJ143" s="65" t="s">
        <v>341</v>
      </c>
      <c r="AK143" s="65" t="s">
        <v>341</v>
      </c>
      <c r="AL143" s="65" t="s">
        <v>341</v>
      </c>
      <c r="AM143" s="65" t="s">
        <v>341</v>
      </c>
      <c r="AN143" s="65" t="s">
        <v>341</v>
      </c>
      <c r="AO143" s="65" t="s">
        <v>341</v>
      </c>
      <c r="AP143" s="65" t="s">
        <v>341</v>
      </c>
      <c r="AQ143" s="65" t="s">
        <v>341</v>
      </c>
      <c r="AR143" s="65" t="s">
        <v>341</v>
      </c>
      <c r="AS143" s="65" t="s">
        <v>341</v>
      </c>
      <c r="AT143" s="65" t="s">
        <v>341</v>
      </c>
      <c r="AU143" s="65" t="s">
        <v>341</v>
      </c>
      <c r="AV143" s="65" t="s">
        <v>341</v>
      </c>
      <c r="AW143" s="65" t="s">
        <v>341</v>
      </c>
      <c r="AX143" s="65" t="s">
        <v>341</v>
      </c>
      <c r="AY143" s="65" t="s">
        <v>341</v>
      </c>
    </row>
    <row r="144" spans="1:51" x14ac:dyDescent="0.2">
      <c r="A144" s="65" t="s">
        <v>1341</v>
      </c>
      <c r="B144" s="65" t="s">
        <v>1033</v>
      </c>
      <c r="C144" s="65" t="s">
        <v>1034</v>
      </c>
      <c r="D144" s="65" t="s">
        <v>1866</v>
      </c>
      <c r="E144" s="65" t="s">
        <v>341</v>
      </c>
      <c r="F144" s="65" t="s">
        <v>1820</v>
      </c>
      <c r="G144" s="65" t="s">
        <v>1821</v>
      </c>
      <c r="H144" s="65" t="s">
        <v>341</v>
      </c>
      <c r="I144" s="65" t="s">
        <v>341</v>
      </c>
      <c r="J144" s="65" t="s">
        <v>341</v>
      </c>
      <c r="K144" s="65" t="s">
        <v>341</v>
      </c>
      <c r="L144" s="65" t="s">
        <v>341</v>
      </c>
      <c r="M144" s="65" t="s">
        <v>341</v>
      </c>
      <c r="N144" s="65" t="s">
        <v>341</v>
      </c>
      <c r="O144" s="65" t="s">
        <v>341</v>
      </c>
      <c r="P144" s="65" t="s">
        <v>341</v>
      </c>
      <c r="Q144" s="65" t="s">
        <v>341</v>
      </c>
      <c r="R144" s="65" t="s">
        <v>341</v>
      </c>
      <c r="S144" s="65" t="s">
        <v>341</v>
      </c>
      <c r="T144" s="65" t="s">
        <v>341</v>
      </c>
      <c r="U144" s="65" t="s">
        <v>341</v>
      </c>
      <c r="V144" s="65" t="s">
        <v>341</v>
      </c>
      <c r="W144" s="65" t="s">
        <v>341</v>
      </c>
      <c r="X144" s="65" t="s">
        <v>341</v>
      </c>
      <c r="Y144" s="65" t="s">
        <v>341</v>
      </c>
      <c r="Z144" s="65" t="s">
        <v>341</v>
      </c>
      <c r="AA144" s="65" t="s">
        <v>341</v>
      </c>
      <c r="AB144" s="65" t="s">
        <v>341</v>
      </c>
      <c r="AC144" s="65" t="s">
        <v>341</v>
      </c>
      <c r="AD144" s="65" t="s">
        <v>341</v>
      </c>
      <c r="AE144" s="65" t="s">
        <v>341</v>
      </c>
      <c r="AF144" s="65" t="s">
        <v>341</v>
      </c>
      <c r="AG144" s="65" t="s">
        <v>341</v>
      </c>
      <c r="AH144" s="65" t="s">
        <v>341</v>
      </c>
      <c r="AI144" s="65" t="s">
        <v>341</v>
      </c>
      <c r="AJ144" s="65" t="s">
        <v>341</v>
      </c>
      <c r="AK144" s="65" t="s">
        <v>341</v>
      </c>
      <c r="AL144" s="65" t="s">
        <v>341</v>
      </c>
      <c r="AM144" s="65" t="s">
        <v>341</v>
      </c>
      <c r="AN144" s="65" t="s">
        <v>341</v>
      </c>
      <c r="AO144" s="65" t="s">
        <v>341</v>
      </c>
      <c r="AP144" s="65" t="s">
        <v>341</v>
      </c>
      <c r="AQ144" s="65" t="s">
        <v>341</v>
      </c>
      <c r="AR144" s="65" t="s">
        <v>341</v>
      </c>
      <c r="AS144" s="65" t="s">
        <v>341</v>
      </c>
      <c r="AT144" s="65" t="s">
        <v>341</v>
      </c>
      <c r="AU144" s="65" t="s">
        <v>341</v>
      </c>
      <c r="AV144" s="65" t="s">
        <v>341</v>
      </c>
      <c r="AW144" s="65" t="s">
        <v>341</v>
      </c>
      <c r="AX144" s="65" t="s">
        <v>341</v>
      </c>
      <c r="AY144" s="65" t="s">
        <v>341</v>
      </c>
    </row>
    <row r="145" spans="1:51" x14ac:dyDescent="0.2">
      <c r="A145" s="65" t="s">
        <v>1341</v>
      </c>
      <c r="B145" s="65" t="s">
        <v>1035</v>
      </c>
      <c r="C145" s="65" t="s">
        <v>1036</v>
      </c>
      <c r="D145" s="65" t="s">
        <v>1867</v>
      </c>
      <c r="E145" s="65" t="s">
        <v>341</v>
      </c>
      <c r="F145" s="65" t="s">
        <v>1820</v>
      </c>
      <c r="G145" s="65" t="s">
        <v>1821</v>
      </c>
      <c r="H145" s="65" t="s">
        <v>341</v>
      </c>
      <c r="I145" s="65" t="s">
        <v>341</v>
      </c>
      <c r="J145" s="65" t="s">
        <v>341</v>
      </c>
      <c r="K145" s="65" t="s">
        <v>341</v>
      </c>
      <c r="L145" s="65" t="s">
        <v>341</v>
      </c>
      <c r="M145" s="65" t="s">
        <v>341</v>
      </c>
      <c r="N145" s="65" t="s">
        <v>341</v>
      </c>
      <c r="O145" s="65" t="s">
        <v>341</v>
      </c>
      <c r="P145" s="65" t="s">
        <v>341</v>
      </c>
      <c r="Q145" s="65" t="s">
        <v>341</v>
      </c>
      <c r="R145" s="65" t="s">
        <v>341</v>
      </c>
      <c r="S145" s="65" t="s">
        <v>341</v>
      </c>
      <c r="T145" s="65" t="s">
        <v>341</v>
      </c>
      <c r="U145" s="65" t="s">
        <v>341</v>
      </c>
      <c r="V145" s="65" t="s">
        <v>341</v>
      </c>
      <c r="W145" s="65" t="s">
        <v>341</v>
      </c>
      <c r="X145" s="65" t="s">
        <v>341</v>
      </c>
      <c r="Y145" s="65" t="s">
        <v>1835</v>
      </c>
      <c r="Z145" s="65" t="s">
        <v>1827</v>
      </c>
      <c r="AA145" s="65" t="s">
        <v>1868</v>
      </c>
      <c r="AB145" s="65" t="s">
        <v>341</v>
      </c>
      <c r="AC145" s="65" t="s">
        <v>341</v>
      </c>
      <c r="AD145" s="65" t="s">
        <v>341</v>
      </c>
      <c r="AE145" s="65" t="s">
        <v>341</v>
      </c>
      <c r="AF145" s="65" t="s">
        <v>341</v>
      </c>
      <c r="AG145" s="65" t="s">
        <v>341</v>
      </c>
      <c r="AH145" s="65" t="s">
        <v>341</v>
      </c>
      <c r="AI145" s="65" t="s">
        <v>341</v>
      </c>
      <c r="AJ145" s="65" t="s">
        <v>341</v>
      </c>
      <c r="AK145" s="65" t="s">
        <v>341</v>
      </c>
      <c r="AL145" s="65" t="s">
        <v>341</v>
      </c>
      <c r="AM145" s="65" t="s">
        <v>341</v>
      </c>
      <c r="AN145" s="65" t="s">
        <v>341</v>
      </c>
      <c r="AO145" s="65" t="s">
        <v>341</v>
      </c>
      <c r="AP145" s="65" t="s">
        <v>341</v>
      </c>
      <c r="AQ145" s="65" t="s">
        <v>341</v>
      </c>
      <c r="AR145" s="65" t="s">
        <v>341</v>
      </c>
      <c r="AS145" s="65" t="s">
        <v>341</v>
      </c>
      <c r="AT145" s="65" t="s">
        <v>341</v>
      </c>
      <c r="AU145" s="65" t="s">
        <v>341</v>
      </c>
      <c r="AV145" s="65" t="s">
        <v>341</v>
      </c>
      <c r="AW145" s="65" t="s">
        <v>341</v>
      </c>
      <c r="AX145" s="65" t="s">
        <v>341</v>
      </c>
      <c r="AY145" s="65" t="s">
        <v>341</v>
      </c>
    </row>
    <row r="146" spans="1:51" x14ac:dyDescent="0.2">
      <c r="A146" s="65" t="s">
        <v>1341</v>
      </c>
      <c r="B146" s="65" t="s">
        <v>1037</v>
      </c>
      <c r="C146" s="65" t="s">
        <v>1038</v>
      </c>
      <c r="D146" s="65" t="s">
        <v>1869</v>
      </c>
      <c r="E146" s="65" t="s">
        <v>341</v>
      </c>
      <c r="F146" s="65" t="s">
        <v>1820</v>
      </c>
      <c r="G146" s="65" t="s">
        <v>1821</v>
      </c>
      <c r="H146" s="65" t="s">
        <v>341</v>
      </c>
      <c r="I146" s="65" t="s">
        <v>341</v>
      </c>
      <c r="J146" s="65" t="s">
        <v>341</v>
      </c>
      <c r="K146" s="65" t="s">
        <v>341</v>
      </c>
      <c r="L146" s="65" t="s">
        <v>341</v>
      </c>
      <c r="M146" s="65" t="s">
        <v>341</v>
      </c>
      <c r="N146" s="65" t="s">
        <v>341</v>
      </c>
      <c r="O146" s="65" t="s">
        <v>341</v>
      </c>
      <c r="P146" s="65" t="s">
        <v>341</v>
      </c>
      <c r="Q146" s="65" t="s">
        <v>341</v>
      </c>
      <c r="R146" s="65" t="s">
        <v>341</v>
      </c>
      <c r="S146" s="65" t="s">
        <v>341</v>
      </c>
      <c r="T146" s="65" t="s">
        <v>341</v>
      </c>
      <c r="U146" s="65" t="s">
        <v>341</v>
      </c>
      <c r="V146" s="65" t="s">
        <v>341</v>
      </c>
      <c r="W146" s="65" t="s">
        <v>341</v>
      </c>
      <c r="X146" s="65" t="s">
        <v>341</v>
      </c>
      <c r="Y146" s="65" t="s">
        <v>1860</v>
      </c>
      <c r="Z146" s="65" t="s">
        <v>1827</v>
      </c>
      <c r="AA146" s="65" t="s">
        <v>1870</v>
      </c>
      <c r="AB146" s="65" t="s">
        <v>341</v>
      </c>
      <c r="AC146" s="65" t="s">
        <v>341</v>
      </c>
      <c r="AD146" s="65" t="s">
        <v>341</v>
      </c>
      <c r="AE146" s="65" t="s">
        <v>341</v>
      </c>
      <c r="AF146" s="65" t="s">
        <v>341</v>
      </c>
      <c r="AG146" s="65" t="s">
        <v>341</v>
      </c>
      <c r="AH146" s="65" t="s">
        <v>341</v>
      </c>
      <c r="AI146" s="65" t="s">
        <v>341</v>
      </c>
      <c r="AJ146" s="65" t="s">
        <v>341</v>
      </c>
      <c r="AK146" s="65" t="s">
        <v>341</v>
      </c>
      <c r="AL146" s="65" t="s">
        <v>341</v>
      </c>
      <c r="AM146" s="65" t="s">
        <v>341</v>
      </c>
      <c r="AN146" s="65" t="s">
        <v>341</v>
      </c>
      <c r="AO146" s="65" t="s">
        <v>341</v>
      </c>
      <c r="AP146" s="65" t="s">
        <v>341</v>
      </c>
      <c r="AQ146" s="65" t="s">
        <v>341</v>
      </c>
      <c r="AR146" s="65" t="s">
        <v>341</v>
      </c>
      <c r="AS146" s="65" t="s">
        <v>341</v>
      </c>
      <c r="AT146" s="65" t="s">
        <v>341</v>
      </c>
      <c r="AU146" s="65" t="s">
        <v>341</v>
      </c>
      <c r="AV146" s="65" t="s">
        <v>341</v>
      </c>
      <c r="AW146" s="65" t="s">
        <v>341</v>
      </c>
      <c r="AX146" s="65" t="s">
        <v>341</v>
      </c>
      <c r="AY146" s="65" t="s">
        <v>341</v>
      </c>
    </row>
    <row r="147" spans="1:51" x14ac:dyDescent="0.2">
      <c r="A147" s="65" t="s">
        <v>1367</v>
      </c>
      <c r="B147" s="65" t="s">
        <v>370</v>
      </c>
      <c r="C147" s="65" t="s">
        <v>371</v>
      </c>
      <c r="D147" s="65" t="s">
        <v>1871</v>
      </c>
      <c r="E147" s="65" t="s">
        <v>341</v>
      </c>
      <c r="F147" s="65" t="s">
        <v>1872</v>
      </c>
      <c r="G147" s="65" t="s">
        <v>344</v>
      </c>
      <c r="H147" s="65" t="s">
        <v>341</v>
      </c>
      <c r="I147" s="65" t="s">
        <v>341</v>
      </c>
      <c r="J147" s="65" t="s">
        <v>341</v>
      </c>
      <c r="K147" s="65" t="s">
        <v>341</v>
      </c>
      <c r="L147" s="65" t="s">
        <v>341</v>
      </c>
      <c r="M147" s="65" t="s">
        <v>341</v>
      </c>
      <c r="N147" s="65" t="s">
        <v>341</v>
      </c>
      <c r="O147" s="65" t="s">
        <v>341</v>
      </c>
      <c r="P147" s="65" t="s">
        <v>341</v>
      </c>
      <c r="Q147" s="65" t="s">
        <v>341</v>
      </c>
      <c r="R147" s="65" t="s">
        <v>341</v>
      </c>
      <c r="S147" s="65" t="s">
        <v>341</v>
      </c>
      <c r="T147" s="65" t="s">
        <v>341</v>
      </c>
      <c r="U147" s="65" t="s">
        <v>341</v>
      </c>
      <c r="V147" s="65" t="s">
        <v>341</v>
      </c>
      <c r="W147" s="65" t="s">
        <v>341</v>
      </c>
      <c r="X147" s="65" t="s">
        <v>341</v>
      </c>
      <c r="Y147" s="65" t="s">
        <v>1873</v>
      </c>
      <c r="Z147" s="65" t="s">
        <v>1874</v>
      </c>
      <c r="AA147" s="65" t="s">
        <v>1875</v>
      </c>
      <c r="AB147" s="65" t="s">
        <v>341</v>
      </c>
      <c r="AC147" s="65" t="s">
        <v>341</v>
      </c>
      <c r="AD147" s="65" t="s">
        <v>341</v>
      </c>
      <c r="AE147" s="65" t="s">
        <v>341</v>
      </c>
      <c r="AF147" s="65" t="s">
        <v>341</v>
      </c>
      <c r="AG147" s="65" t="s">
        <v>341</v>
      </c>
      <c r="AH147" s="65" t="s">
        <v>341</v>
      </c>
      <c r="AI147" s="65" t="s">
        <v>341</v>
      </c>
      <c r="AJ147" s="65" t="s">
        <v>341</v>
      </c>
      <c r="AK147" s="65" t="s">
        <v>341</v>
      </c>
      <c r="AL147" s="65" t="s">
        <v>341</v>
      </c>
      <c r="AM147" s="65" t="s">
        <v>341</v>
      </c>
      <c r="AN147" s="65" t="s">
        <v>341</v>
      </c>
      <c r="AO147" s="65" t="s">
        <v>341</v>
      </c>
      <c r="AP147" s="65" t="s">
        <v>341</v>
      </c>
      <c r="AQ147" s="65" t="s">
        <v>341</v>
      </c>
      <c r="AR147" s="65" t="s">
        <v>341</v>
      </c>
      <c r="AS147" s="65" t="s">
        <v>341</v>
      </c>
      <c r="AT147" s="65" t="s">
        <v>341</v>
      </c>
      <c r="AU147" s="65" t="s">
        <v>341</v>
      </c>
      <c r="AV147" s="65" t="s">
        <v>341</v>
      </c>
      <c r="AW147" s="65" t="s">
        <v>341</v>
      </c>
      <c r="AX147" s="65" t="s">
        <v>341</v>
      </c>
      <c r="AY147" s="65" t="s">
        <v>341</v>
      </c>
    </row>
    <row r="148" spans="1:51" x14ac:dyDescent="0.2">
      <c r="A148" s="65" t="s">
        <v>1367</v>
      </c>
      <c r="B148" s="65" t="s">
        <v>374</v>
      </c>
      <c r="C148" s="65" t="s">
        <v>375</v>
      </c>
      <c r="D148" s="65" t="s">
        <v>1876</v>
      </c>
      <c r="E148" s="65" t="s">
        <v>341</v>
      </c>
      <c r="F148" s="65" t="s">
        <v>1872</v>
      </c>
      <c r="G148" s="65" t="s">
        <v>344</v>
      </c>
      <c r="H148" s="65" t="s">
        <v>341</v>
      </c>
      <c r="I148" s="65" t="s">
        <v>341</v>
      </c>
      <c r="J148" s="65" t="s">
        <v>341</v>
      </c>
      <c r="K148" s="65" t="s">
        <v>341</v>
      </c>
      <c r="L148" s="65" t="s">
        <v>341</v>
      </c>
      <c r="M148" s="65" t="s">
        <v>341</v>
      </c>
      <c r="N148" s="65" t="s">
        <v>341</v>
      </c>
      <c r="O148" s="65" t="s">
        <v>341</v>
      </c>
      <c r="P148" s="65" t="s">
        <v>341</v>
      </c>
      <c r="Q148" s="65" t="s">
        <v>341</v>
      </c>
      <c r="R148" s="65" t="s">
        <v>341</v>
      </c>
      <c r="S148" s="65" t="s">
        <v>341</v>
      </c>
      <c r="T148" s="65" t="s">
        <v>341</v>
      </c>
      <c r="U148" s="65" t="s">
        <v>341</v>
      </c>
      <c r="V148" s="65" t="s">
        <v>341</v>
      </c>
      <c r="W148" s="65" t="s">
        <v>341</v>
      </c>
      <c r="X148" s="65" t="s">
        <v>341</v>
      </c>
      <c r="Y148" s="65" t="s">
        <v>1873</v>
      </c>
      <c r="Z148" s="65" t="s">
        <v>1874</v>
      </c>
      <c r="AA148" s="65" t="s">
        <v>1877</v>
      </c>
      <c r="AB148" s="65" t="s">
        <v>341</v>
      </c>
      <c r="AC148" s="65" t="s">
        <v>341</v>
      </c>
      <c r="AD148" s="65" t="s">
        <v>341</v>
      </c>
      <c r="AE148" s="65" t="s">
        <v>341</v>
      </c>
      <c r="AF148" s="65" t="s">
        <v>341</v>
      </c>
      <c r="AG148" s="65" t="s">
        <v>341</v>
      </c>
      <c r="AH148" s="65" t="s">
        <v>341</v>
      </c>
      <c r="AI148" s="65" t="s">
        <v>341</v>
      </c>
      <c r="AJ148" s="65" t="s">
        <v>341</v>
      </c>
      <c r="AK148" s="65" t="s">
        <v>341</v>
      </c>
      <c r="AL148" s="65" t="s">
        <v>341</v>
      </c>
      <c r="AM148" s="65" t="s">
        <v>341</v>
      </c>
      <c r="AN148" s="65" t="s">
        <v>341</v>
      </c>
      <c r="AO148" s="65" t="s">
        <v>341</v>
      </c>
      <c r="AP148" s="65" t="s">
        <v>341</v>
      </c>
      <c r="AQ148" s="65" t="s">
        <v>341</v>
      </c>
      <c r="AR148" s="65" t="s">
        <v>341</v>
      </c>
      <c r="AS148" s="65" t="s">
        <v>341</v>
      </c>
      <c r="AT148" s="65" t="s">
        <v>341</v>
      </c>
      <c r="AU148" s="65" t="s">
        <v>341</v>
      </c>
      <c r="AV148" s="65" t="s">
        <v>341</v>
      </c>
      <c r="AW148" s="65" t="s">
        <v>341</v>
      </c>
      <c r="AX148" s="65" t="s">
        <v>341</v>
      </c>
      <c r="AY148" s="65" t="s">
        <v>341</v>
      </c>
    </row>
    <row r="149" spans="1:51" x14ac:dyDescent="0.2">
      <c r="A149" s="65" t="s">
        <v>1367</v>
      </c>
      <c r="B149" s="65" t="s">
        <v>376</v>
      </c>
      <c r="C149" s="65" t="s">
        <v>377</v>
      </c>
      <c r="D149" s="65" t="s">
        <v>1878</v>
      </c>
      <c r="E149" s="65" t="s">
        <v>341</v>
      </c>
      <c r="F149" s="65" t="s">
        <v>1872</v>
      </c>
      <c r="G149" s="65" t="s">
        <v>344</v>
      </c>
      <c r="H149" s="65" t="s">
        <v>341</v>
      </c>
      <c r="I149" s="65" t="s">
        <v>341</v>
      </c>
      <c r="J149" s="65" t="s">
        <v>341</v>
      </c>
      <c r="K149" s="65" t="s">
        <v>341</v>
      </c>
      <c r="L149" s="65" t="s">
        <v>341</v>
      </c>
      <c r="M149" s="65" t="s">
        <v>341</v>
      </c>
      <c r="N149" s="65" t="s">
        <v>341</v>
      </c>
      <c r="O149" s="65" t="s">
        <v>341</v>
      </c>
      <c r="P149" s="65" t="s">
        <v>341</v>
      </c>
      <c r="Q149" s="65" t="s">
        <v>341</v>
      </c>
      <c r="R149" s="65" t="s">
        <v>341</v>
      </c>
      <c r="S149" s="65" t="s">
        <v>341</v>
      </c>
      <c r="T149" s="65" t="s">
        <v>341</v>
      </c>
      <c r="U149" s="65" t="s">
        <v>341</v>
      </c>
      <c r="V149" s="65" t="s">
        <v>341</v>
      </c>
      <c r="W149" s="65" t="s">
        <v>341</v>
      </c>
      <c r="X149" s="65" t="s">
        <v>341</v>
      </c>
      <c r="Y149" s="65" t="s">
        <v>1873</v>
      </c>
      <c r="Z149" s="65" t="s">
        <v>1874</v>
      </c>
      <c r="AA149" s="65" t="s">
        <v>1879</v>
      </c>
      <c r="AB149" s="65" t="s">
        <v>341</v>
      </c>
      <c r="AC149" s="65" t="s">
        <v>341</v>
      </c>
      <c r="AD149" s="65" t="s">
        <v>341</v>
      </c>
      <c r="AE149" s="65" t="s">
        <v>341</v>
      </c>
      <c r="AF149" s="65" t="s">
        <v>341</v>
      </c>
      <c r="AG149" s="65" t="s">
        <v>341</v>
      </c>
      <c r="AH149" s="65" t="s">
        <v>341</v>
      </c>
      <c r="AI149" s="65" t="s">
        <v>341</v>
      </c>
      <c r="AJ149" s="65" t="s">
        <v>341</v>
      </c>
      <c r="AK149" s="65" t="s">
        <v>341</v>
      </c>
      <c r="AL149" s="65" t="s">
        <v>341</v>
      </c>
      <c r="AM149" s="65" t="s">
        <v>341</v>
      </c>
      <c r="AN149" s="65" t="s">
        <v>341</v>
      </c>
      <c r="AO149" s="65" t="s">
        <v>341</v>
      </c>
      <c r="AP149" s="65" t="s">
        <v>341</v>
      </c>
      <c r="AQ149" s="65" t="s">
        <v>341</v>
      </c>
      <c r="AR149" s="65" t="s">
        <v>341</v>
      </c>
      <c r="AS149" s="65" t="s">
        <v>341</v>
      </c>
      <c r="AT149" s="65" t="s">
        <v>341</v>
      </c>
      <c r="AU149" s="65" t="s">
        <v>341</v>
      </c>
      <c r="AV149" s="65" t="s">
        <v>341</v>
      </c>
      <c r="AW149" s="65" t="s">
        <v>341</v>
      </c>
      <c r="AX149" s="65" t="s">
        <v>341</v>
      </c>
      <c r="AY149" s="65" t="s">
        <v>341</v>
      </c>
    </row>
    <row r="150" spans="1:51" x14ac:dyDescent="0.2">
      <c r="A150" s="65" t="s">
        <v>1367</v>
      </c>
      <c r="B150" s="65" t="s">
        <v>378</v>
      </c>
      <c r="C150" s="65" t="s">
        <v>379</v>
      </c>
      <c r="D150" s="65" t="s">
        <v>1880</v>
      </c>
      <c r="E150" s="65" t="s">
        <v>341</v>
      </c>
      <c r="F150" s="65" t="s">
        <v>1872</v>
      </c>
      <c r="G150" s="65" t="s">
        <v>344</v>
      </c>
      <c r="H150" s="65" t="s">
        <v>341</v>
      </c>
      <c r="I150" s="65" t="s">
        <v>341</v>
      </c>
      <c r="J150" s="65" t="s">
        <v>341</v>
      </c>
      <c r="K150" s="65" t="s">
        <v>341</v>
      </c>
      <c r="L150" s="65" t="s">
        <v>341</v>
      </c>
      <c r="M150" s="65" t="s">
        <v>341</v>
      </c>
      <c r="N150" s="65" t="s">
        <v>341</v>
      </c>
      <c r="O150" s="65" t="s">
        <v>341</v>
      </c>
      <c r="P150" s="65" t="s">
        <v>341</v>
      </c>
      <c r="Q150" s="65" t="s">
        <v>341</v>
      </c>
      <c r="R150" s="65" t="s">
        <v>341</v>
      </c>
      <c r="S150" s="65" t="s">
        <v>341</v>
      </c>
      <c r="T150" s="65" t="s">
        <v>341</v>
      </c>
      <c r="U150" s="65" t="s">
        <v>341</v>
      </c>
      <c r="V150" s="65" t="s">
        <v>341</v>
      </c>
      <c r="W150" s="65" t="s">
        <v>341</v>
      </c>
      <c r="X150" s="65" t="s">
        <v>341</v>
      </c>
      <c r="Y150" s="65" t="s">
        <v>1873</v>
      </c>
      <c r="Z150" s="65" t="s">
        <v>1874</v>
      </c>
      <c r="AA150" s="65" t="s">
        <v>1881</v>
      </c>
      <c r="AB150" s="65" t="s">
        <v>341</v>
      </c>
      <c r="AC150" s="65" t="s">
        <v>341</v>
      </c>
      <c r="AD150" s="65" t="s">
        <v>341</v>
      </c>
      <c r="AE150" s="65" t="s">
        <v>341</v>
      </c>
      <c r="AF150" s="65" t="s">
        <v>341</v>
      </c>
      <c r="AG150" s="65" t="s">
        <v>341</v>
      </c>
      <c r="AH150" s="65" t="s">
        <v>341</v>
      </c>
      <c r="AI150" s="65" t="s">
        <v>341</v>
      </c>
      <c r="AJ150" s="65" t="s">
        <v>341</v>
      </c>
      <c r="AK150" s="65" t="s">
        <v>341</v>
      </c>
      <c r="AL150" s="65" t="s">
        <v>341</v>
      </c>
      <c r="AM150" s="65" t="s">
        <v>341</v>
      </c>
      <c r="AN150" s="65" t="s">
        <v>341</v>
      </c>
      <c r="AO150" s="65" t="s">
        <v>341</v>
      </c>
      <c r="AP150" s="65" t="s">
        <v>341</v>
      </c>
      <c r="AQ150" s="65" t="s">
        <v>341</v>
      </c>
      <c r="AR150" s="65" t="s">
        <v>341</v>
      </c>
      <c r="AS150" s="65" t="s">
        <v>341</v>
      </c>
      <c r="AT150" s="65" t="s">
        <v>341</v>
      </c>
      <c r="AU150" s="65" t="s">
        <v>341</v>
      </c>
      <c r="AV150" s="65" t="s">
        <v>341</v>
      </c>
      <c r="AW150" s="65" t="s">
        <v>341</v>
      </c>
      <c r="AX150" s="65" t="s">
        <v>341</v>
      </c>
      <c r="AY150" s="65" t="s">
        <v>341</v>
      </c>
    </row>
    <row r="151" spans="1:51" x14ac:dyDescent="0.2">
      <c r="A151" s="65" t="s">
        <v>1367</v>
      </c>
      <c r="B151" s="65" t="s">
        <v>380</v>
      </c>
      <c r="C151" s="65" t="s">
        <v>381</v>
      </c>
      <c r="D151" s="65" t="s">
        <v>1882</v>
      </c>
      <c r="E151" s="65" t="s">
        <v>341</v>
      </c>
      <c r="F151" s="65" t="s">
        <v>1872</v>
      </c>
      <c r="G151" s="65" t="s">
        <v>344</v>
      </c>
      <c r="H151" s="65" t="s">
        <v>341</v>
      </c>
      <c r="I151" s="65" t="s">
        <v>341</v>
      </c>
      <c r="J151" s="65" t="s">
        <v>341</v>
      </c>
      <c r="K151" s="65" t="s">
        <v>341</v>
      </c>
      <c r="L151" s="65" t="s">
        <v>341</v>
      </c>
      <c r="M151" s="65" t="s">
        <v>341</v>
      </c>
      <c r="N151" s="65" t="s">
        <v>341</v>
      </c>
      <c r="O151" s="65" t="s">
        <v>341</v>
      </c>
      <c r="P151" s="65" t="s">
        <v>341</v>
      </c>
      <c r="Q151" s="65" t="s">
        <v>341</v>
      </c>
      <c r="R151" s="65" t="s">
        <v>341</v>
      </c>
      <c r="S151" s="65" t="s">
        <v>341</v>
      </c>
      <c r="T151" s="65" t="s">
        <v>341</v>
      </c>
      <c r="U151" s="65" t="s">
        <v>341</v>
      </c>
      <c r="V151" s="65" t="s">
        <v>341</v>
      </c>
      <c r="W151" s="65" t="s">
        <v>341</v>
      </c>
      <c r="X151" s="65" t="s">
        <v>341</v>
      </c>
      <c r="Y151" s="65" t="s">
        <v>1873</v>
      </c>
      <c r="Z151" s="65" t="s">
        <v>1874</v>
      </c>
      <c r="AA151" s="65" t="s">
        <v>1883</v>
      </c>
      <c r="AB151" s="65" t="s">
        <v>341</v>
      </c>
      <c r="AC151" s="65" t="s">
        <v>341</v>
      </c>
      <c r="AD151" s="65" t="s">
        <v>341</v>
      </c>
      <c r="AE151" s="65" t="s">
        <v>341</v>
      </c>
      <c r="AF151" s="65" t="s">
        <v>341</v>
      </c>
      <c r="AG151" s="65" t="s">
        <v>341</v>
      </c>
      <c r="AH151" s="65" t="s">
        <v>341</v>
      </c>
      <c r="AI151" s="65" t="s">
        <v>341</v>
      </c>
      <c r="AJ151" s="65" t="s">
        <v>341</v>
      </c>
      <c r="AK151" s="65" t="s">
        <v>341</v>
      </c>
      <c r="AL151" s="65" t="s">
        <v>341</v>
      </c>
      <c r="AM151" s="65" t="s">
        <v>341</v>
      </c>
      <c r="AN151" s="65" t="s">
        <v>341</v>
      </c>
      <c r="AO151" s="65" t="s">
        <v>341</v>
      </c>
      <c r="AP151" s="65" t="s">
        <v>341</v>
      </c>
      <c r="AQ151" s="65" t="s">
        <v>341</v>
      </c>
      <c r="AR151" s="65" t="s">
        <v>341</v>
      </c>
      <c r="AS151" s="65" t="s">
        <v>341</v>
      </c>
      <c r="AT151" s="65" t="s">
        <v>341</v>
      </c>
      <c r="AU151" s="65" t="s">
        <v>341</v>
      </c>
      <c r="AV151" s="65" t="s">
        <v>341</v>
      </c>
      <c r="AW151" s="65" t="s">
        <v>341</v>
      </c>
      <c r="AX151" s="65" t="s">
        <v>341</v>
      </c>
      <c r="AY151" s="65" t="s">
        <v>341</v>
      </c>
    </row>
    <row r="152" spans="1:51" x14ac:dyDescent="0.2">
      <c r="A152" s="65" t="s">
        <v>1367</v>
      </c>
      <c r="B152" s="65" t="s">
        <v>382</v>
      </c>
      <c r="C152" s="65" t="s">
        <v>383</v>
      </c>
      <c r="D152" s="65" t="s">
        <v>1884</v>
      </c>
      <c r="E152" s="65" t="s">
        <v>341</v>
      </c>
      <c r="F152" s="65" t="s">
        <v>1872</v>
      </c>
      <c r="G152" s="65" t="s">
        <v>344</v>
      </c>
      <c r="H152" s="65" t="s">
        <v>341</v>
      </c>
      <c r="I152" s="65" t="s">
        <v>341</v>
      </c>
      <c r="J152" s="65" t="s">
        <v>341</v>
      </c>
      <c r="K152" s="65" t="s">
        <v>341</v>
      </c>
      <c r="L152" s="65" t="s">
        <v>341</v>
      </c>
      <c r="M152" s="65" t="s">
        <v>341</v>
      </c>
      <c r="N152" s="65" t="s">
        <v>341</v>
      </c>
      <c r="O152" s="65" t="s">
        <v>341</v>
      </c>
      <c r="P152" s="65" t="s">
        <v>341</v>
      </c>
      <c r="Q152" s="65" t="s">
        <v>341</v>
      </c>
      <c r="R152" s="65" t="s">
        <v>341</v>
      </c>
      <c r="S152" s="65" t="s">
        <v>341</v>
      </c>
      <c r="T152" s="65" t="s">
        <v>341</v>
      </c>
      <c r="U152" s="65" t="s">
        <v>341</v>
      </c>
      <c r="V152" s="65" t="s">
        <v>341</v>
      </c>
      <c r="W152" s="65" t="s">
        <v>341</v>
      </c>
      <c r="X152" s="65" t="s">
        <v>341</v>
      </c>
      <c r="Y152" s="65" t="s">
        <v>1885</v>
      </c>
      <c r="Z152" s="65" t="s">
        <v>1886</v>
      </c>
      <c r="AA152" s="65" t="s">
        <v>1887</v>
      </c>
      <c r="AB152" s="65" t="s">
        <v>341</v>
      </c>
      <c r="AC152" s="65" t="s">
        <v>341</v>
      </c>
      <c r="AD152" s="65" t="s">
        <v>341</v>
      </c>
      <c r="AE152" s="65" t="s">
        <v>341</v>
      </c>
      <c r="AF152" s="65" t="s">
        <v>341</v>
      </c>
      <c r="AG152" s="65" t="s">
        <v>341</v>
      </c>
      <c r="AH152" s="65" t="s">
        <v>341</v>
      </c>
      <c r="AI152" s="65" t="s">
        <v>341</v>
      </c>
      <c r="AJ152" s="65" t="s">
        <v>341</v>
      </c>
      <c r="AK152" s="65" t="s">
        <v>341</v>
      </c>
      <c r="AL152" s="65" t="s">
        <v>341</v>
      </c>
      <c r="AM152" s="65" t="s">
        <v>341</v>
      </c>
      <c r="AN152" s="65" t="s">
        <v>341</v>
      </c>
      <c r="AO152" s="65" t="s">
        <v>341</v>
      </c>
      <c r="AP152" s="65" t="s">
        <v>341</v>
      </c>
      <c r="AQ152" s="65" t="s">
        <v>341</v>
      </c>
      <c r="AR152" s="65" t="s">
        <v>341</v>
      </c>
      <c r="AS152" s="65" t="s">
        <v>341</v>
      </c>
      <c r="AT152" s="65" t="s">
        <v>341</v>
      </c>
      <c r="AU152" s="65" t="s">
        <v>341</v>
      </c>
      <c r="AV152" s="65" t="s">
        <v>341</v>
      </c>
      <c r="AW152" s="65" t="s">
        <v>341</v>
      </c>
      <c r="AX152" s="65" t="s">
        <v>341</v>
      </c>
      <c r="AY152" s="65" t="s">
        <v>341</v>
      </c>
    </row>
    <row r="153" spans="1:51" x14ac:dyDescent="0.2">
      <c r="A153" s="65" t="s">
        <v>1367</v>
      </c>
      <c r="B153" s="65" t="s">
        <v>384</v>
      </c>
      <c r="C153" s="65" t="s">
        <v>385</v>
      </c>
      <c r="D153" s="65" t="s">
        <v>1888</v>
      </c>
      <c r="E153" s="65" t="s">
        <v>341</v>
      </c>
      <c r="F153" s="65" t="s">
        <v>1872</v>
      </c>
      <c r="G153" s="65" t="s">
        <v>344</v>
      </c>
      <c r="H153" s="65" t="s">
        <v>341</v>
      </c>
      <c r="I153" s="65" t="s">
        <v>341</v>
      </c>
      <c r="J153" s="65" t="s">
        <v>341</v>
      </c>
      <c r="K153" s="65" t="s">
        <v>341</v>
      </c>
      <c r="L153" s="65" t="s">
        <v>341</v>
      </c>
      <c r="M153" s="65" t="s">
        <v>341</v>
      </c>
      <c r="N153" s="65" t="s">
        <v>341</v>
      </c>
      <c r="O153" s="65" t="s">
        <v>341</v>
      </c>
      <c r="P153" s="65" t="s">
        <v>341</v>
      </c>
      <c r="Q153" s="65" t="s">
        <v>341</v>
      </c>
      <c r="R153" s="65" t="s">
        <v>341</v>
      </c>
      <c r="S153" s="65" t="s">
        <v>341</v>
      </c>
      <c r="T153" s="65" t="s">
        <v>341</v>
      </c>
      <c r="U153" s="65" t="s">
        <v>341</v>
      </c>
      <c r="V153" s="65" t="s">
        <v>341</v>
      </c>
      <c r="W153" s="65" t="s">
        <v>341</v>
      </c>
      <c r="X153" s="65" t="s">
        <v>341</v>
      </c>
      <c r="Y153" s="65" t="s">
        <v>385</v>
      </c>
      <c r="Z153" s="65" t="s">
        <v>1889</v>
      </c>
      <c r="AA153" s="65" t="s">
        <v>1890</v>
      </c>
      <c r="AB153" s="65" t="s">
        <v>341</v>
      </c>
      <c r="AC153" s="65" t="s">
        <v>341</v>
      </c>
      <c r="AD153" s="65" t="s">
        <v>341</v>
      </c>
      <c r="AE153" s="65" t="s">
        <v>341</v>
      </c>
      <c r="AF153" s="65" t="s">
        <v>341</v>
      </c>
      <c r="AG153" s="65" t="s">
        <v>341</v>
      </c>
      <c r="AH153" s="65" t="s">
        <v>341</v>
      </c>
      <c r="AI153" s="65" t="s">
        <v>341</v>
      </c>
      <c r="AJ153" s="65" t="s">
        <v>341</v>
      </c>
      <c r="AK153" s="65" t="s">
        <v>341</v>
      </c>
      <c r="AL153" s="65" t="s">
        <v>341</v>
      </c>
      <c r="AM153" s="65" t="s">
        <v>341</v>
      </c>
      <c r="AN153" s="65" t="s">
        <v>341</v>
      </c>
      <c r="AO153" s="65" t="s">
        <v>341</v>
      </c>
      <c r="AP153" s="65" t="s">
        <v>341</v>
      </c>
      <c r="AQ153" s="65" t="s">
        <v>341</v>
      </c>
      <c r="AR153" s="65" t="s">
        <v>341</v>
      </c>
      <c r="AS153" s="65" t="s">
        <v>341</v>
      </c>
      <c r="AT153" s="65" t="s">
        <v>341</v>
      </c>
      <c r="AU153" s="65" t="s">
        <v>341</v>
      </c>
      <c r="AV153" s="65" t="s">
        <v>341</v>
      </c>
      <c r="AW153" s="65" t="s">
        <v>341</v>
      </c>
      <c r="AX153" s="65" t="s">
        <v>341</v>
      </c>
      <c r="AY153" s="65" t="s">
        <v>341</v>
      </c>
    </row>
    <row r="154" spans="1:51" x14ac:dyDescent="0.2">
      <c r="A154" s="65" t="s">
        <v>1367</v>
      </c>
      <c r="B154" s="65" t="s">
        <v>386</v>
      </c>
      <c r="C154" s="65" t="s">
        <v>387</v>
      </c>
      <c r="D154" s="65" t="s">
        <v>1891</v>
      </c>
      <c r="E154" s="65" t="s">
        <v>341</v>
      </c>
      <c r="F154" s="65" t="s">
        <v>1872</v>
      </c>
      <c r="G154" s="65" t="s">
        <v>344</v>
      </c>
      <c r="H154" s="65" t="s">
        <v>341</v>
      </c>
      <c r="I154" s="65" t="s">
        <v>341</v>
      </c>
      <c r="J154" s="65" t="s">
        <v>341</v>
      </c>
      <c r="K154" s="65" t="s">
        <v>341</v>
      </c>
      <c r="L154" s="65" t="s">
        <v>341</v>
      </c>
      <c r="M154" s="65" t="s">
        <v>341</v>
      </c>
      <c r="N154" s="65" t="s">
        <v>341</v>
      </c>
      <c r="O154" s="65" t="s">
        <v>341</v>
      </c>
      <c r="P154" s="65" t="s">
        <v>341</v>
      </c>
      <c r="Q154" s="65" t="s">
        <v>341</v>
      </c>
      <c r="R154" s="65" t="s">
        <v>341</v>
      </c>
      <c r="S154" s="65" t="s">
        <v>341</v>
      </c>
      <c r="T154" s="65" t="s">
        <v>341</v>
      </c>
      <c r="U154" s="65" t="s">
        <v>341</v>
      </c>
      <c r="V154" s="65" t="s">
        <v>341</v>
      </c>
      <c r="W154" s="65" t="s">
        <v>341</v>
      </c>
      <c r="X154" s="65" t="s">
        <v>341</v>
      </c>
      <c r="Y154" s="65" t="s">
        <v>1892</v>
      </c>
      <c r="Z154" s="65" t="s">
        <v>1889</v>
      </c>
      <c r="AA154" s="65" t="s">
        <v>1893</v>
      </c>
      <c r="AB154" s="65" t="s">
        <v>341</v>
      </c>
      <c r="AC154" s="65" t="s">
        <v>341</v>
      </c>
      <c r="AD154" s="65" t="s">
        <v>341</v>
      </c>
      <c r="AE154" s="65" t="s">
        <v>341</v>
      </c>
      <c r="AF154" s="65" t="s">
        <v>341</v>
      </c>
      <c r="AG154" s="65" t="s">
        <v>341</v>
      </c>
      <c r="AH154" s="65" t="s">
        <v>341</v>
      </c>
      <c r="AI154" s="65" t="s">
        <v>341</v>
      </c>
      <c r="AJ154" s="65" t="s">
        <v>341</v>
      </c>
      <c r="AK154" s="65" t="s">
        <v>341</v>
      </c>
      <c r="AL154" s="65" t="s">
        <v>341</v>
      </c>
      <c r="AM154" s="65" t="s">
        <v>341</v>
      </c>
      <c r="AN154" s="65" t="s">
        <v>341</v>
      </c>
      <c r="AO154" s="65" t="s">
        <v>341</v>
      </c>
      <c r="AP154" s="65" t="s">
        <v>341</v>
      </c>
      <c r="AQ154" s="65" t="s">
        <v>341</v>
      </c>
      <c r="AR154" s="65" t="s">
        <v>341</v>
      </c>
      <c r="AS154" s="65" t="s">
        <v>341</v>
      </c>
      <c r="AT154" s="65" t="s">
        <v>341</v>
      </c>
      <c r="AU154" s="65" t="s">
        <v>341</v>
      </c>
      <c r="AV154" s="65" t="s">
        <v>341</v>
      </c>
      <c r="AW154" s="65" t="s">
        <v>341</v>
      </c>
      <c r="AX154" s="65" t="s">
        <v>341</v>
      </c>
      <c r="AY154" s="65" t="s">
        <v>341</v>
      </c>
    </row>
    <row r="155" spans="1:51" x14ac:dyDescent="0.2">
      <c r="A155" s="65" t="s">
        <v>1367</v>
      </c>
      <c r="B155" s="65" t="s">
        <v>388</v>
      </c>
      <c r="C155" s="65" t="s">
        <v>389</v>
      </c>
      <c r="D155" s="65" t="s">
        <v>1894</v>
      </c>
      <c r="E155" s="65" t="s">
        <v>341</v>
      </c>
      <c r="F155" s="65" t="s">
        <v>1872</v>
      </c>
      <c r="G155" s="65" t="s">
        <v>344</v>
      </c>
      <c r="H155" s="65" t="s">
        <v>341</v>
      </c>
      <c r="I155" s="65" t="s">
        <v>341</v>
      </c>
      <c r="J155" s="65" t="s">
        <v>341</v>
      </c>
      <c r="K155" s="65" t="s">
        <v>341</v>
      </c>
      <c r="L155" s="65" t="s">
        <v>341</v>
      </c>
      <c r="M155" s="65" t="s">
        <v>341</v>
      </c>
      <c r="N155" s="65" t="s">
        <v>341</v>
      </c>
      <c r="O155" s="65" t="s">
        <v>341</v>
      </c>
      <c r="P155" s="65" t="s">
        <v>341</v>
      </c>
      <c r="Q155" s="65" t="s">
        <v>341</v>
      </c>
      <c r="R155" s="65" t="s">
        <v>341</v>
      </c>
      <c r="S155" s="65" t="s">
        <v>341</v>
      </c>
      <c r="T155" s="65" t="s">
        <v>341</v>
      </c>
      <c r="U155" s="65" t="s">
        <v>341</v>
      </c>
      <c r="V155" s="65" t="s">
        <v>341</v>
      </c>
      <c r="W155" s="65" t="s">
        <v>341</v>
      </c>
      <c r="X155" s="65" t="s">
        <v>341</v>
      </c>
      <c r="Y155" s="65" t="s">
        <v>389</v>
      </c>
      <c r="Z155" s="65" t="s">
        <v>1889</v>
      </c>
      <c r="AA155" s="65" t="s">
        <v>1895</v>
      </c>
      <c r="AB155" s="65" t="s">
        <v>341</v>
      </c>
      <c r="AC155" s="65" t="s">
        <v>341</v>
      </c>
      <c r="AD155" s="65" t="s">
        <v>341</v>
      </c>
      <c r="AE155" s="65" t="s">
        <v>341</v>
      </c>
      <c r="AF155" s="65" t="s">
        <v>341</v>
      </c>
      <c r="AG155" s="65" t="s">
        <v>341</v>
      </c>
      <c r="AH155" s="65" t="s">
        <v>341</v>
      </c>
      <c r="AI155" s="65" t="s">
        <v>341</v>
      </c>
      <c r="AJ155" s="65" t="s">
        <v>341</v>
      </c>
      <c r="AK155" s="65" t="s">
        <v>341</v>
      </c>
      <c r="AL155" s="65" t="s">
        <v>341</v>
      </c>
      <c r="AM155" s="65" t="s">
        <v>341</v>
      </c>
      <c r="AN155" s="65" t="s">
        <v>341</v>
      </c>
      <c r="AO155" s="65" t="s">
        <v>341</v>
      </c>
      <c r="AP155" s="65" t="s">
        <v>341</v>
      </c>
      <c r="AQ155" s="65" t="s">
        <v>341</v>
      </c>
      <c r="AR155" s="65" t="s">
        <v>341</v>
      </c>
      <c r="AS155" s="65" t="s">
        <v>341</v>
      </c>
      <c r="AT155" s="65" t="s">
        <v>341</v>
      </c>
      <c r="AU155" s="65" t="s">
        <v>341</v>
      </c>
      <c r="AV155" s="65" t="s">
        <v>341</v>
      </c>
      <c r="AW155" s="65" t="s">
        <v>341</v>
      </c>
      <c r="AX155" s="65" t="s">
        <v>341</v>
      </c>
      <c r="AY155" s="65" t="s">
        <v>341</v>
      </c>
    </row>
    <row r="156" spans="1:51" x14ac:dyDescent="0.2">
      <c r="A156" s="65" t="s">
        <v>1367</v>
      </c>
      <c r="B156" s="65" t="s">
        <v>390</v>
      </c>
      <c r="C156" s="65" t="s">
        <v>391</v>
      </c>
      <c r="D156" s="65" t="s">
        <v>1896</v>
      </c>
      <c r="E156" s="65" t="s">
        <v>341</v>
      </c>
      <c r="F156" s="65" t="s">
        <v>1872</v>
      </c>
      <c r="G156" s="65" t="s">
        <v>344</v>
      </c>
      <c r="H156" s="65" t="s">
        <v>341</v>
      </c>
      <c r="I156" s="65" t="s">
        <v>341</v>
      </c>
      <c r="J156" s="65" t="s">
        <v>341</v>
      </c>
      <c r="K156" s="65" t="s">
        <v>341</v>
      </c>
      <c r="L156" s="65" t="s">
        <v>341</v>
      </c>
      <c r="M156" s="65" t="s">
        <v>341</v>
      </c>
      <c r="N156" s="65" t="s">
        <v>341</v>
      </c>
      <c r="O156" s="65" t="s">
        <v>341</v>
      </c>
      <c r="P156" s="65" t="s">
        <v>341</v>
      </c>
      <c r="Q156" s="65" t="s">
        <v>341</v>
      </c>
      <c r="R156" s="65" t="s">
        <v>341</v>
      </c>
      <c r="S156" s="65" t="s">
        <v>341</v>
      </c>
      <c r="T156" s="65" t="s">
        <v>341</v>
      </c>
      <c r="U156" s="65" t="s">
        <v>341</v>
      </c>
      <c r="V156" s="65" t="s">
        <v>341</v>
      </c>
      <c r="W156" s="65" t="s">
        <v>341</v>
      </c>
      <c r="X156" s="65" t="s">
        <v>341</v>
      </c>
      <c r="Y156" s="65" t="s">
        <v>391</v>
      </c>
      <c r="Z156" s="65" t="s">
        <v>1889</v>
      </c>
      <c r="AA156" s="65" t="s">
        <v>1897</v>
      </c>
      <c r="AB156" s="65" t="s">
        <v>341</v>
      </c>
      <c r="AC156" s="65" t="s">
        <v>341</v>
      </c>
      <c r="AD156" s="65" t="s">
        <v>341</v>
      </c>
      <c r="AE156" s="65" t="s">
        <v>341</v>
      </c>
      <c r="AF156" s="65" t="s">
        <v>341</v>
      </c>
      <c r="AG156" s="65" t="s">
        <v>341</v>
      </c>
      <c r="AH156" s="65" t="s">
        <v>341</v>
      </c>
      <c r="AI156" s="65" t="s">
        <v>341</v>
      </c>
      <c r="AJ156" s="65" t="s">
        <v>341</v>
      </c>
      <c r="AK156" s="65" t="s">
        <v>341</v>
      </c>
      <c r="AL156" s="65" t="s">
        <v>341</v>
      </c>
      <c r="AM156" s="65" t="s">
        <v>341</v>
      </c>
      <c r="AN156" s="65" t="s">
        <v>341</v>
      </c>
      <c r="AO156" s="65" t="s">
        <v>341</v>
      </c>
      <c r="AP156" s="65" t="s">
        <v>341</v>
      </c>
      <c r="AQ156" s="65" t="s">
        <v>341</v>
      </c>
      <c r="AR156" s="65" t="s">
        <v>341</v>
      </c>
      <c r="AS156" s="65" t="s">
        <v>341</v>
      </c>
      <c r="AT156" s="65" t="s">
        <v>341</v>
      </c>
      <c r="AU156" s="65" t="s">
        <v>341</v>
      </c>
      <c r="AV156" s="65" t="s">
        <v>341</v>
      </c>
      <c r="AW156" s="65" t="s">
        <v>341</v>
      </c>
      <c r="AX156" s="65" t="s">
        <v>341</v>
      </c>
      <c r="AY156" s="65" t="s">
        <v>341</v>
      </c>
    </row>
    <row r="157" spans="1:51" x14ac:dyDescent="0.2">
      <c r="A157" s="65" t="s">
        <v>1367</v>
      </c>
      <c r="B157" s="65" t="s">
        <v>392</v>
      </c>
      <c r="C157" s="65" t="s">
        <v>1079</v>
      </c>
      <c r="D157" s="65" t="s">
        <v>1898</v>
      </c>
      <c r="E157" s="65" t="s">
        <v>341</v>
      </c>
      <c r="F157" s="65" t="s">
        <v>1872</v>
      </c>
      <c r="G157" s="65" t="s">
        <v>344</v>
      </c>
      <c r="H157" s="65" t="s">
        <v>341</v>
      </c>
      <c r="I157" s="65" t="s">
        <v>341</v>
      </c>
      <c r="J157" s="65" t="s">
        <v>341</v>
      </c>
      <c r="K157" s="65" t="s">
        <v>341</v>
      </c>
      <c r="L157" s="65" t="s">
        <v>341</v>
      </c>
      <c r="M157" s="65" t="s">
        <v>341</v>
      </c>
      <c r="N157" s="65" t="s">
        <v>341</v>
      </c>
      <c r="O157" s="65" t="s">
        <v>341</v>
      </c>
      <c r="P157" s="65" t="s">
        <v>341</v>
      </c>
      <c r="Q157" s="65" t="s">
        <v>341</v>
      </c>
      <c r="R157" s="65" t="s">
        <v>341</v>
      </c>
      <c r="S157" s="65" t="s">
        <v>341</v>
      </c>
      <c r="T157" s="65" t="s">
        <v>341</v>
      </c>
      <c r="U157" s="65" t="s">
        <v>341</v>
      </c>
      <c r="V157" s="65" t="s">
        <v>341</v>
      </c>
      <c r="W157" s="65" t="s">
        <v>341</v>
      </c>
      <c r="X157" s="65" t="s">
        <v>341</v>
      </c>
      <c r="Y157" s="65" t="s">
        <v>1899</v>
      </c>
      <c r="Z157" s="65" t="s">
        <v>1889</v>
      </c>
      <c r="AA157" s="65" t="s">
        <v>1900</v>
      </c>
      <c r="AB157" s="65" t="s">
        <v>341</v>
      </c>
      <c r="AC157" s="65" t="s">
        <v>341</v>
      </c>
      <c r="AD157" s="65" t="s">
        <v>341</v>
      </c>
      <c r="AE157" s="65" t="s">
        <v>341</v>
      </c>
      <c r="AF157" s="65" t="s">
        <v>341</v>
      </c>
      <c r="AG157" s="65" t="s">
        <v>341</v>
      </c>
      <c r="AH157" s="65" t="s">
        <v>341</v>
      </c>
      <c r="AI157" s="65" t="s">
        <v>341</v>
      </c>
      <c r="AJ157" s="65" t="s">
        <v>341</v>
      </c>
      <c r="AK157" s="65" t="s">
        <v>341</v>
      </c>
      <c r="AL157" s="65" t="s">
        <v>341</v>
      </c>
      <c r="AM157" s="65" t="s">
        <v>341</v>
      </c>
      <c r="AN157" s="65" t="s">
        <v>341</v>
      </c>
      <c r="AO157" s="65" t="s">
        <v>341</v>
      </c>
      <c r="AP157" s="65" t="s">
        <v>341</v>
      </c>
      <c r="AQ157" s="65" t="s">
        <v>341</v>
      </c>
      <c r="AR157" s="65" t="s">
        <v>341</v>
      </c>
      <c r="AS157" s="65" t="s">
        <v>341</v>
      </c>
      <c r="AT157" s="65" t="s">
        <v>341</v>
      </c>
      <c r="AU157" s="65" t="s">
        <v>341</v>
      </c>
      <c r="AV157" s="65" t="s">
        <v>341</v>
      </c>
      <c r="AW157" s="65" t="s">
        <v>341</v>
      </c>
      <c r="AX157" s="65" t="s">
        <v>341</v>
      </c>
      <c r="AY157" s="65" t="s">
        <v>341</v>
      </c>
    </row>
    <row r="158" spans="1:51" x14ac:dyDescent="0.2">
      <c r="A158" s="65" t="s">
        <v>1367</v>
      </c>
      <c r="B158" s="65" t="s">
        <v>393</v>
      </c>
      <c r="C158" s="65" t="s">
        <v>394</v>
      </c>
      <c r="D158" s="65" t="s">
        <v>1901</v>
      </c>
      <c r="E158" s="65" t="s">
        <v>341</v>
      </c>
      <c r="F158" s="65" t="s">
        <v>1872</v>
      </c>
      <c r="G158" s="65" t="s">
        <v>344</v>
      </c>
      <c r="H158" s="65" t="s">
        <v>341</v>
      </c>
      <c r="I158" s="65" t="s">
        <v>341</v>
      </c>
      <c r="J158" s="65" t="s">
        <v>341</v>
      </c>
      <c r="K158" s="65" t="s">
        <v>341</v>
      </c>
      <c r="L158" s="65" t="s">
        <v>341</v>
      </c>
      <c r="M158" s="65" t="s">
        <v>341</v>
      </c>
      <c r="N158" s="65" t="s">
        <v>341</v>
      </c>
      <c r="O158" s="65" t="s">
        <v>341</v>
      </c>
      <c r="P158" s="65" t="s">
        <v>341</v>
      </c>
      <c r="Q158" s="65" t="s">
        <v>341</v>
      </c>
      <c r="R158" s="65" t="s">
        <v>341</v>
      </c>
      <c r="S158" s="65" t="s">
        <v>341</v>
      </c>
      <c r="T158" s="65" t="s">
        <v>341</v>
      </c>
      <c r="U158" s="65" t="s">
        <v>341</v>
      </c>
      <c r="V158" s="65" t="s">
        <v>341</v>
      </c>
      <c r="W158" s="65" t="s">
        <v>341</v>
      </c>
      <c r="X158" s="65" t="s">
        <v>341</v>
      </c>
      <c r="Y158" s="65" t="s">
        <v>1899</v>
      </c>
      <c r="Z158" s="65" t="s">
        <v>1889</v>
      </c>
      <c r="AA158" s="65" t="s">
        <v>1902</v>
      </c>
      <c r="AB158" s="65" t="s">
        <v>341</v>
      </c>
      <c r="AC158" s="65" t="s">
        <v>341</v>
      </c>
      <c r="AD158" s="65" t="s">
        <v>341</v>
      </c>
      <c r="AE158" s="65" t="s">
        <v>341</v>
      </c>
      <c r="AF158" s="65" t="s">
        <v>341</v>
      </c>
      <c r="AG158" s="65" t="s">
        <v>341</v>
      </c>
      <c r="AH158" s="65" t="s">
        <v>341</v>
      </c>
      <c r="AI158" s="65" t="s">
        <v>341</v>
      </c>
      <c r="AJ158" s="65" t="s">
        <v>341</v>
      </c>
      <c r="AK158" s="65" t="s">
        <v>341</v>
      </c>
      <c r="AL158" s="65" t="s">
        <v>341</v>
      </c>
      <c r="AM158" s="65" t="s">
        <v>341</v>
      </c>
      <c r="AN158" s="65" t="s">
        <v>341</v>
      </c>
      <c r="AO158" s="65" t="s">
        <v>341</v>
      </c>
      <c r="AP158" s="65" t="s">
        <v>341</v>
      </c>
      <c r="AQ158" s="65" t="s">
        <v>341</v>
      </c>
      <c r="AR158" s="65" t="s">
        <v>341</v>
      </c>
      <c r="AS158" s="65" t="s">
        <v>341</v>
      </c>
      <c r="AT158" s="65" t="s">
        <v>341</v>
      </c>
      <c r="AU158" s="65" t="s">
        <v>341</v>
      </c>
      <c r="AV158" s="65" t="s">
        <v>341</v>
      </c>
      <c r="AW158" s="65" t="s">
        <v>341</v>
      </c>
      <c r="AX158" s="65" t="s">
        <v>341</v>
      </c>
      <c r="AY158" s="65" t="s">
        <v>341</v>
      </c>
    </row>
    <row r="159" spans="1:51" x14ac:dyDescent="0.2">
      <c r="A159" s="65" t="s">
        <v>1367</v>
      </c>
      <c r="B159" s="65" t="s">
        <v>395</v>
      </c>
      <c r="C159" s="65" t="s">
        <v>396</v>
      </c>
      <c r="D159" s="65" t="s">
        <v>1903</v>
      </c>
      <c r="E159" s="65" t="s">
        <v>341</v>
      </c>
      <c r="F159" s="65" t="s">
        <v>1872</v>
      </c>
      <c r="G159" s="65" t="s">
        <v>344</v>
      </c>
      <c r="H159" s="65" t="s">
        <v>341</v>
      </c>
      <c r="I159" s="65" t="s">
        <v>341</v>
      </c>
      <c r="J159" s="65" t="s">
        <v>341</v>
      </c>
      <c r="K159" s="65" t="s">
        <v>341</v>
      </c>
      <c r="L159" s="65" t="s">
        <v>341</v>
      </c>
      <c r="M159" s="65" t="s">
        <v>341</v>
      </c>
      <c r="N159" s="65" t="s">
        <v>341</v>
      </c>
      <c r="O159" s="65" t="s">
        <v>341</v>
      </c>
      <c r="P159" s="65" t="s">
        <v>341</v>
      </c>
      <c r="Q159" s="65" t="s">
        <v>341</v>
      </c>
      <c r="R159" s="65" t="s">
        <v>341</v>
      </c>
      <c r="S159" s="65" t="s">
        <v>341</v>
      </c>
      <c r="T159" s="65" t="s">
        <v>341</v>
      </c>
      <c r="U159" s="65" t="s">
        <v>341</v>
      </c>
      <c r="V159" s="65" t="s">
        <v>341</v>
      </c>
      <c r="W159" s="65" t="s">
        <v>341</v>
      </c>
      <c r="X159" s="65" t="s">
        <v>341</v>
      </c>
      <c r="Y159" s="65" t="s">
        <v>396</v>
      </c>
      <c r="Z159" s="65" t="s">
        <v>1904</v>
      </c>
      <c r="AA159" s="65" t="s">
        <v>1905</v>
      </c>
      <c r="AB159" s="65" t="s">
        <v>341</v>
      </c>
      <c r="AC159" s="65" t="s">
        <v>341</v>
      </c>
      <c r="AD159" s="65" t="s">
        <v>341</v>
      </c>
      <c r="AE159" s="65" t="s">
        <v>341</v>
      </c>
      <c r="AF159" s="65" t="s">
        <v>341</v>
      </c>
      <c r="AG159" s="65" t="s">
        <v>341</v>
      </c>
      <c r="AH159" s="65" t="s">
        <v>341</v>
      </c>
      <c r="AI159" s="65" t="s">
        <v>341</v>
      </c>
      <c r="AJ159" s="65" t="s">
        <v>341</v>
      </c>
      <c r="AK159" s="65" t="s">
        <v>341</v>
      </c>
      <c r="AL159" s="65" t="s">
        <v>341</v>
      </c>
      <c r="AM159" s="65" t="s">
        <v>341</v>
      </c>
      <c r="AN159" s="65" t="s">
        <v>341</v>
      </c>
      <c r="AO159" s="65" t="s">
        <v>341</v>
      </c>
      <c r="AP159" s="65" t="s">
        <v>341</v>
      </c>
      <c r="AQ159" s="65" t="s">
        <v>341</v>
      </c>
      <c r="AR159" s="65" t="s">
        <v>341</v>
      </c>
      <c r="AS159" s="65" t="s">
        <v>341</v>
      </c>
      <c r="AT159" s="65" t="s">
        <v>341</v>
      </c>
      <c r="AU159" s="65" t="s">
        <v>341</v>
      </c>
      <c r="AV159" s="65" t="s">
        <v>341</v>
      </c>
      <c r="AW159" s="65" t="s">
        <v>341</v>
      </c>
      <c r="AX159" s="65" t="s">
        <v>341</v>
      </c>
      <c r="AY159" s="65" t="s">
        <v>341</v>
      </c>
    </row>
    <row r="160" spans="1:51" x14ac:dyDescent="0.2">
      <c r="A160" s="65" t="s">
        <v>1367</v>
      </c>
      <c r="B160" s="65" t="s">
        <v>397</v>
      </c>
      <c r="C160" s="65" t="s">
        <v>398</v>
      </c>
      <c r="D160" s="65" t="s">
        <v>1906</v>
      </c>
      <c r="E160" s="65" t="s">
        <v>341</v>
      </c>
      <c r="F160" s="65" t="s">
        <v>1872</v>
      </c>
      <c r="G160" s="65" t="s">
        <v>344</v>
      </c>
      <c r="H160" s="65" t="s">
        <v>341</v>
      </c>
      <c r="I160" s="65" t="s">
        <v>341</v>
      </c>
      <c r="J160" s="65" t="s">
        <v>341</v>
      </c>
      <c r="K160" s="65" t="s">
        <v>341</v>
      </c>
      <c r="L160" s="65" t="s">
        <v>341</v>
      </c>
      <c r="M160" s="65" t="s">
        <v>341</v>
      </c>
      <c r="N160" s="65" t="s">
        <v>341</v>
      </c>
      <c r="O160" s="65" t="s">
        <v>341</v>
      </c>
      <c r="P160" s="65" t="s">
        <v>341</v>
      </c>
      <c r="Q160" s="65" t="s">
        <v>341</v>
      </c>
      <c r="R160" s="65" t="s">
        <v>341</v>
      </c>
      <c r="S160" s="65" t="s">
        <v>341</v>
      </c>
      <c r="T160" s="65" t="s">
        <v>341</v>
      </c>
      <c r="U160" s="65" t="s">
        <v>341</v>
      </c>
      <c r="V160" s="65" t="s">
        <v>341</v>
      </c>
      <c r="W160" s="65" t="s">
        <v>341</v>
      </c>
      <c r="X160" s="65" t="s">
        <v>341</v>
      </c>
      <c r="Y160" s="65" t="s">
        <v>396</v>
      </c>
      <c r="Z160" s="65" t="s">
        <v>1904</v>
      </c>
      <c r="AA160" s="65" t="s">
        <v>1907</v>
      </c>
      <c r="AB160" s="65" t="s">
        <v>341</v>
      </c>
      <c r="AC160" s="65" t="s">
        <v>341</v>
      </c>
      <c r="AD160" s="65" t="s">
        <v>341</v>
      </c>
      <c r="AE160" s="65" t="s">
        <v>341</v>
      </c>
      <c r="AF160" s="65" t="s">
        <v>341</v>
      </c>
      <c r="AG160" s="65" t="s">
        <v>341</v>
      </c>
      <c r="AH160" s="65" t="s">
        <v>341</v>
      </c>
      <c r="AI160" s="65" t="s">
        <v>341</v>
      </c>
      <c r="AJ160" s="65" t="s">
        <v>341</v>
      </c>
      <c r="AK160" s="65" t="s">
        <v>341</v>
      </c>
      <c r="AL160" s="65" t="s">
        <v>341</v>
      </c>
      <c r="AM160" s="65" t="s">
        <v>341</v>
      </c>
      <c r="AN160" s="65" t="s">
        <v>341</v>
      </c>
      <c r="AO160" s="65" t="s">
        <v>341</v>
      </c>
      <c r="AP160" s="65" t="s">
        <v>341</v>
      </c>
      <c r="AQ160" s="65" t="s">
        <v>341</v>
      </c>
      <c r="AR160" s="65" t="s">
        <v>341</v>
      </c>
      <c r="AS160" s="65" t="s">
        <v>341</v>
      </c>
      <c r="AT160" s="65" t="s">
        <v>341</v>
      </c>
      <c r="AU160" s="65" t="s">
        <v>341</v>
      </c>
      <c r="AV160" s="65" t="s">
        <v>341</v>
      </c>
      <c r="AW160" s="65" t="s">
        <v>341</v>
      </c>
      <c r="AX160" s="65" t="s">
        <v>341</v>
      </c>
      <c r="AY160" s="65" t="s">
        <v>341</v>
      </c>
    </row>
    <row r="161" spans="1:51" x14ac:dyDescent="0.2">
      <c r="A161" s="65" t="s">
        <v>1367</v>
      </c>
      <c r="B161" s="65" t="s">
        <v>399</v>
      </c>
      <c r="C161" s="65" t="s">
        <v>400</v>
      </c>
      <c r="D161" s="65" t="s">
        <v>1908</v>
      </c>
      <c r="E161" s="65" t="s">
        <v>341</v>
      </c>
      <c r="F161" s="65" t="s">
        <v>1872</v>
      </c>
      <c r="G161" s="65" t="s">
        <v>344</v>
      </c>
      <c r="H161" s="65" t="s">
        <v>341</v>
      </c>
      <c r="I161" s="65" t="s">
        <v>341</v>
      </c>
      <c r="J161" s="65" t="s">
        <v>341</v>
      </c>
      <c r="K161" s="65" t="s">
        <v>341</v>
      </c>
      <c r="L161" s="65" t="s">
        <v>341</v>
      </c>
      <c r="M161" s="65" t="s">
        <v>341</v>
      </c>
      <c r="N161" s="65" t="s">
        <v>341</v>
      </c>
      <c r="O161" s="65" t="s">
        <v>341</v>
      </c>
      <c r="P161" s="65" t="s">
        <v>341</v>
      </c>
      <c r="Q161" s="65" t="s">
        <v>341</v>
      </c>
      <c r="R161" s="65" t="s">
        <v>341</v>
      </c>
      <c r="S161" s="65" t="s">
        <v>341</v>
      </c>
      <c r="T161" s="65" t="s">
        <v>341</v>
      </c>
      <c r="U161" s="65" t="s">
        <v>341</v>
      </c>
      <c r="V161" s="65" t="s">
        <v>341</v>
      </c>
      <c r="W161" s="65" t="s">
        <v>341</v>
      </c>
      <c r="X161" s="65" t="s">
        <v>341</v>
      </c>
      <c r="Y161" s="65" t="s">
        <v>400</v>
      </c>
      <c r="Z161" s="65" t="s">
        <v>1904</v>
      </c>
      <c r="AA161" s="65" t="s">
        <v>1909</v>
      </c>
      <c r="AB161" s="65" t="s">
        <v>341</v>
      </c>
      <c r="AC161" s="65" t="s">
        <v>341</v>
      </c>
      <c r="AD161" s="65" t="s">
        <v>341</v>
      </c>
      <c r="AE161" s="65" t="s">
        <v>341</v>
      </c>
      <c r="AF161" s="65" t="s">
        <v>341</v>
      </c>
      <c r="AG161" s="65" t="s">
        <v>341</v>
      </c>
      <c r="AH161" s="65" t="s">
        <v>341</v>
      </c>
      <c r="AI161" s="65" t="s">
        <v>341</v>
      </c>
      <c r="AJ161" s="65" t="s">
        <v>341</v>
      </c>
      <c r="AK161" s="65" t="s">
        <v>341</v>
      </c>
      <c r="AL161" s="65" t="s">
        <v>341</v>
      </c>
      <c r="AM161" s="65" t="s">
        <v>341</v>
      </c>
      <c r="AN161" s="65" t="s">
        <v>341</v>
      </c>
      <c r="AO161" s="65" t="s">
        <v>341</v>
      </c>
      <c r="AP161" s="65" t="s">
        <v>341</v>
      </c>
      <c r="AQ161" s="65" t="s">
        <v>341</v>
      </c>
      <c r="AR161" s="65" t="s">
        <v>341</v>
      </c>
      <c r="AS161" s="65" t="s">
        <v>341</v>
      </c>
      <c r="AT161" s="65" t="s">
        <v>341</v>
      </c>
      <c r="AU161" s="65" t="s">
        <v>341</v>
      </c>
      <c r="AV161" s="65" t="s">
        <v>341</v>
      </c>
      <c r="AW161" s="65" t="s">
        <v>341</v>
      </c>
      <c r="AX161" s="65" t="s">
        <v>341</v>
      </c>
      <c r="AY161" s="65" t="s">
        <v>341</v>
      </c>
    </row>
    <row r="162" spans="1:51" x14ac:dyDescent="0.2">
      <c r="A162" s="65" t="s">
        <v>1367</v>
      </c>
      <c r="B162" s="65" t="s">
        <v>401</v>
      </c>
      <c r="C162" s="65" t="s">
        <v>402</v>
      </c>
      <c r="D162" s="65" t="s">
        <v>1910</v>
      </c>
      <c r="E162" s="65" t="s">
        <v>341</v>
      </c>
      <c r="F162" s="65" t="s">
        <v>1872</v>
      </c>
      <c r="G162" s="65" t="s">
        <v>344</v>
      </c>
      <c r="H162" s="65" t="s">
        <v>341</v>
      </c>
      <c r="I162" s="65" t="s">
        <v>341</v>
      </c>
      <c r="J162" s="65" t="s">
        <v>341</v>
      </c>
      <c r="K162" s="65" t="s">
        <v>341</v>
      </c>
      <c r="L162" s="65" t="s">
        <v>341</v>
      </c>
      <c r="M162" s="65" t="s">
        <v>341</v>
      </c>
      <c r="N162" s="65" t="s">
        <v>341</v>
      </c>
      <c r="O162" s="65" t="s">
        <v>341</v>
      </c>
      <c r="P162" s="65" t="s">
        <v>341</v>
      </c>
      <c r="Q162" s="65" t="s">
        <v>341</v>
      </c>
      <c r="R162" s="65" t="s">
        <v>341</v>
      </c>
      <c r="S162" s="65" t="s">
        <v>341</v>
      </c>
      <c r="T162" s="65" t="s">
        <v>341</v>
      </c>
      <c r="U162" s="65" t="s">
        <v>341</v>
      </c>
      <c r="V162" s="65" t="s">
        <v>341</v>
      </c>
      <c r="W162" s="65" t="s">
        <v>341</v>
      </c>
      <c r="X162" s="65" t="s">
        <v>341</v>
      </c>
      <c r="Y162" s="65" t="s">
        <v>402</v>
      </c>
      <c r="Z162" s="65" t="s">
        <v>1904</v>
      </c>
      <c r="AA162" s="65" t="s">
        <v>1911</v>
      </c>
      <c r="AB162" s="65" t="s">
        <v>341</v>
      </c>
      <c r="AC162" s="65" t="s">
        <v>341</v>
      </c>
      <c r="AD162" s="65" t="s">
        <v>341</v>
      </c>
      <c r="AE162" s="65" t="s">
        <v>341</v>
      </c>
      <c r="AF162" s="65" t="s">
        <v>341</v>
      </c>
      <c r="AG162" s="65" t="s">
        <v>341</v>
      </c>
      <c r="AH162" s="65" t="s">
        <v>341</v>
      </c>
      <c r="AI162" s="65" t="s">
        <v>341</v>
      </c>
      <c r="AJ162" s="65" t="s">
        <v>341</v>
      </c>
      <c r="AK162" s="65" t="s">
        <v>341</v>
      </c>
      <c r="AL162" s="65" t="s">
        <v>341</v>
      </c>
      <c r="AM162" s="65" t="s">
        <v>341</v>
      </c>
      <c r="AN162" s="65" t="s">
        <v>341</v>
      </c>
      <c r="AO162" s="65" t="s">
        <v>341</v>
      </c>
      <c r="AP162" s="65" t="s">
        <v>341</v>
      </c>
      <c r="AQ162" s="65" t="s">
        <v>341</v>
      </c>
      <c r="AR162" s="65" t="s">
        <v>341</v>
      </c>
      <c r="AS162" s="65" t="s">
        <v>341</v>
      </c>
      <c r="AT162" s="65" t="s">
        <v>341</v>
      </c>
      <c r="AU162" s="65" t="s">
        <v>341</v>
      </c>
      <c r="AV162" s="65" t="s">
        <v>341</v>
      </c>
      <c r="AW162" s="65" t="s">
        <v>341</v>
      </c>
      <c r="AX162" s="65" t="s">
        <v>341</v>
      </c>
      <c r="AY162" s="65" t="s">
        <v>341</v>
      </c>
    </row>
    <row r="163" spans="1:51" x14ac:dyDescent="0.2">
      <c r="A163" s="65" t="s">
        <v>1367</v>
      </c>
      <c r="B163" s="65" t="s">
        <v>403</v>
      </c>
      <c r="C163" s="65" t="s">
        <v>404</v>
      </c>
      <c r="D163" s="65" t="s">
        <v>1912</v>
      </c>
      <c r="E163" s="65" t="s">
        <v>341</v>
      </c>
      <c r="F163" s="65" t="s">
        <v>1872</v>
      </c>
      <c r="G163" s="65" t="s">
        <v>344</v>
      </c>
      <c r="H163" s="65" t="s">
        <v>341</v>
      </c>
      <c r="I163" s="65" t="s">
        <v>341</v>
      </c>
      <c r="J163" s="65" t="s">
        <v>341</v>
      </c>
      <c r="K163" s="65" t="s">
        <v>341</v>
      </c>
      <c r="L163" s="65" t="s">
        <v>341</v>
      </c>
      <c r="M163" s="65" t="s">
        <v>341</v>
      </c>
      <c r="N163" s="65" t="s">
        <v>341</v>
      </c>
      <c r="O163" s="65" t="s">
        <v>341</v>
      </c>
      <c r="P163" s="65" t="s">
        <v>341</v>
      </c>
      <c r="Q163" s="65" t="s">
        <v>341</v>
      </c>
      <c r="R163" s="65" t="s">
        <v>341</v>
      </c>
      <c r="S163" s="65" t="s">
        <v>341</v>
      </c>
      <c r="T163" s="65" t="s">
        <v>341</v>
      </c>
      <c r="U163" s="65" t="s">
        <v>341</v>
      </c>
      <c r="V163" s="65" t="s">
        <v>341</v>
      </c>
      <c r="W163" s="65" t="s">
        <v>341</v>
      </c>
      <c r="X163" s="65" t="s">
        <v>341</v>
      </c>
      <c r="Y163" s="65" t="s">
        <v>1913</v>
      </c>
      <c r="Z163" s="65" t="s">
        <v>1904</v>
      </c>
      <c r="AA163" s="65" t="s">
        <v>1914</v>
      </c>
      <c r="AB163" s="65" t="s">
        <v>341</v>
      </c>
      <c r="AC163" s="65" t="s">
        <v>341</v>
      </c>
      <c r="AD163" s="65" t="s">
        <v>341</v>
      </c>
      <c r="AE163" s="65" t="s">
        <v>341</v>
      </c>
      <c r="AF163" s="65" t="s">
        <v>341</v>
      </c>
      <c r="AG163" s="65" t="s">
        <v>341</v>
      </c>
      <c r="AH163" s="65" t="s">
        <v>341</v>
      </c>
      <c r="AI163" s="65" t="s">
        <v>341</v>
      </c>
      <c r="AJ163" s="65" t="s">
        <v>341</v>
      </c>
      <c r="AK163" s="65" t="s">
        <v>341</v>
      </c>
      <c r="AL163" s="65" t="s">
        <v>341</v>
      </c>
      <c r="AM163" s="65" t="s">
        <v>341</v>
      </c>
      <c r="AN163" s="65" t="s">
        <v>341</v>
      </c>
      <c r="AO163" s="65" t="s">
        <v>341</v>
      </c>
      <c r="AP163" s="65" t="s">
        <v>341</v>
      </c>
      <c r="AQ163" s="65" t="s">
        <v>341</v>
      </c>
      <c r="AR163" s="65" t="s">
        <v>341</v>
      </c>
      <c r="AS163" s="65" t="s">
        <v>341</v>
      </c>
      <c r="AT163" s="65" t="s">
        <v>341</v>
      </c>
      <c r="AU163" s="65" t="s">
        <v>341</v>
      </c>
      <c r="AV163" s="65" t="s">
        <v>341</v>
      </c>
      <c r="AW163" s="65" t="s">
        <v>341</v>
      </c>
      <c r="AX163" s="65" t="s">
        <v>341</v>
      </c>
      <c r="AY163" s="65" t="s">
        <v>341</v>
      </c>
    </row>
    <row r="164" spans="1:51" x14ac:dyDescent="0.2">
      <c r="A164" s="65" t="s">
        <v>1367</v>
      </c>
      <c r="B164" s="65" t="s">
        <v>405</v>
      </c>
      <c r="C164" s="65" t="s">
        <v>406</v>
      </c>
      <c r="D164" s="65" t="s">
        <v>1915</v>
      </c>
      <c r="E164" s="65" t="s">
        <v>341</v>
      </c>
      <c r="F164" s="65" t="s">
        <v>1872</v>
      </c>
      <c r="G164" s="65" t="s">
        <v>344</v>
      </c>
      <c r="H164" s="65" t="s">
        <v>341</v>
      </c>
      <c r="I164" s="65" t="s">
        <v>341</v>
      </c>
      <c r="J164" s="65" t="s">
        <v>341</v>
      </c>
      <c r="K164" s="65" t="s">
        <v>341</v>
      </c>
      <c r="L164" s="65" t="s">
        <v>341</v>
      </c>
      <c r="M164" s="65" t="s">
        <v>341</v>
      </c>
      <c r="N164" s="65" t="s">
        <v>341</v>
      </c>
      <c r="O164" s="65" t="s">
        <v>341</v>
      </c>
      <c r="P164" s="65" t="s">
        <v>341</v>
      </c>
      <c r="Q164" s="65" t="s">
        <v>341</v>
      </c>
      <c r="R164" s="65" t="s">
        <v>341</v>
      </c>
      <c r="S164" s="65" t="s">
        <v>341</v>
      </c>
      <c r="T164" s="65" t="s">
        <v>341</v>
      </c>
      <c r="U164" s="65" t="s">
        <v>341</v>
      </c>
      <c r="V164" s="65" t="s">
        <v>341</v>
      </c>
      <c r="W164" s="65" t="s">
        <v>341</v>
      </c>
      <c r="X164" s="65" t="s">
        <v>341</v>
      </c>
      <c r="Y164" s="65" t="s">
        <v>1913</v>
      </c>
      <c r="Z164" s="65" t="s">
        <v>1904</v>
      </c>
      <c r="AA164" s="65" t="s">
        <v>1916</v>
      </c>
      <c r="AB164" s="65" t="s">
        <v>341</v>
      </c>
      <c r="AC164" s="65" t="s">
        <v>341</v>
      </c>
      <c r="AD164" s="65" t="s">
        <v>341</v>
      </c>
      <c r="AE164" s="65" t="s">
        <v>341</v>
      </c>
      <c r="AF164" s="65" t="s">
        <v>341</v>
      </c>
      <c r="AG164" s="65" t="s">
        <v>341</v>
      </c>
      <c r="AH164" s="65" t="s">
        <v>341</v>
      </c>
      <c r="AI164" s="65" t="s">
        <v>341</v>
      </c>
      <c r="AJ164" s="65" t="s">
        <v>341</v>
      </c>
      <c r="AK164" s="65" t="s">
        <v>341</v>
      </c>
      <c r="AL164" s="65" t="s">
        <v>341</v>
      </c>
      <c r="AM164" s="65" t="s">
        <v>341</v>
      </c>
      <c r="AN164" s="65" t="s">
        <v>341</v>
      </c>
      <c r="AO164" s="65" t="s">
        <v>341</v>
      </c>
      <c r="AP164" s="65" t="s">
        <v>341</v>
      </c>
      <c r="AQ164" s="65" t="s">
        <v>341</v>
      </c>
      <c r="AR164" s="65" t="s">
        <v>341</v>
      </c>
      <c r="AS164" s="65" t="s">
        <v>341</v>
      </c>
      <c r="AT164" s="65" t="s">
        <v>341</v>
      </c>
      <c r="AU164" s="65" t="s">
        <v>341</v>
      </c>
      <c r="AV164" s="65" t="s">
        <v>341</v>
      </c>
      <c r="AW164" s="65" t="s">
        <v>341</v>
      </c>
      <c r="AX164" s="65" t="s">
        <v>341</v>
      </c>
      <c r="AY164" s="65" t="s">
        <v>341</v>
      </c>
    </row>
    <row r="165" spans="1:51" x14ac:dyDescent="0.2">
      <c r="A165" s="65" t="s">
        <v>1367</v>
      </c>
      <c r="B165" s="65" t="s">
        <v>407</v>
      </c>
      <c r="C165" s="65" t="s">
        <v>408</v>
      </c>
      <c r="D165" s="65" t="s">
        <v>1917</v>
      </c>
      <c r="E165" s="65" t="s">
        <v>341</v>
      </c>
      <c r="F165" s="65" t="s">
        <v>1872</v>
      </c>
      <c r="G165" s="65" t="s">
        <v>344</v>
      </c>
      <c r="H165" s="65" t="s">
        <v>341</v>
      </c>
      <c r="I165" s="65" t="s">
        <v>341</v>
      </c>
      <c r="J165" s="65" t="s">
        <v>341</v>
      </c>
      <c r="K165" s="65" t="s">
        <v>341</v>
      </c>
      <c r="L165" s="65" t="s">
        <v>341</v>
      </c>
      <c r="M165" s="65" t="s">
        <v>341</v>
      </c>
      <c r="N165" s="65" t="s">
        <v>341</v>
      </c>
      <c r="O165" s="65" t="s">
        <v>341</v>
      </c>
      <c r="P165" s="65" t="s">
        <v>341</v>
      </c>
      <c r="Q165" s="65" t="s">
        <v>341</v>
      </c>
      <c r="R165" s="65" t="s">
        <v>341</v>
      </c>
      <c r="S165" s="65" t="s">
        <v>341</v>
      </c>
      <c r="T165" s="65" t="s">
        <v>341</v>
      </c>
      <c r="U165" s="65" t="s">
        <v>341</v>
      </c>
      <c r="V165" s="65" t="s">
        <v>341</v>
      </c>
      <c r="W165" s="65" t="s">
        <v>341</v>
      </c>
      <c r="X165" s="65" t="s">
        <v>341</v>
      </c>
      <c r="Y165" s="65" t="s">
        <v>1913</v>
      </c>
      <c r="Z165" s="65" t="s">
        <v>1904</v>
      </c>
      <c r="AA165" s="65" t="s">
        <v>1918</v>
      </c>
      <c r="AB165" s="65" t="s">
        <v>341</v>
      </c>
      <c r="AC165" s="65" t="s">
        <v>341</v>
      </c>
      <c r="AD165" s="65" t="s">
        <v>341</v>
      </c>
      <c r="AE165" s="65" t="s">
        <v>341</v>
      </c>
      <c r="AF165" s="65" t="s">
        <v>341</v>
      </c>
      <c r="AG165" s="65" t="s">
        <v>341</v>
      </c>
      <c r="AH165" s="65" t="s">
        <v>341</v>
      </c>
      <c r="AI165" s="65" t="s">
        <v>341</v>
      </c>
      <c r="AJ165" s="65" t="s">
        <v>341</v>
      </c>
      <c r="AK165" s="65" t="s">
        <v>341</v>
      </c>
      <c r="AL165" s="65" t="s">
        <v>341</v>
      </c>
      <c r="AM165" s="65" t="s">
        <v>341</v>
      </c>
      <c r="AN165" s="65" t="s">
        <v>341</v>
      </c>
      <c r="AO165" s="65" t="s">
        <v>341</v>
      </c>
      <c r="AP165" s="65" t="s">
        <v>341</v>
      </c>
      <c r="AQ165" s="65" t="s">
        <v>341</v>
      </c>
      <c r="AR165" s="65" t="s">
        <v>341</v>
      </c>
      <c r="AS165" s="65" t="s">
        <v>341</v>
      </c>
      <c r="AT165" s="65" t="s">
        <v>341</v>
      </c>
      <c r="AU165" s="65" t="s">
        <v>341</v>
      </c>
      <c r="AV165" s="65" t="s">
        <v>341</v>
      </c>
      <c r="AW165" s="65" t="s">
        <v>341</v>
      </c>
      <c r="AX165" s="65" t="s">
        <v>341</v>
      </c>
      <c r="AY165" s="65" t="s">
        <v>341</v>
      </c>
    </row>
    <row r="166" spans="1:51" x14ac:dyDescent="0.2">
      <c r="A166" s="65" t="s">
        <v>1367</v>
      </c>
      <c r="B166" s="65" t="s">
        <v>409</v>
      </c>
      <c r="C166" s="65" t="s">
        <v>410</v>
      </c>
      <c r="D166" s="65" t="s">
        <v>1919</v>
      </c>
      <c r="E166" s="65" t="s">
        <v>341</v>
      </c>
      <c r="F166" s="65" t="s">
        <v>1872</v>
      </c>
      <c r="G166" s="65" t="s">
        <v>344</v>
      </c>
      <c r="H166" s="65" t="s">
        <v>341</v>
      </c>
      <c r="I166" s="65" t="s">
        <v>341</v>
      </c>
      <c r="J166" s="65" t="s">
        <v>341</v>
      </c>
      <c r="K166" s="65" t="s">
        <v>341</v>
      </c>
      <c r="L166" s="65" t="s">
        <v>341</v>
      </c>
      <c r="M166" s="65" t="s">
        <v>341</v>
      </c>
      <c r="N166" s="65" t="s">
        <v>341</v>
      </c>
      <c r="O166" s="65" t="s">
        <v>341</v>
      </c>
      <c r="P166" s="65" t="s">
        <v>341</v>
      </c>
      <c r="Q166" s="65" t="s">
        <v>341</v>
      </c>
      <c r="R166" s="65" t="s">
        <v>341</v>
      </c>
      <c r="S166" s="65" t="s">
        <v>341</v>
      </c>
      <c r="T166" s="65" t="s">
        <v>341</v>
      </c>
      <c r="U166" s="65" t="s">
        <v>341</v>
      </c>
      <c r="V166" s="65" t="s">
        <v>341</v>
      </c>
      <c r="W166" s="65" t="s">
        <v>341</v>
      </c>
      <c r="X166" s="65" t="s">
        <v>341</v>
      </c>
      <c r="Y166" s="65" t="s">
        <v>1913</v>
      </c>
      <c r="Z166" s="65" t="s">
        <v>1904</v>
      </c>
      <c r="AA166" s="65" t="s">
        <v>1920</v>
      </c>
      <c r="AB166" s="65" t="s">
        <v>341</v>
      </c>
      <c r="AC166" s="65" t="s">
        <v>341</v>
      </c>
      <c r="AD166" s="65" t="s">
        <v>341</v>
      </c>
      <c r="AE166" s="65" t="s">
        <v>341</v>
      </c>
      <c r="AF166" s="65" t="s">
        <v>341</v>
      </c>
      <c r="AG166" s="65" t="s">
        <v>341</v>
      </c>
      <c r="AH166" s="65" t="s">
        <v>341</v>
      </c>
      <c r="AI166" s="65" t="s">
        <v>341</v>
      </c>
      <c r="AJ166" s="65" t="s">
        <v>341</v>
      </c>
      <c r="AK166" s="65" t="s">
        <v>341</v>
      </c>
      <c r="AL166" s="65" t="s">
        <v>341</v>
      </c>
      <c r="AM166" s="65" t="s">
        <v>341</v>
      </c>
      <c r="AN166" s="65" t="s">
        <v>341</v>
      </c>
      <c r="AO166" s="65" t="s">
        <v>341</v>
      </c>
      <c r="AP166" s="65" t="s">
        <v>341</v>
      </c>
      <c r="AQ166" s="65" t="s">
        <v>341</v>
      </c>
      <c r="AR166" s="65" t="s">
        <v>341</v>
      </c>
      <c r="AS166" s="65" t="s">
        <v>341</v>
      </c>
      <c r="AT166" s="65" t="s">
        <v>341</v>
      </c>
      <c r="AU166" s="65" t="s">
        <v>341</v>
      </c>
      <c r="AV166" s="65" t="s">
        <v>341</v>
      </c>
      <c r="AW166" s="65" t="s">
        <v>341</v>
      </c>
      <c r="AX166" s="65" t="s">
        <v>341</v>
      </c>
      <c r="AY166" s="65" t="s">
        <v>341</v>
      </c>
    </row>
    <row r="167" spans="1:51" x14ac:dyDescent="0.2">
      <c r="A167" s="65" t="s">
        <v>1367</v>
      </c>
      <c r="B167" s="65" t="s">
        <v>411</v>
      </c>
      <c r="C167" s="65" t="s">
        <v>412</v>
      </c>
      <c r="D167" s="65" t="s">
        <v>1921</v>
      </c>
      <c r="E167" s="65" t="s">
        <v>341</v>
      </c>
      <c r="F167" s="65" t="s">
        <v>1872</v>
      </c>
      <c r="G167" s="65" t="s">
        <v>344</v>
      </c>
      <c r="H167" s="65" t="s">
        <v>341</v>
      </c>
      <c r="I167" s="65" t="s">
        <v>341</v>
      </c>
      <c r="J167" s="65" t="s">
        <v>341</v>
      </c>
      <c r="K167" s="65" t="s">
        <v>341</v>
      </c>
      <c r="L167" s="65" t="s">
        <v>341</v>
      </c>
      <c r="M167" s="65" t="s">
        <v>341</v>
      </c>
      <c r="N167" s="65" t="s">
        <v>341</v>
      </c>
      <c r="O167" s="65" t="s">
        <v>341</v>
      </c>
      <c r="P167" s="65" t="s">
        <v>341</v>
      </c>
      <c r="Q167" s="65" t="s">
        <v>341</v>
      </c>
      <c r="R167" s="65" t="s">
        <v>341</v>
      </c>
      <c r="S167" s="65" t="s">
        <v>341</v>
      </c>
      <c r="T167" s="65" t="s">
        <v>341</v>
      </c>
      <c r="U167" s="65" t="s">
        <v>341</v>
      </c>
      <c r="V167" s="65" t="s">
        <v>341</v>
      </c>
      <c r="W167" s="65" t="s">
        <v>341</v>
      </c>
      <c r="X167" s="65" t="s">
        <v>341</v>
      </c>
      <c r="Y167" s="65" t="s">
        <v>1913</v>
      </c>
      <c r="Z167" s="65" t="s">
        <v>1904</v>
      </c>
      <c r="AA167" s="65" t="s">
        <v>1922</v>
      </c>
      <c r="AB167" s="65" t="s">
        <v>341</v>
      </c>
      <c r="AC167" s="65" t="s">
        <v>341</v>
      </c>
      <c r="AD167" s="65" t="s">
        <v>341</v>
      </c>
      <c r="AE167" s="65" t="s">
        <v>341</v>
      </c>
      <c r="AF167" s="65" t="s">
        <v>341</v>
      </c>
      <c r="AG167" s="65" t="s">
        <v>341</v>
      </c>
      <c r="AH167" s="65" t="s">
        <v>341</v>
      </c>
      <c r="AI167" s="65" t="s">
        <v>341</v>
      </c>
      <c r="AJ167" s="65" t="s">
        <v>341</v>
      </c>
      <c r="AK167" s="65" t="s">
        <v>341</v>
      </c>
      <c r="AL167" s="65" t="s">
        <v>341</v>
      </c>
      <c r="AM167" s="65" t="s">
        <v>341</v>
      </c>
      <c r="AN167" s="65" t="s">
        <v>341</v>
      </c>
      <c r="AO167" s="65" t="s">
        <v>341</v>
      </c>
      <c r="AP167" s="65" t="s">
        <v>341</v>
      </c>
      <c r="AQ167" s="65" t="s">
        <v>341</v>
      </c>
      <c r="AR167" s="65" t="s">
        <v>341</v>
      </c>
      <c r="AS167" s="65" t="s">
        <v>341</v>
      </c>
      <c r="AT167" s="65" t="s">
        <v>341</v>
      </c>
      <c r="AU167" s="65" t="s">
        <v>341</v>
      </c>
      <c r="AV167" s="65" t="s">
        <v>341</v>
      </c>
      <c r="AW167" s="65" t="s">
        <v>341</v>
      </c>
      <c r="AX167" s="65" t="s">
        <v>341</v>
      </c>
      <c r="AY167" s="65" t="s">
        <v>341</v>
      </c>
    </row>
    <row r="168" spans="1:51" x14ac:dyDescent="0.2">
      <c r="A168" s="65" t="s">
        <v>1367</v>
      </c>
      <c r="B168" s="65" t="s">
        <v>413</v>
      </c>
      <c r="C168" s="65" t="s">
        <v>414</v>
      </c>
      <c r="D168" s="65" t="s">
        <v>1923</v>
      </c>
      <c r="E168" s="65" t="s">
        <v>341</v>
      </c>
      <c r="F168" s="65" t="s">
        <v>1872</v>
      </c>
      <c r="G168" s="65" t="s">
        <v>344</v>
      </c>
      <c r="H168" s="65" t="s">
        <v>341</v>
      </c>
      <c r="I168" s="65" t="s">
        <v>341</v>
      </c>
      <c r="J168" s="65" t="s">
        <v>341</v>
      </c>
      <c r="K168" s="65" t="s">
        <v>341</v>
      </c>
      <c r="L168" s="65" t="s">
        <v>341</v>
      </c>
      <c r="M168" s="65" t="s">
        <v>341</v>
      </c>
      <c r="N168" s="65" t="s">
        <v>341</v>
      </c>
      <c r="O168" s="65" t="s">
        <v>341</v>
      </c>
      <c r="P168" s="65" t="s">
        <v>341</v>
      </c>
      <c r="Q168" s="65" t="s">
        <v>341</v>
      </c>
      <c r="R168" s="65" t="s">
        <v>341</v>
      </c>
      <c r="S168" s="65" t="s">
        <v>341</v>
      </c>
      <c r="T168" s="65" t="s">
        <v>341</v>
      </c>
      <c r="U168" s="65" t="s">
        <v>341</v>
      </c>
      <c r="V168" s="65" t="s">
        <v>341</v>
      </c>
      <c r="W168" s="65" t="s">
        <v>341</v>
      </c>
      <c r="X168" s="65" t="s">
        <v>341</v>
      </c>
      <c r="Y168" s="65" t="s">
        <v>1924</v>
      </c>
      <c r="Z168" s="65" t="s">
        <v>1904</v>
      </c>
      <c r="AA168" s="65" t="s">
        <v>1925</v>
      </c>
      <c r="AB168" s="65" t="s">
        <v>341</v>
      </c>
      <c r="AC168" s="65" t="s">
        <v>341</v>
      </c>
      <c r="AD168" s="65" t="s">
        <v>341</v>
      </c>
      <c r="AE168" s="65" t="s">
        <v>341</v>
      </c>
      <c r="AF168" s="65" t="s">
        <v>341</v>
      </c>
      <c r="AG168" s="65" t="s">
        <v>341</v>
      </c>
      <c r="AH168" s="65" t="s">
        <v>341</v>
      </c>
      <c r="AI168" s="65" t="s">
        <v>341</v>
      </c>
      <c r="AJ168" s="65" t="s">
        <v>341</v>
      </c>
      <c r="AK168" s="65" t="s">
        <v>341</v>
      </c>
      <c r="AL168" s="65" t="s">
        <v>341</v>
      </c>
      <c r="AM168" s="65" t="s">
        <v>341</v>
      </c>
      <c r="AN168" s="65" t="s">
        <v>341</v>
      </c>
      <c r="AO168" s="65" t="s">
        <v>341</v>
      </c>
      <c r="AP168" s="65" t="s">
        <v>341</v>
      </c>
      <c r="AQ168" s="65" t="s">
        <v>341</v>
      </c>
      <c r="AR168" s="65" t="s">
        <v>341</v>
      </c>
      <c r="AS168" s="65" t="s">
        <v>341</v>
      </c>
      <c r="AT168" s="65" t="s">
        <v>341</v>
      </c>
      <c r="AU168" s="65" t="s">
        <v>341</v>
      </c>
      <c r="AV168" s="65" t="s">
        <v>341</v>
      </c>
      <c r="AW168" s="65" t="s">
        <v>341</v>
      </c>
      <c r="AX168" s="65" t="s">
        <v>341</v>
      </c>
      <c r="AY168" s="65" t="s">
        <v>341</v>
      </c>
    </row>
    <row r="169" spans="1:51" x14ac:dyDescent="0.2">
      <c r="A169" s="65" t="s">
        <v>1367</v>
      </c>
      <c r="B169" s="65" t="s">
        <v>415</v>
      </c>
      <c r="C169" s="65" t="s">
        <v>416</v>
      </c>
      <c r="D169" s="65" t="s">
        <v>1926</v>
      </c>
      <c r="E169" s="65" t="s">
        <v>341</v>
      </c>
      <c r="F169" s="65" t="s">
        <v>1872</v>
      </c>
      <c r="G169" s="65" t="s">
        <v>344</v>
      </c>
      <c r="H169" s="65" t="s">
        <v>341</v>
      </c>
      <c r="I169" s="65" t="s">
        <v>341</v>
      </c>
      <c r="J169" s="65" t="s">
        <v>341</v>
      </c>
      <c r="K169" s="65" t="s">
        <v>341</v>
      </c>
      <c r="L169" s="65" t="s">
        <v>341</v>
      </c>
      <c r="M169" s="65" t="s">
        <v>341</v>
      </c>
      <c r="N169" s="65" t="s">
        <v>341</v>
      </c>
      <c r="O169" s="65" t="s">
        <v>341</v>
      </c>
      <c r="P169" s="65" t="s">
        <v>341</v>
      </c>
      <c r="Q169" s="65" t="s">
        <v>341</v>
      </c>
      <c r="R169" s="65" t="s">
        <v>341</v>
      </c>
      <c r="S169" s="65" t="s">
        <v>341</v>
      </c>
      <c r="T169" s="65" t="s">
        <v>341</v>
      </c>
      <c r="U169" s="65" t="s">
        <v>341</v>
      </c>
      <c r="V169" s="65" t="s">
        <v>341</v>
      </c>
      <c r="W169" s="65" t="s">
        <v>341</v>
      </c>
      <c r="X169" s="65" t="s">
        <v>341</v>
      </c>
      <c r="Y169" s="65" t="s">
        <v>1913</v>
      </c>
      <c r="Z169" s="65" t="s">
        <v>1904</v>
      </c>
      <c r="AA169" s="65" t="s">
        <v>1927</v>
      </c>
      <c r="AB169" s="65" t="s">
        <v>341</v>
      </c>
      <c r="AC169" s="65" t="s">
        <v>341</v>
      </c>
      <c r="AD169" s="65" t="s">
        <v>341</v>
      </c>
      <c r="AE169" s="65" t="s">
        <v>341</v>
      </c>
      <c r="AF169" s="65" t="s">
        <v>341</v>
      </c>
      <c r="AG169" s="65" t="s">
        <v>341</v>
      </c>
      <c r="AH169" s="65" t="s">
        <v>341</v>
      </c>
      <c r="AI169" s="65" t="s">
        <v>341</v>
      </c>
      <c r="AJ169" s="65" t="s">
        <v>341</v>
      </c>
      <c r="AK169" s="65" t="s">
        <v>341</v>
      </c>
      <c r="AL169" s="65" t="s">
        <v>341</v>
      </c>
      <c r="AM169" s="65" t="s">
        <v>341</v>
      </c>
      <c r="AN169" s="65" t="s">
        <v>341</v>
      </c>
      <c r="AO169" s="65" t="s">
        <v>341</v>
      </c>
      <c r="AP169" s="65" t="s">
        <v>341</v>
      </c>
      <c r="AQ169" s="65" t="s">
        <v>341</v>
      </c>
      <c r="AR169" s="65" t="s">
        <v>341</v>
      </c>
      <c r="AS169" s="65" t="s">
        <v>341</v>
      </c>
      <c r="AT169" s="65" t="s">
        <v>341</v>
      </c>
      <c r="AU169" s="65" t="s">
        <v>341</v>
      </c>
      <c r="AV169" s="65" t="s">
        <v>341</v>
      </c>
      <c r="AW169" s="65" t="s">
        <v>341</v>
      </c>
      <c r="AX169" s="65" t="s">
        <v>341</v>
      </c>
      <c r="AY169" s="65" t="s">
        <v>341</v>
      </c>
    </row>
    <row r="170" spans="1:51" x14ac:dyDescent="0.2">
      <c r="A170" s="65" t="s">
        <v>1367</v>
      </c>
      <c r="B170" s="65" t="s">
        <v>417</v>
      </c>
      <c r="C170" s="65" t="s">
        <v>418</v>
      </c>
      <c r="D170" s="65" t="s">
        <v>1928</v>
      </c>
      <c r="E170" s="65" t="s">
        <v>341</v>
      </c>
      <c r="F170" s="65" t="s">
        <v>1872</v>
      </c>
      <c r="G170" s="65" t="s">
        <v>344</v>
      </c>
      <c r="H170" s="65" t="s">
        <v>341</v>
      </c>
      <c r="I170" s="65" t="s">
        <v>341</v>
      </c>
      <c r="J170" s="65" t="s">
        <v>341</v>
      </c>
      <c r="K170" s="65" t="s">
        <v>341</v>
      </c>
      <c r="L170" s="65" t="s">
        <v>341</v>
      </c>
      <c r="M170" s="65" t="s">
        <v>341</v>
      </c>
      <c r="N170" s="65" t="s">
        <v>341</v>
      </c>
      <c r="O170" s="65" t="s">
        <v>341</v>
      </c>
      <c r="P170" s="65" t="s">
        <v>341</v>
      </c>
      <c r="Q170" s="65" t="s">
        <v>341</v>
      </c>
      <c r="R170" s="65" t="s">
        <v>341</v>
      </c>
      <c r="S170" s="65" t="s">
        <v>341</v>
      </c>
      <c r="T170" s="65" t="s">
        <v>341</v>
      </c>
      <c r="U170" s="65" t="s">
        <v>341</v>
      </c>
      <c r="V170" s="65" t="s">
        <v>341</v>
      </c>
      <c r="W170" s="65" t="s">
        <v>341</v>
      </c>
      <c r="X170" s="65" t="s">
        <v>341</v>
      </c>
      <c r="Y170" s="65" t="s">
        <v>1873</v>
      </c>
      <c r="Z170" s="65" t="s">
        <v>1874</v>
      </c>
      <c r="AA170" s="65" t="s">
        <v>1929</v>
      </c>
      <c r="AB170" s="65" t="s">
        <v>341</v>
      </c>
      <c r="AC170" s="65" t="s">
        <v>341</v>
      </c>
      <c r="AD170" s="65" t="s">
        <v>341</v>
      </c>
      <c r="AE170" s="65" t="s">
        <v>341</v>
      </c>
      <c r="AF170" s="65" t="s">
        <v>341</v>
      </c>
      <c r="AG170" s="65" t="s">
        <v>341</v>
      </c>
      <c r="AH170" s="65" t="s">
        <v>341</v>
      </c>
      <c r="AI170" s="65" t="s">
        <v>341</v>
      </c>
      <c r="AJ170" s="65" t="s">
        <v>341</v>
      </c>
      <c r="AK170" s="65" t="s">
        <v>341</v>
      </c>
      <c r="AL170" s="65" t="s">
        <v>341</v>
      </c>
      <c r="AM170" s="65" t="s">
        <v>341</v>
      </c>
      <c r="AN170" s="65" t="s">
        <v>341</v>
      </c>
      <c r="AO170" s="65" t="s">
        <v>341</v>
      </c>
      <c r="AP170" s="65" t="s">
        <v>341</v>
      </c>
      <c r="AQ170" s="65" t="s">
        <v>341</v>
      </c>
      <c r="AR170" s="65" t="s">
        <v>341</v>
      </c>
      <c r="AS170" s="65" t="s">
        <v>341</v>
      </c>
      <c r="AT170" s="65" t="s">
        <v>341</v>
      </c>
      <c r="AU170" s="65" t="s">
        <v>341</v>
      </c>
      <c r="AV170" s="65" t="s">
        <v>341</v>
      </c>
      <c r="AW170" s="65" t="s">
        <v>341</v>
      </c>
      <c r="AX170" s="65" t="s">
        <v>341</v>
      </c>
      <c r="AY170" s="65" t="s">
        <v>341</v>
      </c>
    </row>
    <row r="171" spans="1:51" x14ac:dyDescent="0.2">
      <c r="A171" s="65" t="s">
        <v>1367</v>
      </c>
      <c r="B171" s="65" t="s">
        <v>419</v>
      </c>
      <c r="C171" s="65" t="s">
        <v>420</v>
      </c>
      <c r="D171" s="65" t="s">
        <v>1930</v>
      </c>
      <c r="E171" s="65" t="s">
        <v>341</v>
      </c>
      <c r="F171" s="65" t="s">
        <v>1872</v>
      </c>
      <c r="G171" s="65" t="s">
        <v>344</v>
      </c>
      <c r="H171" s="65" t="s">
        <v>341</v>
      </c>
      <c r="I171" s="65" t="s">
        <v>341</v>
      </c>
      <c r="J171" s="65" t="s">
        <v>341</v>
      </c>
      <c r="K171" s="65" t="s">
        <v>341</v>
      </c>
      <c r="L171" s="65" t="s">
        <v>341</v>
      </c>
      <c r="M171" s="65" t="s">
        <v>341</v>
      </c>
      <c r="N171" s="65" t="s">
        <v>341</v>
      </c>
      <c r="O171" s="65" t="s">
        <v>341</v>
      </c>
      <c r="P171" s="65" t="s">
        <v>341</v>
      </c>
      <c r="Q171" s="65" t="s">
        <v>341</v>
      </c>
      <c r="R171" s="65" t="s">
        <v>341</v>
      </c>
      <c r="S171" s="65" t="s">
        <v>341</v>
      </c>
      <c r="T171" s="65" t="s">
        <v>341</v>
      </c>
      <c r="U171" s="65" t="s">
        <v>341</v>
      </c>
      <c r="V171" s="65" t="s">
        <v>341</v>
      </c>
      <c r="W171" s="65" t="s">
        <v>341</v>
      </c>
      <c r="X171" s="65" t="s">
        <v>341</v>
      </c>
      <c r="Y171" s="65" t="s">
        <v>1873</v>
      </c>
      <c r="Z171" s="65" t="s">
        <v>1874</v>
      </c>
      <c r="AA171" s="65" t="s">
        <v>1931</v>
      </c>
      <c r="AB171" s="65" t="s">
        <v>341</v>
      </c>
      <c r="AC171" s="65" t="s">
        <v>341</v>
      </c>
      <c r="AD171" s="65" t="s">
        <v>341</v>
      </c>
      <c r="AE171" s="65" t="s">
        <v>341</v>
      </c>
      <c r="AF171" s="65" t="s">
        <v>341</v>
      </c>
      <c r="AG171" s="65" t="s">
        <v>341</v>
      </c>
      <c r="AH171" s="65" t="s">
        <v>341</v>
      </c>
      <c r="AI171" s="65" t="s">
        <v>341</v>
      </c>
      <c r="AJ171" s="65" t="s">
        <v>341</v>
      </c>
      <c r="AK171" s="65" t="s">
        <v>341</v>
      </c>
      <c r="AL171" s="65" t="s">
        <v>341</v>
      </c>
      <c r="AM171" s="65" t="s">
        <v>341</v>
      </c>
      <c r="AN171" s="65" t="s">
        <v>341</v>
      </c>
      <c r="AO171" s="65" t="s">
        <v>341</v>
      </c>
      <c r="AP171" s="65" t="s">
        <v>341</v>
      </c>
      <c r="AQ171" s="65" t="s">
        <v>341</v>
      </c>
      <c r="AR171" s="65" t="s">
        <v>341</v>
      </c>
      <c r="AS171" s="65" t="s">
        <v>341</v>
      </c>
      <c r="AT171" s="65" t="s">
        <v>341</v>
      </c>
      <c r="AU171" s="65" t="s">
        <v>341</v>
      </c>
      <c r="AV171" s="65" t="s">
        <v>341</v>
      </c>
      <c r="AW171" s="65" t="s">
        <v>341</v>
      </c>
      <c r="AX171" s="65" t="s">
        <v>341</v>
      </c>
      <c r="AY171" s="65" t="s">
        <v>341</v>
      </c>
    </row>
    <row r="172" spans="1:51" x14ac:dyDescent="0.2">
      <c r="A172" s="65" t="s">
        <v>1367</v>
      </c>
      <c r="B172" s="65" t="s">
        <v>421</v>
      </c>
      <c r="C172" s="65" t="s">
        <v>422</v>
      </c>
      <c r="D172" s="65" t="s">
        <v>1932</v>
      </c>
      <c r="E172" s="65" t="s">
        <v>341</v>
      </c>
      <c r="F172" s="65" t="s">
        <v>1872</v>
      </c>
      <c r="G172" s="65" t="s">
        <v>344</v>
      </c>
      <c r="H172" s="65" t="s">
        <v>341</v>
      </c>
      <c r="I172" s="65" t="s">
        <v>341</v>
      </c>
      <c r="J172" s="65" t="s">
        <v>341</v>
      </c>
      <c r="K172" s="65" t="s">
        <v>341</v>
      </c>
      <c r="L172" s="65" t="s">
        <v>341</v>
      </c>
      <c r="M172" s="65" t="s">
        <v>341</v>
      </c>
      <c r="N172" s="65" t="s">
        <v>341</v>
      </c>
      <c r="O172" s="65" t="s">
        <v>341</v>
      </c>
      <c r="P172" s="65" t="s">
        <v>341</v>
      </c>
      <c r="Q172" s="65" t="s">
        <v>341</v>
      </c>
      <c r="R172" s="65" t="s">
        <v>341</v>
      </c>
      <c r="S172" s="65" t="s">
        <v>341</v>
      </c>
      <c r="T172" s="65" t="s">
        <v>341</v>
      </c>
      <c r="U172" s="65" t="s">
        <v>341</v>
      </c>
      <c r="V172" s="65" t="s">
        <v>341</v>
      </c>
      <c r="W172" s="65" t="s">
        <v>341</v>
      </c>
      <c r="X172" s="65" t="s">
        <v>341</v>
      </c>
      <c r="Y172" s="65" t="s">
        <v>341</v>
      </c>
      <c r="Z172" s="65" t="s">
        <v>341</v>
      </c>
      <c r="AA172" s="65" t="s">
        <v>341</v>
      </c>
      <c r="AB172" s="65" t="s">
        <v>341</v>
      </c>
      <c r="AC172" s="65" t="s">
        <v>341</v>
      </c>
      <c r="AD172" s="65" t="s">
        <v>341</v>
      </c>
      <c r="AE172" s="65" t="s">
        <v>341</v>
      </c>
      <c r="AF172" s="65" t="s">
        <v>341</v>
      </c>
      <c r="AG172" s="65" t="s">
        <v>341</v>
      </c>
      <c r="AH172" s="65" t="s">
        <v>341</v>
      </c>
      <c r="AI172" s="65" t="s">
        <v>341</v>
      </c>
      <c r="AJ172" s="65" t="s">
        <v>341</v>
      </c>
      <c r="AK172" s="65" t="s">
        <v>341</v>
      </c>
      <c r="AL172" s="65" t="s">
        <v>341</v>
      </c>
      <c r="AM172" s="65" t="s">
        <v>341</v>
      </c>
      <c r="AN172" s="65" t="s">
        <v>341</v>
      </c>
      <c r="AO172" s="65" t="s">
        <v>341</v>
      </c>
      <c r="AP172" s="65" t="s">
        <v>341</v>
      </c>
      <c r="AQ172" s="65" t="s">
        <v>341</v>
      </c>
      <c r="AR172" s="65" t="s">
        <v>341</v>
      </c>
      <c r="AS172" s="65" t="s">
        <v>341</v>
      </c>
      <c r="AT172" s="65" t="s">
        <v>341</v>
      </c>
      <c r="AU172" s="65" t="s">
        <v>341</v>
      </c>
      <c r="AV172" s="65" t="s">
        <v>341</v>
      </c>
      <c r="AW172" s="65" t="s">
        <v>341</v>
      </c>
      <c r="AX172" s="65" t="s">
        <v>341</v>
      </c>
      <c r="AY172" s="65" t="s">
        <v>341</v>
      </c>
    </row>
    <row r="173" spans="1:51" x14ac:dyDescent="0.2">
      <c r="A173" s="65" t="s">
        <v>1367</v>
      </c>
      <c r="B173" s="65" t="s">
        <v>423</v>
      </c>
      <c r="C173" s="65" t="s">
        <v>424</v>
      </c>
      <c r="D173" s="65" t="s">
        <v>1933</v>
      </c>
      <c r="E173" s="65" t="s">
        <v>341</v>
      </c>
      <c r="F173" s="65" t="s">
        <v>1872</v>
      </c>
      <c r="G173" s="65" t="s">
        <v>344</v>
      </c>
      <c r="H173" s="65" t="s">
        <v>341</v>
      </c>
      <c r="I173" s="65" t="s">
        <v>341</v>
      </c>
      <c r="J173" s="65" t="s">
        <v>341</v>
      </c>
      <c r="K173" s="65" t="s">
        <v>341</v>
      </c>
      <c r="L173" s="65" t="s">
        <v>341</v>
      </c>
      <c r="M173" s="65" t="s">
        <v>341</v>
      </c>
      <c r="N173" s="65" t="s">
        <v>341</v>
      </c>
      <c r="O173" s="65" t="s">
        <v>341</v>
      </c>
      <c r="P173" s="65" t="s">
        <v>341</v>
      </c>
      <c r="Q173" s="65" t="s">
        <v>341</v>
      </c>
      <c r="R173" s="65" t="s">
        <v>341</v>
      </c>
      <c r="S173" s="65" t="s">
        <v>341</v>
      </c>
      <c r="T173" s="65" t="s">
        <v>341</v>
      </c>
      <c r="U173" s="65" t="s">
        <v>341</v>
      </c>
      <c r="V173" s="65" t="s">
        <v>341</v>
      </c>
      <c r="W173" s="65" t="s">
        <v>341</v>
      </c>
      <c r="X173" s="65" t="s">
        <v>341</v>
      </c>
      <c r="Y173" s="65" t="s">
        <v>1934</v>
      </c>
      <c r="Z173" s="65" t="s">
        <v>1904</v>
      </c>
      <c r="AA173" s="65" t="s">
        <v>1935</v>
      </c>
      <c r="AB173" s="65" t="s">
        <v>341</v>
      </c>
      <c r="AC173" s="65" t="s">
        <v>341</v>
      </c>
      <c r="AD173" s="65" t="s">
        <v>341</v>
      </c>
      <c r="AE173" s="65" t="s">
        <v>341</v>
      </c>
      <c r="AF173" s="65" t="s">
        <v>341</v>
      </c>
      <c r="AG173" s="65" t="s">
        <v>341</v>
      </c>
      <c r="AH173" s="65" t="s">
        <v>341</v>
      </c>
      <c r="AI173" s="65" t="s">
        <v>341</v>
      </c>
      <c r="AJ173" s="65" t="s">
        <v>341</v>
      </c>
      <c r="AK173" s="65" t="s">
        <v>341</v>
      </c>
      <c r="AL173" s="65" t="s">
        <v>341</v>
      </c>
      <c r="AM173" s="65" t="s">
        <v>341</v>
      </c>
      <c r="AN173" s="65" t="s">
        <v>341</v>
      </c>
      <c r="AO173" s="65" t="s">
        <v>341</v>
      </c>
      <c r="AP173" s="65" t="s">
        <v>341</v>
      </c>
      <c r="AQ173" s="65" t="s">
        <v>341</v>
      </c>
      <c r="AR173" s="65" t="s">
        <v>341</v>
      </c>
      <c r="AS173" s="65" t="s">
        <v>341</v>
      </c>
      <c r="AT173" s="65" t="s">
        <v>341</v>
      </c>
      <c r="AU173" s="65" t="s">
        <v>341</v>
      </c>
      <c r="AV173" s="65" t="s">
        <v>341</v>
      </c>
      <c r="AW173" s="65" t="s">
        <v>341</v>
      </c>
      <c r="AX173" s="65" t="s">
        <v>341</v>
      </c>
      <c r="AY173" s="65" t="s">
        <v>341</v>
      </c>
    </row>
    <row r="174" spans="1:51" x14ac:dyDescent="0.2">
      <c r="A174" s="65" t="s">
        <v>1367</v>
      </c>
      <c r="B174" s="65" t="s">
        <v>425</v>
      </c>
      <c r="C174" s="65" t="s">
        <v>426</v>
      </c>
      <c r="D174" s="65" t="s">
        <v>1936</v>
      </c>
      <c r="E174" s="65" t="s">
        <v>341</v>
      </c>
      <c r="F174" s="65" t="s">
        <v>1872</v>
      </c>
      <c r="G174" s="65" t="s">
        <v>344</v>
      </c>
      <c r="H174" s="65" t="s">
        <v>341</v>
      </c>
      <c r="I174" s="65" t="s">
        <v>341</v>
      </c>
      <c r="J174" s="65" t="s">
        <v>341</v>
      </c>
      <c r="K174" s="65" t="s">
        <v>341</v>
      </c>
      <c r="L174" s="65" t="s">
        <v>341</v>
      </c>
      <c r="M174" s="65" t="s">
        <v>341</v>
      </c>
      <c r="N174" s="65" t="s">
        <v>341</v>
      </c>
      <c r="O174" s="65" t="s">
        <v>341</v>
      </c>
      <c r="P174" s="65" t="s">
        <v>341</v>
      </c>
      <c r="Q174" s="65" t="s">
        <v>341</v>
      </c>
      <c r="R174" s="65" t="s">
        <v>341</v>
      </c>
      <c r="S174" s="65" t="s">
        <v>341</v>
      </c>
      <c r="T174" s="65" t="s">
        <v>341</v>
      </c>
      <c r="U174" s="65" t="s">
        <v>341</v>
      </c>
      <c r="V174" s="65" t="s">
        <v>341</v>
      </c>
      <c r="W174" s="65" t="s">
        <v>341</v>
      </c>
      <c r="X174" s="65" t="s">
        <v>341</v>
      </c>
      <c r="Y174" s="65" t="s">
        <v>1937</v>
      </c>
      <c r="Z174" s="65" t="s">
        <v>1889</v>
      </c>
      <c r="AA174" s="65" t="s">
        <v>1938</v>
      </c>
      <c r="AB174" s="65" t="s">
        <v>341</v>
      </c>
      <c r="AC174" s="65" t="s">
        <v>341</v>
      </c>
      <c r="AD174" s="65" t="s">
        <v>341</v>
      </c>
      <c r="AE174" s="65" t="s">
        <v>341</v>
      </c>
      <c r="AF174" s="65" t="s">
        <v>341</v>
      </c>
      <c r="AG174" s="65" t="s">
        <v>341</v>
      </c>
      <c r="AH174" s="65" t="s">
        <v>341</v>
      </c>
      <c r="AI174" s="65" t="s">
        <v>341</v>
      </c>
      <c r="AJ174" s="65" t="s">
        <v>341</v>
      </c>
      <c r="AK174" s="65" t="s">
        <v>341</v>
      </c>
      <c r="AL174" s="65" t="s">
        <v>341</v>
      </c>
      <c r="AM174" s="65" t="s">
        <v>341</v>
      </c>
      <c r="AN174" s="65" t="s">
        <v>341</v>
      </c>
      <c r="AO174" s="65" t="s">
        <v>341</v>
      </c>
      <c r="AP174" s="65" t="s">
        <v>341</v>
      </c>
      <c r="AQ174" s="65" t="s">
        <v>341</v>
      </c>
      <c r="AR174" s="65" t="s">
        <v>341</v>
      </c>
      <c r="AS174" s="65" t="s">
        <v>341</v>
      </c>
      <c r="AT174" s="65" t="s">
        <v>341</v>
      </c>
      <c r="AU174" s="65" t="s">
        <v>341</v>
      </c>
      <c r="AV174" s="65" t="s">
        <v>341</v>
      </c>
      <c r="AW174" s="65" t="s">
        <v>341</v>
      </c>
      <c r="AX174" s="65" t="s">
        <v>341</v>
      </c>
      <c r="AY174" s="65" t="s">
        <v>341</v>
      </c>
    </row>
    <row r="175" spans="1:51" x14ac:dyDescent="0.2">
      <c r="A175" s="65" t="s">
        <v>1367</v>
      </c>
      <c r="B175" s="65" t="s">
        <v>427</v>
      </c>
      <c r="C175" s="65" t="s">
        <v>428</v>
      </c>
      <c r="D175" s="65" t="s">
        <v>1939</v>
      </c>
      <c r="E175" s="65" t="s">
        <v>341</v>
      </c>
      <c r="F175" s="65" t="s">
        <v>1872</v>
      </c>
      <c r="G175" s="65" t="s">
        <v>344</v>
      </c>
      <c r="H175" s="65" t="s">
        <v>341</v>
      </c>
      <c r="I175" s="65" t="s">
        <v>341</v>
      </c>
      <c r="J175" s="65" t="s">
        <v>341</v>
      </c>
      <c r="K175" s="65" t="s">
        <v>341</v>
      </c>
      <c r="L175" s="65" t="s">
        <v>341</v>
      </c>
      <c r="M175" s="65" t="s">
        <v>341</v>
      </c>
      <c r="N175" s="65" t="s">
        <v>341</v>
      </c>
      <c r="O175" s="65" t="s">
        <v>341</v>
      </c>
      <c r="P175" s="65" t="s">
        <v>341</v>
      </c>
      <c r="Q175" s="65" t="s">
        <v>341</v>
      </c>
      <c r="R175" s="65" t="s">
        <v>341</v>
      </c>
      <c r="S175" s="65" t="s">
        <v>341</v>
      </c>
      <c r="T175" s="65" t="s">
        <v>341</v>
      </c>
      <c r="U175" s="65" t="s">
        <v>341</v>
      </c>
      <c r="V175" s="65" t="s">
        <v>341</v>
      </c>
      <c r="W175" s="65" t="s">
        <v>341</v>
      </c>
      <c r="X175" s="65" t="s">
        <v>341</v>
      </c>
      <c r="Y175" s="65" t="s">
        <v>1899</v>
      </c>
      <c r="Z175" s="65" t="s">
        <v>1889</v>
      </c>
      <c r="AA175" s="65" t="s">
        <v>1940</v>
      </c>
      <c r="AB175" s="65" t="s">
        <v>341</v>
      </c>
      <c r="AC175" s="65" t="s">
        <v>341</v>
      </c>
      <c r="AD175" s="65" t="s">
        <v>341</v>
      </c>
      <c r="AE175" s="65" t="s">
        <v>341</v>
      </c>
      <c r="AF175" s="65" t="s">
        <v>341</v>
      </c>
      <c r="AG175" s="65" t="s">
        <v>341</v>
      </c>
      <c r="AH175" s="65" t="s">
        <v>341</v>
      </c>
      <c r="AI175" s="65" t="s">
        <v>341</v>
      </c>
      <c r="AJ175" s="65" t="s">
        <v>341</v>
      </c>
      <c r="AK175" s="65" t="s">
        <v>341</v>
      </c>
      <c r="AL175" s="65" t="s">
        <v>341</v>
      </c>
      <c r="AM175" s="65" t="s">
        <v>341</v>
      </c>
      <c r="AN175" s="65" t="s">
        <v>341</v>
      </c>
      <c r="AO175" s="65" t="s">
        <v>341</v>
      </c>
      <c r="AP175" s="65" t="s">
        <v>341</v>
      </c>
      <c r="AQ175" s="65" t="s">
        <v>341</v>
      </c>
      <c r="AR175" s="65" t="s">
        <v>341</v>
      </c>
      <c r="AS175" s="65" t="s">
        <v>341</v>
      </c>
      <c r="AT175" s="65" t="s">
        <v>341</v>
      </c>
      <c r="AU175" s="65" t="s">
        <v>341</v>
      </c>
      <c r="AV175" s="65" t="s">
        <v>341</v>
      </c>
      <c r="AW175" s="65" t="s">
        <v>341</v>
      </c>
      <c r="AX175" s="65" t="s">
        <v>341</v>
      </c>
      <c r="AY175" s="65" t="s">
        <v>341</v>
      </c>
    </row>
    <row r="176" spans="1:51" x14ac:dyDescent="0.2">
      <c r="A176" s="65" t="s">
        <v>1367</v>
      </c>
      <c r="B176" s="65" t="s">
        <v>429</v>
      </c>
      <c r="C176" s="65" t="s">
        <v>1080</v>
      </c>
      <c r="D176" s="65" t="s">
        <v>1941</v>
      </c>
      <c r="E176" s="65" t="s">
        <v>341</v>
      </c>
      <c r="F176" s="65" t="s">
        <v>1872</v>
      </c>
      <c r="G176" s="65" t="s">
        <v>344</v>
      </c>
      <c r="H176" s="65" t="s">
        <v>341</v>
      </c>
      <c r="I176" s="65" t="s">
        <v>341</v>
      </c>
      <c r="J176" s="65" t="s">
        <v>341</v>
      </c>
      <c r="K176" s="65" t="s">
        <v>341</v>
      </c>
      <c r="L176" s="65" t="s">
        <v>341</v>
      </c>
      <c r="M176" s="65" t="s">
        <v>341</v>
      </c>
      <c r="N176" s="65" t="s">
        <v>341</v>
      </c>
      <c r="O176" s="65" t="s">
        <v>341</v>
      </c>
      <c r="P176" s="65" t="s">
        <v>341</v>
      </c>
      <c r="Q176" s="65" t="s">
        <v>341</v>
      </c>
      <c r="R176" s="65" t="s">
        <v>341</v>
      </c>
      <c r="S176" s="65" t="s">
        <v>341</v>
      </c>
      <c r="T176" s="65" t="s">
        <v>341</v>
      </c>
      <c r="U176" s="65" t="s">
        <v>341</v>
      </c>
      <c r="V176" s="65" t="s">
        <v>341</v>
      </c>
      <c r="W176" s="65" t="s">
        <v>341</v>
      </c>
      <c r="X176" s="65" t="s">
        <v>341</v>
      </c>
      <c r="Y176" s="65" t="s">
        <v>1080</v>
      </c>
      <c r="Z176" s="65" t="s">
        <v>1904</v>
      </c>
      <c r="AA176" s="65" t="s">
        <v>1942</v>
      </c>
      <c r="AB176" s="65" t="s">
        <v>341</v>
      </c>
      <c r="AC176" s="65" t="s">
        <v>341</v>
      </c>
      <c r="AD176" s="65" t="s">
        <v>341</v>
      </c>
      <c r="AE176" s="65" t="s">
        <v>341</v>
      </c>
      <c r="AF176" s="65" t="s">
        <v>341</v>
      </c>
      <c r="AG176" s="65" t="s">
        <v>341</v>
      </c>
      <c r="AH176" s="65" t="s">
        <v>341</v>
      </c>
      <c r="AI176" s="65" t="s">
        <v>341</v>
      </c>
      <c r="AJ176" s="65" t="s">
        <v>341</v>
      </c>
      <c r="AK176" s="65" t="s">
        <v>341</v>
      </c>
      <c r="AL176" s="65" t="s">
        <v>341</v>
      </c>
      <c r="AM176" s="65" t="s">
        <v>341</v>
      </c>
      <c r="AN176" s="65" t="s">
        <v>341</v>
      </c>
      <c r="AO176" s="65" t="s">
        <v>341</v>
      </c>
      <c r="AP176" s="65" t="s">
        <v>341</v>
      </c>
      <c r="AQ176" s="65" t="s">
        <v>341</v>
      </c>
      <c r="AR176" s="65" t="s">
        <v>341</v>
      </c>
      <c r="AS176" s="65" t="s">
        <v>341</v>
      </c>
      <c r="AT176" s="65" t="s">
        <v>341</v>
      </c>
      <c r="AU176" s="65" t="s">
        <v>341</v>
      </c>
      <c r="AV176" s="65" t="s">
        <v>341</v>
      </c>
      <c r="AW176" s="65" t="s">
        <v>341</v>
      </c>
      <c r="AX176" s="65" t="s">
        <v>341</v>
      </c>
      <c r="AY176" s="65" t="s">
        <v>341</v>
      </c>
    </row>
    <row r="177" spans="1:51" x14ac:dyDescent="0.2">
      <c r="A177" s="65" t="s">
        <v>1367</v>
      </c>
      <c r="B177" s="65" t="s">
        <v>430</v>
      </c>
      <c r="C177" s="65" t="s">
        <v>431</v>
      </c>
      <c r="D177" s="65" t="s">
        <v>1943</v>
      </c>
      <c r="E177" s="65" t="s">
        <v>341</v>
      </c>
      <c r="F177" s="65" t="s">
        <v>1872</v>
      </c>
      <c r="G177" s="65" t="s">
        <v>344</v>
      </c>
      <c r="H177" s="65" t="s">
        <v>341</v>
      </c>
      <c r="I177" s="65" t="s">
        <v>341</v>
      </c>
      <c r="J177" s="65" t="s">
        <v>341</v>
      </c>
      <c r="K177" s="65" t="s">
        <v>341</v>
      </c>
      <c r="L177" s="65" t="s">
        <v>341</v>
      </c>
      <c r="M177" s="65" t="s">
        <v>341</v>
      </c>
      <c r="N177" s="65" t="s">
        <v>341</v>
      </c>
      <c r="O177" s="65" t="s">
        <v>341</v>
      </c>
      <c r="P177" s="65" t="s">
        <v>341</v>
      </c>
      <c r="Q177" s="65" t="s">
        <v>341</v>
      </c>
      <c r="R177" s="65" t="s">
        <v>341</v>
      </c>
      <c r="S177" s="65" t="s">
        <v>341</v>
      </c>
      <c r="T177" s="65" t="s">
        <v>341</v>
      </c>
      <c r="U177" s="65" t="s">
        <v>341</v>
      </c>
      <c r="V177" s="65" t="s">
        <v>341</v>
      </c>
      <c r="W177" s="65" t="s">
        <v>341</v>
      </c>
      <c r="X177" s="65" t="s">
        <v>341</v>
      </c>
      <c r="Y177" s="65" t="s">
        <v>1873</v>
      </c>
      <c r="Z177" s="65" t="s">
        <v>1874</v>
      </c>
      <c r="AA177" s="65" t="s">
        <v>1944</v>
      </c>
      <c r="AB177" s="65" t="s">
        <v>341</v>
      </c>
      <c r="AC177" s="65" t="s">
        <v>341</v>
      </c>
      <c r="AD177" s="65" t="s">
        <v>341</v>
      </c>
      <c r="AE177" s="65" t="s">
        <v>341</v>
      </c>
      <c r="AF177" s="65" t="s">
        <v>341</v>
      </c>
      <c r="AG177" s="65" t="s">
        <v>341</v>
      </c>
      <c r="AH177" s="65" t="s">
        <v>341</v>
      </c>
      <c r="AI177" s="65" t="s">
        <v>341</v>
      </c>
      <c r="AJ177" s="65" t="s">
        <v>341</v>
      </c>
      <c r="AK177" s="65" t="s">
        <v>341</v>
      </c>
      <c r="AL177" s="65" t="s">
        <v>341</v>
      </c>
      <c r="AM177" s="65" t="s">
        <v>341</v>
      </c>
      <c r="AN177" s="65" t="s">
        <v>341</v>
      </c>
      <c r="AO177" s="65" t="s">
        <v>341</v>
      </c>
      <c r="AP177" s="65" t="s">
        <v>341</v>
      </c>
      <c r="AQ177" s="65" t="s">
        <v>341</v>
      </c>
      <c r="AR177" s="65" t="s">
        <v>341</v>
      </c>
      <c r="AS177" s="65" t="s">
        <v>341</v>
      </c>
      <c r="AT177" s="65" t="s">
        <v>341</v>
      </c>
      <c r="AU177" s="65" t="s">
        <v>341</v>
      </c>
      <c r="AV177" s="65" t="s">
        <v>341</v>
      </c>
      <c r="AW177" s="65" t="s">
        <v>341</v>
      </c>
      <c r="AX177" s="65" t="s">
        <v>341</v>
      </c>
      <c r="AY177" s="65" t="s">
        <v>341</v>
      </c>
    </row>
    <row r="178" spans="1:51" x14ac:dyDescent="0.2">
      <c r="A178" s="65" t="s">
        <v>1367</v>
      </c>
      <c r="B178" s="65" t="s">
        <v>432</v>
      </c>
      <c r="C178" s="65" t="s">
        <v>433</v>
      </c>
      <c r="D178" s="65" t="s">
        <v>1945</v>
      </c>
      <c r="E178" s="65" t="s">
        <v>341</v>
      </c>
      <c r="F178" s="65" t="s">
        <v>1872</v>
      </c>
      <c r="G178" s="65" t="s">
        <v>344</v>
      </c>
      <c r="H178" s="65" t="s">
        <v>341</v>
      </c>
      <c r="I178" s="65" t="s">
        <v>341</v>
      </c>
      <c r="J178" s="65" t="s">
        <v>341</v>
      </c>
      <c r="K178" s="65" t="s">
        <v>341</v>
      </c>
      <c r="L178" s="65" t="s">
        <v>341</v>
      </c>
      <c r="M178" s="65" t="s">
        <v>341</v>
      </c>
      <c r="N178" s="65" t="s">
        <v>341</v>
      </c>
      <c r="O178" s="65" t="s">
        <v>341</v>
      </c>
      <c r="P178" s="65" t="s">
        <v>341</v>
      </c>
      <c r="Q178" s="65" t="s">
        <v>341</v>
      </c>
      <c r="R178" s="65" t="s">
        <v>341</v>
      </c>
      <c r="S178" s="65" t="s">
        <v>341</v>
      </c>
      <c r="T178" s="65" t="s">
        <v>341</v>
      </c>
      <c r="U178" s="65" t="s">
        <v>341</v>
      </c>
      <c r="V178" s="65" t="s">
        <v>341</v>
      </c>
      <c r="W178" s="65" t="s">
        <v>341</v>
      </c>
      <c r="X178" s="65" t="s">
        <v>341</v>
      </c>
      <c r="Y178" s="65" t="s">
        <v>1873</v>
      </c>
      <c r="Z178" s="65" t="s">
        <v>1874</v>
      </c>
      <c r="AA178" s="65" t="s">
        <v>1946</v>
      </c>
      <c r="AB178" s="65" t="s">
        <v>341</v>
      </c>
      <c r="AC178" s="65" t="s">
        <v>341</v>
      </c>
      <c r="AD178" s="65" t="s">
        <v>341</v>
      </c>
      <c r="AE178" s="65" t="s">
        <v>341</v>
      </c>
      <c r="AF178" s="65" t="s">
        <v>341</v>
      </c>
      <c r="AG178" s="65" t="s">
        <v>341</v>
      </c>
      <c r="AH178" s="65" t="s">
        <v>341</v>
      </c>
      <c r="AI178" s="65" t="s">
        <v>341</v>
      </c>
      <c r="AJ178" s="65" t="s">
        <v>341</v>
      </c>
      <c r="AK178" s="65" t="s">
        <v>341</v>
      </c>
      <c r="AL178" s="65" t="s">
        <v>341</v>
      </c>
      <c r="AM178" s="65" t="s">
        <v>341</v>
      </c>
      <c r="AN178" s="65" t="s">
        <v>341</v>
      </c>
      <c r="AO178" s="65" t="s">
        <v>341</v>
      </c>
      <c r="AP178" s="65" t="s">
        <v>341</v>
      </c>
      <c r="AQ178" s="65" t="s">
        <v>341</v>
      </c>
      <c r="AR178" s="65" t="s">
        <v>341</v>
      </c>
      <c r="AS178" s="65" t="s">
        <v>341</v>
      </c>
      <c r="AT178" s="65" t="s">
        <v>341</v>
      </c>
      <c r="AU178" s="65" t="s">
        <v>341</v>
      </c>
      <c r="AV178" s="65" t="s">
        <v>341</v>
      </c>
      <c r="AW178" s="65" t="s">
        <v>341</v>
      </c>
      <c r="AX178" s="65" t="s">
        <v>341</v>
      </c>
      <c r="AY178" s="65" t="s">
        <v>341</v>
      </c>
    </row>
    <row r="179" spans="1:51" x14ac:dyDescent="0.2">
      <c r="A179" s="65" t="s">
        <v>1367</v>
      </c>
      <c r="B179" s="65" t="s">
        <v>434</v>
      </c>
      <c r="C179" s="65" t="s">
        <v>435</v>
      </c>
      <c r="D179" s="65" t="s">
        <v>1947</v>
      </c>
      <c r="E179" s="65" t="s">
        <v>341</v>
      </c>
      <c r="F179" s="65" t="s">
        <v>1872</v>
      </c>
      <c r="G179" s="65" t="s">
        <v>344</v>
      </c>
      <c r="H179" s="65" t="s">
        <v>341</v>
      </c>
      <c r="I179" s="65" t="s">
        <v>341</v>
      </c>
      <c r="J179" s="65" t="s">
        <v>341</v>
      </c>
      <c r="K179" s="65" t="s">
        <v>341</v>
      </c>
      <c r="L179" s="65" t="s">
        <v>341</v>
      </c>
      <c r="M179" s="65" t="s">
        <v>341</v>
      </c>
      <c r="N179" s="65" t="s">
        <v>341</v>
      </c>
      <c r="O179" s="65" t="s">
        <v>341</v>
      </c>
      <c r="P179" s="65" t="s">
        <v>341</v>
      </c>
      <c r="Q179" s="65" t="s">
        <v>341</v>
      </c>
      <c r="R179" s="65" t="s">
        <v>341</v>
      </c>
      <c r="S179" s="65" t="s">
        <v>341</v>
      </c>
      <c r="T179" s="65" t="s">
        <v>341</v>
      </c>
      <c r="U179" s="65" t="s">
        <v>341</v>
      </c>
      <c r="V179" s="65" t="s">
        <v>341</v>
      </c>
      <c r="W179" s="65" t="s">
        <v>341</v>
      </c>
      <c r="X179" s="65" t="s">
        <v>341</v>
      </c>
      <c r="Y179" s="65" t="s">
        <v>1948</v>
      </c>
      <c r="Z179" s="65" t="s">
        <v>1904</v>
      </c>
      <c r="AA179" s="65" t="s">
        <v>1949</v>
      </c>
      <c r="AB179" s="65" t="s">
        <v>341</v>
      </c>
      <c r="AC179" s="65" t="s">
        <v>341</v>
      </c>
      <c r="AD179" s="65" t="s">
        <v>341</v>
      </c>
      <c r="AE179" s="65" t="s">
        <v>341</v>
      </c>
      <c r="AF179" s="65" t="s">
        <v>341</v>
      </c>
      <c r="AG179" s="65" t="s">
        <v>341</v>
      </c>
      <c r="AH179" s="65" t="s">
        <v>341</v>
      </c>
      <c r="AI179" s="65" t="s">
        <v>341</v>
      </c>
      <c r="AJ179" s="65" t="s">
        <v>341</v>
      </c>
      <c r="AK179" s="65" t="s">
        <v>341</v>
      </c>
      <c r="AL179" s="65" t="s">
        <v>341</v>
      </c>
      <c r="AM179" s="65" t="s">
        <v>341</v>
      </c>
      <c r="AN179" s="65" t="s">
        <v>341</v>
      </c>
      <c r="AO179" s="65" t="s">
        <v>341</v>
      </c>
      <c r="AP179" s="65" t="s">
        <v>341</v>
      </c>
      <c r="AQ179" s="65" t="s">
        <v>341</v>
      </c>
      <c r="AR179" s="65" t="s">
        <v>341</v>
      </c>
      <c r="AS179" s="65" t="s">
        <v>341</v>
      </c>
      <c r="AT179" s="65" t="s">
        <v>341</v>
      </c>
      <c r="AU179" s="65" t="s">
        <v>341</v>
      </c>
      <c r="AV179" s="65" t="s">
        <v>341</v>
      </c>
      <c r="AW179" s="65" t="s">
        <v>341</v>
      </c>
      <c r="AX179" s="65" t="s">
        <v>341</v>
      </c>
      <c r="AY179" s="65" t="s">
        <v>341</v>
      </c>
    </row>
    <row r="180" spans="1:51" x14ac:dyDescent="0.2">
      <c r="A180" s="65" t="s">
        <v>1367</v>
      </c>
      <c r="B180" s="65" t="s">
        <v>436</v>
      </c>
      <c r="C180" s="65" t="s">
        <v>437</v>
      </c>
      <c r="D180" s="65" t="s">
        <v>1950</v>
      </c>
      <c r="E180" s="65" t="s">
        <v>341</v>
      </c>
      <c r="F180" s="65" t="s">
        <v>1872</v>
      </c>
      <c r="G180" s="65" t="s">
        <v>344</v>
      </c>
      <c r="H180" s="65" t="s">
        <v>341</v>
      </c>
      <c r="I180" s="65" t="s">
        <v>341</v>
      </c>
      <c r="J180" s="65" t="s">
        <v>341</v>
      </c>
      <c r="K180" s="65" t="s">
        <v>341</v>
      </c>
      <c r="L180" s="65" t="s">
        <v>341</v>
      </c>
      <c r="M180" s="65" t="s">
        <v>341</v>
      </c>
      <c r="N180" s="65" t="s">
        <v>341</v>
      </c>
      <c r="O180" s="65" t="s">
        <v>341</v>
      </c>
      <c r="P180" s="65" t="s">
        <v>341</v>
      </c>
      <c r="Q180" s="65" t="s">
        <v>341</v>
      </c>
      <c r="R180" s="65" t="s">
        <v>341</v>
      </c>
      <c r="S180" s="65" t="s">
        <v>341</v>
      </c>
      <c r="T180" s="65" t="s">
        <v>341</v>
      </c>
      <c r="U180" s="65" t="s">
        <v>341</v>
      </c>
      <c r="V180" s="65" t="s">
        <v>341</v>
      </c>
      <c r="W180" s="65" t="s">
        <v>341</v>
      </c>
      <c r="X180" s="65" t="s">
        <v>341</v>
      </c>
      <c r="Y180" s="65" t="s">
        <v>1913</v>
      </c>
      <c r="Z180" s="65" t="s">
        <v>1904</v>
      </c>
      <c r="AA180" s="65" t="s">
        <v>1951</v>
      </c>
      <c r="AB180" s="65" t="s">
        <v>341</v>
      </c>
      <c r="AC180" s="65" t="s">
        <v>341</v>
      </c>
      <c r="AD180" s="65" t="s">
        <v>341</v>
      </c>
      <c r="AE180" s="65" t="s">
        <v>341</v>
      </c>
      <c r="AF180" s="65" t="s">
        <v>341</v>
      </c>
      <c r="AG180" s="65" t="s">
        <v>341</v>
      </c>
      <c r="AH180" s="65" t="s">
        <v>341</v>
      </c>
      <c r="AI180" s="65" t="s">
        <v>341</v>
      </c>
      <c r="AJ180" s="65" t="s">
        <v>341</v>
      </c>
      <c r="AK180" s="65" t="s">
        <v>341</v>
      </c>
      <c r="AL180" s="65" t="s">
        <v>341</v>
      </c>
      <c r="AM180" s="65" t="s">
        <v>341</v>
      </c>
      <c r="AN180" s="65" t="s">
        <v>341</v>
      </c>
      <c r="AO180" s="65" t="s">
        <v>341</v>
      </c>
      <c r="AP180" s="65" t="s">
        <v>341</v>
      </c>
      <c r="AQ180" s="65" t="s">
        <v>341</v>
      </c>
      <c r="AR180" s="65" t="s">
        <v>341</v>
      </c>
      <c r="AS180" s="65" t="s">
        <v>341</v>
      </c>
      <c r="AT180" s="65" t="s">
        <v>341</v>
      </c>
      <c r="AU180" s="65" t="s">
        <v>341</v>
      </c>
      <c r="AV180" s="65" t="s">
        <v>341</v>
      </c>
      <c r="AW180" s="65" t="s">
        <v>341</v>
      </c>
      <c r="AX180" s="65" t="s">
        <v>341</v>
      </c>
      <c r="AY180" s="65" t="s">
        <v>341</v>
      </c>
    </row>
    <row r="181" spans="1:51" x14ac:dyDescent="0.2">
      <c r="A181" s="65" t="s">
        <v>1367</v>
      </c>
      <c r="B181" s="65" t="s">
        <v>438</v>
      </c>
      <c r="C181" s="65" t="s">
        <v>439</v>
      </c>
      <c r="D181" s="65" t="s">
        <v>1952</v>
      </c>
      <c r="E181" s="65" t="s">
        <v>341</v>
      </c>
      <c r="F181" s="65" t="s">
        <v>1872</v>
      </c>
      <c r="G181" s="65" t="s">
        <v>344</v>
      </c>
      <c r="H181" s="65" t="s">
        <v>341</v>
      </c>
      <c r="I181" s="65" t="s">
        <v>341</v>
      </c>
      <c r="J181" s="65" t="s">
        <v>341</v>
      </c>
      <c r="K181" s="65" t="s">
        <v>341</v>
      </c>
      <c r="L181" s="65" t="s">
        <v>341</v>
      </c>
      <c r="M181" s="65" t="s">
        <v>341</v>
      </c>
      <c r="N181" s="65" t="s">
        <v>341</v>
      </c>
      <c r="O181" s="65" t="s">
        <v>341</v>
      </c>
      <c r="P181" s="65" t="s">
        <v>341</v>
      </c>
      <c r="Q181" s="65" t="s">
        <v>341</v>
      </c>
      <c r="R181" s="65" t="s">
        <v>341</v>
      </c>
      <c r="S181" s="65" t="s">
        <v>341</v>
      </c>
      <c r="T181" s="65" t="s">
        <v>341</v>
      </c>
      <c r="U181" s="65" t="s">
        <v>341</v>
      </c>
      <c r="V181" s="65" t="s">
        <v>341</v>
      </c>
      <c r="W181" s="65" t="s">
        <v>341</v>
      </c>
      <c r="X181" s="65" t="s">
        <v>341</v>
      </c>
      <c r="Y181" s="65" t="s">
        <v>1913</v>
      </c>
      <c r="Z181" s="65" t="s">
        <v>1904</v>
      </c>
      <c r="AA181" s="65" t="s">
        <v>1953</v>
      </c>
      <c r="AB181" s="65" t="s">
        <v>341</v>
      </c>
      <c r="AC181" s="65" t="s">
        <v>341</v>
      </c>
      <c r="AD181" s="65" t="s">
        <v>341</v>
      </c>
      <c r="AE181" s="65" t="s">
        <v>341</v>
      </c>
      <c r="AF181" s="65" t="s">
        <v>341</v>
      </c>
      <c r="AG181" s="65" t="s">
        <v>341</v>
      </c>
      <c r="AH181" s="65" t="s">
        <v>341</v>
      </c>
      <c r="AI181" s="65" t="s">
        <v>341</v>
      </c>
      <c r="AJ181" s="65" t="s">
        <v>341</v>
      </c>
      <c r="AK181" s="65" t="s">
        <v>341</v>
      </c>
      <c r="AL181" s="65" t="s">
        <v>341</v>
      </c>
      <c r="AM181" s="65" t="s">
        <v>341</v>
      </c>
      <c r="AN181" s="65" t="s">
        <v>341</v>
      </c>
      <c r="AO181" s="65" t="s">
        <v>341</v>
      </c>
      <c r="AP181" s="65" t="s">
        <v>341</v>
      </c>
      <c r="AQ181" s="65" t="s">
        <v>341</v>
      </c>
      <c r="AR181" s="65" t="s">
        <v>341</v>
      </c>
      <c r="AS181" s="65" t="s">
        <v>341</v>
      </c>
      <c r="AT181" s="65" t="s">
        <v>341</v>
      </c>
      <c r="AU181" s="65" t="s">
        <v>341</v>
      </c>
      <c r="AV181" s="65" t="s">
        <v>341</v>
      </c>
      <c r="AW181" s="65" t="s">
        <v>341</v>
      </c>
      <c r="AX181" s="65" t="s">
        <v>341</v>
      </c>
      <c r="AY181" s="65" t="s">
        <v>341</v>
      </c>
    </row>
    <row r="182" spans="1:51" x14ac:dyDescent="0.2">
      <c r="A182" s="65" t="s">
        <v>1367</v>
      </c>
      <c r="B182" s="65" t="s">
        <v>440</v>
      </c>
      <c r="C182" s="65" t="s">
        <v>441</v>
      </c>
      <c r="D182" s="65" t="s">
        <v>1954</v>
      </c>
      <c r="E182" s="65" t="s">
        <v>341</v>
      </c>
      <c r="F182" s="65" t="s">
        <v>1872</v>
      </c>
      <c r="G182" s="65" t="s">
        <v>344</v>
      </c>
      <c r="H182" s="65" t="s">
        <v>341</v>
      </c>
      <c r="I182" s="65" t="s">
        <v>341</v>
      </c>
      <c r="J182" s="65" t="s">
        <v>341</v>
      </c>
      <c r="K182" s="65" t="s">
        <v>341</v>
      </c>
      <c r="L182" s="65" t="s">
        <v>341</v>
      </c>
      <c r="M182" s="65" t="s">
        <v>341</v>
      </c>
      <c r="N182" s="65" t="s">
        <v>341</v>
      </c>
      <c r="O182" s="65" t="s">
        <v>341</v>
      </c>
      <c r="P182" s="65" t="s">
        <v>341</v>
      </c>
      <c r="Q182" s="65" t="s">
        <v>341</v>
      </c>
      <c r="R182" s="65" t="s">
        <v>341</v>
      </c>
      <c r="S182" s="65" t="s">
        <v>341</v>
      </c>
      <c r="T182" s="65" t="s">
        <v>341</v>
      </c>
      <c r="U182" s="65" t="s">
        <v>341</v>
      </c>
      <c r="V182" s="65" t="s">
        <v>341</v>
      </c>
      <c r="W182" s="65" t="s">
        <v>341</v>
      </c>
      <c r="X182" s="65" t="s">
        <v>341</v>
      </c>
      <c r="Y182" s="65" t="s">
        <v>1873</v>
      </c>
      <c r="Z182" s="65" t="s">
        <v>1874</v>
      </c>
      <c r="AA182" s="65" t="s">
        <v>1955</v>
      </c>
      <c r="AB182" s="65" t="s">
        <v>341</v>
      </c>
      <c r="AC182" s="65" t="s">
        <v>341</v>
      </c>
      <c r="AD182" s="65" t="s">
        <v>341</v>
      </c>
      <c r="AE182" s="65" t="s">
        <v>341</v>
      </c>
      <c r="AF182" s="65" t="s">
        <v>341</v>
      </c>
      <c r="AG182" s="65" t="s">
        <v>341</v>
      </c>
      <c r="AH182" s="65" t="s">
        <v>341</v>
      </c>
      <c r="AI182" s="65" t="s">
        <v>341</v>
      </c>
      <c r="AJ182" s="65" t="s">
        <v>341</v>
      </c>
      <c r="AK182" s="65" t="s">
        <v>341</v>
      </c>
      <c r="AL182" s="65" t="s">
        <v>341</v>
      </c>
      <c r="AM182" s="65" t="s">
        <v>341</v>
      </c>
      <c r="AN182" s="65" t="s">
        <v>341</v>
      </c>
      <c r="AO182" s="65" t="s">
        <v>341</v>
      </c>
      <c r="AP182" s="65" t="s">
        <v>341</v>
      </c>
      <c r="AQ182" s="65" t="s">
        <v>341</v>
      </c>
      <c r="AR182" s="65" t="s">
        <v>341</v>
      </c>
      <c r="AS182" s="65" t="s">
        <v>341</v>
      </c>
      <c r="AT182" s="65" t="s">
        <v>341</v>
      </c>
      <c r="AU182" s="65" t="s">
        <v>341</v>
      </c>
      <c r="AV182" s="65" t="s">
        <v>341</v>
      </c>
      <c r="AW182" s="65" t="s">
        <v>341</v>
      </c>
      <c r="AX182" s="65" t="s">
        <v>341</v>
      </c>
      <c r="AY182" s="65" t="s">
        <v>341</v>
      </c>
    </row>
    <row r="183" spans="1:51" x14ac:dyDescent="0.2">
      <c r="A183" s="65" t="s">
        <v>1367</v>
      </c>
      <c r="B183" s="65" t="s">
        <v>442</v>
      </c>
      <c r="C183" s="65" t="s">
        <v>443</v>
      </c>
      <c r="D183" s="65" t="s">
        <v>1956</v>
      </c>
      <c r="E183" s="65" t="s">
        <v>341</v>
      </c>
      <c r="F183" s="65" t="s">
        <v>1872</v>
      </c>
      <c r="G183" s="65" t="s">
        <v>344</v>
      </c>
      <c r="H183" s="65" t="s">
        <v>341</v>
      </c>
      <c r="I183" s="65" t="s">
        <v>341</v>
      </c>
      <c r="J183" s="65" t="s">
        <v>341</v>
      </c>
      <c r="K183" s="65" t="s">
        <v>341</v>
      </c>
      <c r="L183" s="65" t="s">
        <v>341</v>
      </c>
      <c r="M183" s="65" t="s">
        <v>341</v>
      </c>
      <c r="N183" s="65" t="s">
        <v>341</v>
      </c>
      <c r="O183" s="65" t="s">
        <v>341</v>
      </c>
      <c r="P183" s="65" t="s">
        <v>341</v>
      </c>
      <c r="Q183" s="65" t="s">
        <v>341</v>
      </c>
      <c r="R183" s="65" t="s">
        <v>341</v>
      </c>
      <c r="S183" s="65" t="s">
        <v>341</v>
      </c>
      <c r="T183" s="65" t="s">
        <v>341</v>
      </c>
      <c r="U183" s="65" t="s">
        <v>341</v>
      </c>
      <c r="V183" s="65" t="s">
        <v>341</v>
      </c>
      <c r="W183" s="65" t="s">
        <v>341</v>
      </c>
      <c r="X183" s="65" t="s">
        <v>341</v>
      </c>
      <c r="Y183" s="65" t="s">
        <v>1913</v>
      </c>
      <c r="Z183" s="65" t="s">
        <v>1904</v>
      </c>
      <c r="AA183" s="65" t="s">
        <v>1957</v>
      </c>
      <c r="AB183" s="65" t="s">
        <v>341</v>
      </c>
      <c r="AC183" s="65" t="s">
        <v>341</v>
      </c>
      <c r="AD183" s="65" t="s">
        <v>341</v>
      </c>
      <c r="AE183" s="65" t="s">
        <v>341</v>
      </c>
      <c r="AF183" s="65" t="s">
        <v>341</v>
      </c>
      <c r="AG183" s="65" t="s">
        <v>341</v>
      </c>
      <c r="AH183" s="65" t="s">
        <v>341</v>
      </c>
      <c r="AI183" s="65" t="s">
        <v>341</v>
      </c>
      <c r="AJ183" s="65" t="s">
        <v>341</v>
      </c>
      <c r="AK183" s="65" t="s">
        <v>341</v>
      </c>
      <c r="AL183" s="65" t="s">
        <v>341</v>
      </c>
      <c r="AM183" s="65" t="s">
        <v>341</v>
      </c>
      <c r="AN183" s="65" t="s">
        <v>341</v>
      </c>
      <c r="AO183" s="65" t="s">
        <v>341</v>
      </c>
      <c r="AP183" s="65" t="s">
        <v>341</v>
      </c>
      <c r="AQ183" s="65" t="s">
        <v>341</v>
      </c>
      <c r="AR183" s="65" t="s">
        <v>341</v>
      </c>
      <c r="AS183" s="65" t="s">
        <v>341</v>
      </c>
      <c r="AT183" s="65" t="s">
        <v>341</v>
      </c>
      <c r="AU183" s="65" t="s">
        <v>341</v>
      </c>
      <c r="AV183" s="65" t="s">
        <v>341</v>
      </c>
      <c r="AW183" s="65" t="s">
        <v>341</v>
      </c>
      <c r="AX183" s="65" t="s">
        <v>341</v>
      </c>
      <c r="AY183" s="65" t="s">
        <v>341</v>
      </c>
    </row>
    <row r="184" spans="1:51" x14ac:dyDescent="0.2">
      <c r="A184" s="65" t="s">
        <v>1367</v>
      </c>
      <c r="B184" s="65" t="s">
        <v>444</v>
      </c>
      <c r="C184" s="65" t="s">
        <v>445</v>
      </c>
      <c r="D184" s="65" t="s">
        <v>1958</v>
      </c>
      <c r="E184" s="65" t="s">
        <v>341</v>
      </c>
      <c r="F184" s="65" t="s">
        <v>1872</v>
      </c>
      <c r="G184" s="65" t="s">
        <v>344</v>
      </c>
      <c r="H184" s="65" t="s">
        <v>341</v>
      </c>
      <c r="I184" s="65" t="s">
        <v>341</v>
      </c>
      <c r="J184" s="65" t="s">
        <v>341</v>
      </c>
      <c r="K184" s="65" t="s">
        <v>341</v>
      </c>
      <c r="L184" s="65" t="s">
        <v>341</v>
      </c>
      <c r="M184" s="65" t="s">
        <v>341</v>
      </c>
      <c r="N184" s="65" t="s">
        <v>341</v>
      </c>
      <c r="O184" s="65" t="s">
        <v>341</v>
      </c>
      <c r="P184" s="65" t="s">
        <v>341</v>
      </c>
      <c r="Q184" s="65" t="s">
        <v>341</v>
      </c>
      <c r="R184" s="65" t="s">
        <v>341</v>
      </c>
      <c r="S184" s="65" t="s">
        <v>341</v>
      </c>
      <c r="T184" s="65" t="s">
        <v>341</v>
      </c>
      <c r="U184" s="65" t="s">
        <v>341</v>
      </c>
      <c r="V184" s="65" t="s">
        <v>341</v>
      </c>
      <c r="W184" s="65" t="s">
        <v>341</v>
      </c>
      <c r="X184" s="65" t="s">
        <v>341</v>
      </c>
      <c r="Y184" s="65" t="s">
        <v>1873</v>
      </c>
      <c r="Z184" s="65" t="s">
        <v>1874</v>
      </c>
      <c r="AA184" s="65" t="s">
        <v>1959</v>
      </c>
      <c r="AB184" s="65" t="s">
        <v>341</v>
      </c>
      <c r="AC184" s="65" t="s">
        <v>341</v>
      </c>
      <c r="AD184" s="65" t="s">
        <v>341</v>
      </c>
      <c r="AE184" s="65" t="s">
        <v>341</v>
      </c>
      <c r="AF184" s="65" t="s">
        <v>341</v>
      </c>
      <c r="AG184" s="65" t="s">
        <v>341</v>
      </c>
      <c r="AH184" s="65" t="s">
        <v>341</v>
      </c>
      <c r="AI184" s="65" t="s">
        <v>341</v>
      </c>
      <c r="AJ184" s="65" t="s">
        <v>341</v>
      </c>
      <c r="AK184" s="65" t="s">
        <v>341</v>
      </c>
      <c r="AL184" s="65" t="s">
        <v>341</v>
      </c>
      <c r="AM184" s="65" t="s">
        <v>341</v>
      </c>
      <c r="AN184" s="65" t="s">
        <v>341</v>
      </c>
      <c r="AO184" s="65" t="s">
        <v>341</v>
      </c>
      <c r="AP184" s="65" t="s">
        <v>341</v>
      </c>
      <c r="AQ184" s="65" t="s">
        <v>341</v>
      </c>
      <c r="AR184" s="65" t="s">
        <v>341</v>
      </c>
      <c r="AS184" s="65" t="s">
        <v>341</v>
      </c>
      <c r="AT184" s="65" t="s">
        <v>341</v>
      </c>
      <c r="AU184" s="65" t="s">
        <v>341</v>
      </c>
      <c r="AV184" s="65" t="s">
        <v>341</v>
      </c>
      <c r="AW184" s="65" t="s">
        <v>341</v>
      </c>
      <c r="AX184" s="65" t="s">
        <v>341</v>
      </c>
      <c r="AY184" s="65" t="s">
        <v>341</v>
      </c>
    </row>
    <row r="185" spans="1:51" x14ac:dyDescent="0.2">
      <c r="A185" s="65" t="s">
        <v>1367</v>
      </c>
      <c r="B185" s="65" t="s">
        <v>446</v>
      </c>
      <c r="C185" s="65" t="s">
        <v>447</v>
      </c>
      <c r="D185" s="65" t="s">
        <v>1960</v>
      </c>
      <c r="E185" s="65" t="s">
        <v>341</v>
      </c>
      <c r="F185" s="65" t="s">
        <v>1872</v>
      </c>
      <c r="G185" s="65" t="s">
        <v>344</v>
      </c>
      <c r="H185" s="65" t="s">
        <v>341</v>
      </c>
      <c r="I185" s="65" t="s">
        <v>341</v>
      </c>
      <c r="J185" s="65" t="s">
        <v>341</v>
      </c>
      <c r="K185" s="65" t="s">
        <v>341</v>
      </c>
      <c r="L185" s="65" t="s">
        <v>341</v>
      </c>
      <c r="M185" s="65" t="s">
        <v>341</v>
      </c>
      <c r="N185" s="65" t="s">
        <v>341</v>
      </c>
      <c r="O185" s="65" t="s">
        <v>341</v>
      </c>
      <c r="P185" s="65" t="s">
        <v>341</v>
      </c>
      <c r="Q185" s="65" t="s">
        <v>341</v>
      </c>
      <c r="R185" s="65" t="s">
        <v>341</v>
      </c>
      <c r="S185" s="65" t="s">
        <v>341</v>
      </c>
      <c r="T185" s="65" t="s">
        <v>341</v>
      </c>
      <c r="U185" s="65" t="s">
        <v>341</v>
      </c>
      <c r="V185" s="65" t="s">
        <v>341</v>
      </c>
      <c r="W185" s="65" t="s">
        <v>341</v>
      </c>
      <c r="X185" s="65" t="s">
        <v>341</v>
      </c>
      <c r="Y185" s="65" t="s">
        <v>1913</v>
      </c>
      <c r="Z185" s="65" t="s">
        <v>1904</v>
      </c>
      <c r="AA185" s="65" t="s">
        <v>1961</v>
      </c>
      <c r="AB185" s="65" t="s">
        <v>341</v>
      </c>
      <c r="AC185" s="65" t="s">
        <v>341</v>
      </c>
      <c r="AD185" s="65" t="s">
        <v>341</v>
      </c>
      <c r="AE185" s="65" t="s">
        <v>341</v>
      </c>
      <c r="AF185" s="65" t="s">
        <v>341</v>
      </c>
      <c r="AG185" s="65" t="s">
        <v>341</v>
      </c>
      <c r="AH185" s="65" t="s">
        <v>341</v>
      </c>
      <c r="AI185" s="65" t="s">
        <v>341</v>
      </c>
      <c r="AJ185" s="65" t="s">
        <v>341</v>
      </c>
      <c r="AK185" s="65" t="s">
        <v>341</v>
      </c>
      <c r="AL185" s="65" t="s">
        <v>341</v>
      </c>
      <c r="AM185" s="65" t="s">
        <v>341</v>
      </c>
      <c r="AN185" s="65" t="s">
        <v>341</v>
      </c>
      <c r="AO185" s="65" t="s">
        <v>341</v>
      </c>
      <c r="AP185" s="65" t="s">
        <v>341</v>
      </c>
      <c r="AQ185" s="65" t="s">
        <v>341</v>
      </c>
      <c r="AR185" s="65" t="s">
        <v>341</v>
      </c>
      <c r="AS185" s="65" t="s">
        <v>341</v>
      </c>
      <c r="AT185" s="65" t="s">
        <v>341</v>
      </c>
      <c r="AU185" s="65" t="s">
        <v>341</v>
      </c>
      <c r="AV185" s="65" t="s">
        <v>341</v>
      </c>
      <c r="AW185" s="65" t="s">
        <v>341</v>
      </c>
      <c r="AX185" s="65" t="s">
        <v>341</v>
      </c>
      <c r="AY185" s="65" t="s">
        <v>341</v>
      </c>
    </row>
    <row r="186" spans="1:51" x14ac:dyDescent="0.2">
      <c r="A186" s="65" t="s">
        <v>1367</v>
      </c>
      <c r="B186" s="65" t="s">
        <v>448</v>
      </c>
      <c r="C186" s="65" t="s">
        <v>449</v>
      </c>
      <c r="D186" s="65" t="s">
        <v>1962</v>
      </c>
      <c r="E186" s="65" t="s">
        <v>341</v>
      </c>
      <c r="F186" s="65" t="s">
        <v>1872</v>
      </c>
      <c r="G186" s="65" t="s">
        <v>344</v>
      </c>
      <c r="H186" s="65" t="s">
        <v>341</v>
      </c>
      <c r="I186" s="65" t="s">
        <v>341</v>
      </c>
      <c r="J186" s="65" t="s">
        <v>341</v>
      </c>
      <c r="K186" s="65" t="s">
        <v>341</v>
      </c>
      <c r="L186" s="65" t="s">
        <v>341</v>
      </c>
      <c r="M186" s="65" t="s">
        <v>341</v>
      </c>
      <c r="N186" s="65" t="s">
        <v>341</v>
      </c>
      <c r="O186" s="65" t="s">
        <v>341</v>
      </c>
      <c r="P186" s="65" t="s">
        <v>341</v>
      </c>
      <c r="Q186" s="65" t="s">
        <v>341</v>
      </c>
      <c r="R186" s="65" t="s">
        <v>341</v>
      </c>
      <c r="S186" s="65" t="s">
        <v>341</v>
      </c>
      <c r="T186" s="65" t="s">
        <v>341</v>
      </c>
      <c r="U186" s="65" t="s">
        <v>341</v>
      </c>
      <c r="V186" s="65" t="s">
        <v>341</v>
      </c>
      <c r="W186" s="65" t="s">
        <v>341</v>
      </c>
      <c r="X186" s="65" t="s">
        <v>341</v>
      </c>
      <c r="Y186" s="65" t="s">
        <v>1873</v>
      </c>
      <c r="Z186" s="65" t="s">
        <v>1874</v>
      </c>
      <c r="AA186" s="65" t="s">
        <v>1963</v>
      </c>
      <c r="AB186" s="65" t="s">
        <v>341</v>
      </c>
      <c r="AC186" s="65" t="s">
        <v>341</v>
      </c>
      <c r="AD186" s="65" t="s">
        <v>341</v>
      </c>
      <c r="AE186" s="65" t="s">
        <v>341</v>
      </c>
      <c r="AF186" s="65" t="s">
        <v>341</v>
      </c>
      <c r="AG186" s="65" t="s">
        <v>341</v>
      </c>
      <c r="AH186" s="65" t="s">
        <v>341</v>
      </c>
      <c r="AI186" s="65" t="s">
        <v>341</v>
      </c>
      <c r="AJ186" s="65" t="s">
        <v>341</v>
      </c>
      <c r="AK186" s="65" t="s">
        <v>341</v>
      </c>
      <c r="AL186" s="65" t="s">
        <v>341</v>
      </c>
      <c r="AM186" s="65" t="s">
        <v>341</v>
      </c>
      <c r="AN186" s="65" t="s">
        <v>341</v>
      </c>
      <c r="AO186" s="65" t="s">
        <v>341</v>
      </c>
      <c r="AP186" s="65" t="s">
        <v>341</v>
      </c>
      <c r="AQ186" s="65" t="s">
        <v>341</v>
      </c>
      <c r="AR186" s="65" t="s">
        <v>341</v>
      </c>
      <c r="AS186" s="65" t="s">
        <v>341</v>
      </c>
      <c r="AT186" s="65" t="s">
        <v>341</v>
      </c>
      <c r="AU186" s="65" t="s">
        <v>341</v>
      </c>
      <c r="AV186" s="65" t="s">
        <v>341</v>
      </c>
      <c r="AW186" s="65" t="s">
        <v>341</v>
      </c>
      <c r="AX186" s="65" t="s">
        <v>341</v>
      </c>
      <c r="AY186" s="65" t="s">
        <v>341</v>
      </c>
    </row>
    <row r="187" spans="1:51" x14ac:dyDescent="0.2">
      <c r="A187" s="65" t="s">
        <v>1773</v>
      </c>
      <c r="B187" s="65" t="s">
        <v>1193</v>
      </c>
      <c r="C187" s="65" t="s">
        <v>1194</v>
      </c>
      <c r="D187" s="65" t="s">
        <v>1964</v>
      </c>
      <c r="E187" s="65" t="s">
        <v>341</v>
      </c>
      <c r="F187" s="65" t="s">
        <v>1965</v>
      </c>
      <c r="G187" s="65" t="s">
        <v>1966</v>
      </c>
      <c r="H187" s="65" t="s">
        <v>341</v>
      </c>
      <c r="I187" s="65" t="s">
        <v>341</v>
      </c>
      <c r="J187" s="65" t="s">
        <v>341</v>
      </c>
      <c r="K187" s="65" t="s">
        <v>341</v>
      </c>
      <c r="L187" s="65" t="s">
        <v>341</v>
      </c>
      <c r="M187" s="65" t="s">
        <v>341</v>
      </c>
      <c r="N187" s="65" t="s">
        <v>341</v>
      </c>
      <c r="O187" s="65" t="s">
        <v>341</v>
      </c>
      <c r="P187" s="65" t="s">
        <v>341</v>
      </c>
      <c r="Q187" s="65" t="s">
        <v>341</v>
      </c>
      <c r="R187" s="65" t="s">
        <v>341</v>
      </c>
      <c r="S187" s="65" t="s">
        <v>341</v>
      </c>
      <c r="T187" s="65" t="s">
        <v>341</v>
      </c>
      <c r="U187" s="65" t="s">
        <v>341</v>
      </c>
      <c r="V187" s="65" t="s">
        <v>341</v>
      </c>
      <c r="W187" s="65" t="s">
        <v>341</v>
      </c>
      <c r="X187" s="65" t="s">
        <v>341</v>
      </c>
      <c r="Y187" s="65" t="s">
        <v>1967</v>
      </c>
      <c r="Z187" s="65" t="s">
        <v>1338</v>
      </c>
      <c r="AA187" s="65" t="s">
        <v>1968</v>
      </c>
      <c r="AB187" s="65" t="s">
        <v>341</v>
      </c>
      <c r="AC187" s="65" t="s">
        <v>341</v>
      </c>
      <c r="AD187" s="65" t="s">
        <v>341</v>
      </c>
      <c r="AE187" s="65" t="s">
        <v>341</v>
      </c>
      <c r="AF187" s="65" t="s">
        <v>341</v>
      </c>
      <c r="AG187" s="65" t="s">
        <v>341</v>
      </c>
      <c r="AH187" s="65" t="s">
        <v>341</v>
      </c>
      <c r="AI187" s="65" t="s">
        <v>341</v>
      </c>
      <c r="AJ187" s="65" t="s">
        <v>341</v>
      </c>
      <c r="AK187" s="65" t="s">
        <v>341</v>
      </c>
      <c r="AL187" s="65" t="s">
        <v>341</v>
      </c>
      <c r="AM187" s="65" t="s">
        <v>341</v>
      </c>
      <c r="AN187" s="65" t="s">
        <v>341</v>
      </c>
      <c r="AO187" s="65" t="s">
        <v>341</v>
      </c>
      <c r="AP187" s="65" t="s">
        <v>341</v>
      </c>
      <c r="AQ187" s="65" t="s">
        <v>341</v>
      </c>
      <c r="AR187" s="65" t="s">
        <v>341</v>
      </c>
      <c r="AS187" s="65" t="s">
        <v>341</v>
      </c>
      <c r="AT187" s="65" t="s">
        <v>341</v>
      </c>
      <c r="AU187" s="65" t="s">
        <v>341</v>
      </c>
      <c r="AV187" s="65" t="s">
        <v>341</v>
      </c>
      <c r="AW187" s="65" t="s">
        <v>341</v>
      </c>
      <c r="AX187" s="65" t="s">
        <v>341</v>
      </c>
      <c r="AY187" s="65" t="s">
        <v>341</v>
      </c>
    </row>
    <row r="188" spans="1:51" x14ac:dyDescent="0.2">
      <c r="A188" s="65" t="s">
        <v>1773</v>
      </c>
      <c r="B188" s="65" t="s">
        <v>1195</v>
      </c>
      <c r="C188" s="65" t="s">
        <v>1196</v>
      </c>
      <c r="D188" s="65" t="s">
        <v>1969</v>
      </c>
      <c r="E188" s="65" t="s">
        <v>341</v>
      </c>
      <c r="F188" s="65" t="s">
        <v>1965</v>
      </c>
      <c r="G188" s="65" t="s">
        <v>1966</v>
      </c>
      <c r="H188" s="65" t="s">
        <v>341</v>
      </c>
      <c r="I188" s="65" t="s">
        <v>341</v>
      </c>
      <c r="J188" s="65" t="s">
        <v>341</v>
      </c>
      <c r="K188" s="65" t="s">
        <v>341</v>
      </c>
      <c r="L188" s="65" t="s">
        <v>341</v>
      </c>
      <c r="M188" s="65" t="s">
        <v>341</v>
      </c>
      <c r="N188" s="65" t="s">
        <v>341</v>
      </c>
      <c r="O188" s="65" t="s">
        <v>341</v>
      </c>
      <c r="P188" s="65" t="s">
        <v>341</v>
      </c>
      <c r="Q188" s="65" t="s">
        <v>341</v>
      </c>
      <c r="R188" s="65" t="s">
        <v>341</v>
      </c>
      <c r="S188" s="65" t="s">
        <v>341</v>
      </c>
      <c r="T188" s="65" t="s">
        <v>341</v>
      </c>
      <c r="U188" s="65" t="s">
        <v>341</v>
      </c>
      <c r="V188" s="65" t="s">
        <v>341</v>
      </c>
      <c r="W188" s="65" t="s">
        <v>341</v>
      </c>
      <c r="X188" s="65" t="s">
        <v>341</v>
      </c>
      <c r="Y188" s="65" t="s">
        <v>1967</v>
      </c>
      <c r="Z188" s="65" t="s">
        <v>1338</v>
      </c>
      <c r="AA188" s="65" t="s">
        <v>1970</v>
      </c>
      <c r="AB188" s="65" t="s">
        <v>341</v>
      </c>
      <c r="AC188" s="65" t="s">
        <v>341</v>
      </c>
      <c r="AD188" s="65" t="s">
        <v>341</v>
      </c>
      <c r="AE188" s="65" t="s">
        <v>341</v>
      </c>
      <c r="AF188" s="65" t="s">
        <v>341</v>
      </c>
      <c r="AG188" s="65" t="s">
        <v>341</v>
      </c>
      <c r="AH188" s="65" t="s">
        <v>341</v>
      </c>
      <c r="AI188" s="65" t="s">
        <v>341</v>
      </c>
      <c r="AJ188" s="65" t="s">
        <v>341</v>
      </c>
      <c r="AK188" s="65" t="s">
        <v>341</v>
      </c>
      <c r="AL188" s="65" t="s">
        <v>341</v>
      </c>
      <c r="AM188" s="65" t="s">
        <v>341</v>
      </c>
      <c r="AN188" s="65" t="s">
        <v>341</v>
      </c>
      <c r="AO188" s="65" t="s">
        <v>341</v>
      </c>
      <c r="AP188" s="65" t="s">
        <v>341</v>
      </c>
      <c r="AQ188" s="65" t="s">
        <v>341</v>
      </c>
      <c r="AR188" s="65" t="s">
        <v>341</v>
      </c>
      <c r="AS188" s="65" t="s">
        <v>341</v>
      </c>
      <c r="AT188" s="65" t="s">
        <v>341</v>
      </c>
      <c r="AU188" s="65" t="s">
        <v>341</v>
      </c>
      <c r="AV188" s="65" t="s">
        <v>341</v>
      </c>
      <c r="AW188" s="65" t="s">
        <v>341</v>
      </c>
      <c r="AX188" s="65" t="s">
        <v>341</v>
      </c>
      <c r="AY188" s="65" t="s">
        <v>341</v>
      </c>
    </row>
    <row r="189" spans="1:51" x14ac:dyDescent="0.2">
      <c r="A189" s="65" t="s">
        <v>1773</v>
      </c>
      <c r="B189" s="65" t="s">
        <v>1197</v>
      </c>
      <c r="C189" s="65" t="s">
        <v>1198</v>
      </c>
      <c r="D189" s="65" t="s">
        <v>1971</v>
      </c>
      <c r="E189" s="65" t="s">
        <v>341</v>
      </c>
      <c r="F189" s="65" t="s">
        <v>1965</v>
      </c>
      <c r="G189" s="65" t="s">
        <v>1966</v>
      </c>
      <c r="H189" s="65" t="s">
        <v>341</v>
      </c>
      <c r="I189" s="65" t="s">
        <v>341</v>
      </c>
      <c r="J189" s="65" t="s">
        <v>341</v>
      </c>
      <c r="K189" s="65" t="s">
        <v>341</v>
      </c>
      <c r="L189" s="65" t="s">
        <v>341</v>
      </c>
      <c r="M189" s="65" t="s">
        <v>341</v>
      </c>
      <c r="N189" s="65" t="s">
        <v>341</v>
      </c>
      <c r="O189" s="65" t="s">
        <v>341</v>
      </c>
      <c r="P189" s="65" t="s">
        <v>341</v>
      </c>
      <c r="Q189" s="65" t="s">
        <v>341</v>
      </c>
      <c r="R189" s="65" t="s">
        <v>341</v>
      </c>
      <c r="S189" s="65" t="s">
        <v>341</v>
      </c>
      <c r="T189" s="65" t="s">
        <v>341</v>
      </c>
      <c r="U189" s="65" t="s">
        <v>341</v>
      </c>
      <c r="V189" s="65" t="s">
        <v>341</v>
      </c>
      <c r="W189" s="65" t="s">
        <v>341</v>
      </c>
      <c r="X189" s="65" t="s">
        <v>341</v>
      </c>
      <c r="Y189" s="65" t="s">
        <v>1198</v>
      </c>
      <c r="Z189" s="65" t="s">
        <v>1338</v>
      </c>
      <c r="AA189" s="65" t="s">
        <v>1972</v>
      </c>
      <c r="AB189" s="65" t="s">
        <v>341</v>
      </c>
      <c r="AC189" s="65" t="s">
        <v>341</v>
      </c>
      <c r="AD189" s="65" t="s">
        <v>341</v>
      </c>
      <c r="AE189" s="65" t="s">
        <v>341</v>
      </c>
      <c r="AF189" s="65" t="s">
        <v>341</v>
      </c>
      <c r="AG189" s="65" t="s">
        <v>341</v>
      </c>
      <c r="AH189" s="65" t="s">
        <v>341</v>
      </c>
      <c r="AI189" s="65" t="s">
        <v>341</v>
      </c>
      <c r="AJ189" s="65" t="s">
        <v>341</v>
      </c>
      <c r="AK189" s="65" t="s">
        <v>341</v>
      </c>
      <c r="AL189" s="65" t="s">
        <v>341</v>
      </c>
      <c r="AM189" s="65" t="s">
        <v>341</v>
      </c>
      <c r="AN189" s="65" t="s">
        <v>341</v>
      </c>
      <c r="AO189" s="65" t="s">
        <v>341</v>
      </c>
      <c r="AP189" s="65" t="s">
        <v>341</v>
      </c>
      <c r="AQ189" s="65" t="s">
        <v>341</v>
      </c>
      <c r="AR189" s="65" t="s">
        <v>341</v>
      </c>
      <c r="AS189" s="65" t="s">
        <v>341</v>
      </c>
      <c r="AT189" s="65" t="s">
        <v>341</v>
      </c>
      <c r="AU189" s="65" t="s">
        <v>341</v>
      </c>
      <c r="AV189" s="65" t="s">
        <v>341</v>
      </c>
      <c r="AW189" s="65" t="s">
        <v>341</v>
      </c>
      <c r="AX189" s="65" t="s">
        <v>341</v>
      </c>
      <c r="AY189" s="65" t="s">
        <v>341</v>
      </c>
    </row>
    <row r="190" spans="1:51" x14ac:dyDescent="0.2">
      <c r="A190" s="65" t="s">
        <v>1773</v>
      </c>
      <c r="B190" s="65" t="s">
        <v>1199</v>
      </c>
      <c r="C190" s="65" t="s">
        <v>1200</v>
      </c>
      <c r="D190" s="65" t="s">
        <v>1973</v>
      </c>
      <c r="E190" s="65" t="s">
        <v>341</v>
      </c>
      <c r="F190" s="65" t="s">
        <v>1965</v>
      </c>
      <c r="G190" s="65" t="s">
        <v>1966</v>
      </c>
      <c r="H190" s="65" t="s">
        <v>341</v>
      </c>
      <c r="I190" s="65" t="s">
        <v>341</v>
      </c>
      <c r="J190" s="65" t="s">
        <v>341</v>
      </c>
      <c r="K190" s="65" t="s">
        <v>341</v>
      </c>
      <c r="L190" s="65" t="s">
        <v>341</v>
      </c>
      <c r="M190" s="65" t="s">
        <v>341</v>
      </c>
      <c r="N190" s="65" t="s">
        <v>341</v>
      </c>
      <c r="O190" s="65" t="s">
        <v>341</v>
      </c>
      <c r="P190" s="65" t="s">
        <v>341</v>
      </c>
      <c r="Q190" s="65" t="s">
        <v>341</v>
      </c>
      <c r="R190" s="65" t="s">
        <v>341</v>
      </c>
      <c r="S190" s="65" t="s">
        <v>341</v>
      </c>
      <c r="T190" s="65" t="s">
        <v>341</v>
      </c>
      <c r="U190" s="65" t="s">
        <v>341</v>
      </c>
      <c r="V190" s="65" t="s">
        <v>341</v>
      </c>
      <c r="W190" s="65" t="s">
        <v>341</v>
      </c>
      <c r="X190" s="65" t="s">
        <v>341</v>
      </c>
      <c r="Y190" s="65" t="s">
        <v>1974</v>
      </c>
      <c r="Z190" s="65" t="s">
        <v>1338</v>
      </c>
      <c r="AA190" s="65" t="s">
        <v>1975</v>
      </c>
      <c r="AB190" s="65" t="s">
        <v>341</v>
      </c>
      <c r="AC190" s="65" t="s">
        <v>341</v>
      </c>
      <c r="AD190" s="65" t="s">
        <v>341</v>
      </c>
      <c r="AE190" s="65" t="s">
        <v>341</v>
      </c>
      <c r="AF190" s="65" t="s">
        <v>341</v>
      </c>
      <c r="AG190" s="65" t="s">
        <v>341</v>
      </c>
      <c r="AH190" s="65" t="s">
        <v>341</v>
      </c>
      <c r="AI190" s="65" t="s">
        <v>341</v>
      </c>
      <c r="AJ190" s="65" t="s">
        <v>341</v>
      </c>
      <c r="AK190" s="65" t="s">
        <v>341</v>
      </c>
      <c r="AL190" s="65" t="s">
        <v>341</v>
      </c>
      <c r="AM190" s="65" t="s">
        <v>341</v>
      </c>
      <c r="AN190" s="65" t="s">
        <v>341</v>
      </c>
      <c r="AO190" s="65" t="s">
        <v>341</v>
      </c>
      <c r="AP190" s="65" t="s">
        <v>341</v>
      </c>
      <c r="AQ190" s="65" t="s">
        <v>341</v>
      </c>
      <c r="AR190" s="65" t="s">
        <v>341</v>
      </c>
      <c r="AS190" s="65" t="s">
        <v>341</v>
      </c>
      <c r="AT190" s="65" t="s">
        <v>341</v>
      </c>
      <c r="AU190" s="65" t="s">
        <v>341</v>
      </c>
      <c r="AV190" s="65" t="s">
        <v>341</v>
      </c>
      <c r="AW190" s="65" t="s">
        <v>341</v>
      </c>
      <c r="AX190" s="65" t="s">
        <v>341</v>
      </c>
      <c r="AY190" s="65" t="s">
        <v>341</v>
      </c>
    </row>
    <row r="191" spans="1:51" x14ac:dyDescent="0.2">
      <c r="A191" s="65" t="s">
        <v>1773</v>
      </c>
      <c r="B191" s="65" t="s">
        <v>1201</v>
      </c>
      <c r="C191" s="65" t="s">
        <v>1202</v>
      </c>
      <c r="D191" s="65" t="s">
        <v>1976</v>
      </c>
      <c r="E191" s="65" t="s">
        <v>341</v>
      </c>
      <c r="F191" s="65" t="s">
        <v>1965</v>
      </c>
      <c r="G191" s="65" t="s">
        <v>1966</v>
      </c>
      <c r="H191" s="65" t="s">
        <v>341</v>
      </c>
      <c r="I191" s="65" t="s">
        <v>341</v>
      </c>
      <c r="J191" s="65" t="s">
        <v>341</v>
      </c>
      <c r="K191" s="65" t="s">
        <v>341</v>
      </c>
      <c r="L191" s="65" t="s">
        <v>341</v>
      </c>
      <c r="M191" s="65" t="s">
        <v>341</v>
      </c>
      <c r="N191" s="65" t="s">
        <v>341</v>
      </c>
      <c r="O191" s="65" t="s">
        <v>341</v>
      </c>
      <c r="P191" s="65" t="s">
        <v>341</v>
      </c>
      <c r="Q191" s="65" t="s">
        <v>341</v>
      </c>
      <c r="R191" s="65" t="s">
        <v>341</v>
      </c>
      <c r="S191" s="65" t="s">
        <v>341</v>
      </c>
      <c r="T191" s="65" t="s">
        <v>341</v>
      </c>
      <c r="U191" s="65" t="s">
        <v>341</v>
      </c>
      <c r="V191" s="65" t="s">
        <v>341</v>
      </c>
      <c r="W191" s="65" t="s">
        <v>341</v>
      </c>
      <c r="X191" s="65" t="s">
        <v>341</v>
      </c>
      <c r="Y191" s="65" t="s">
        <v>1202</v>
      </c>
      <c r="Z191" s="65" t="s">
        <v>1338</v>
      </c>
      <c r="AA191" s="65" t="s">
        <v>1977</v>
      </c>
      <c r="AB191" s="65" t="s">
        <v>341</v>
      </c>
      <c r="AC191" s="65" t="s">
        <v>341</v>
      </c>
      <c r="AD191" s="65" t="s">
        <v>341</v>
      </c>
      <c r="AE191" s="65" t="s">
        <v>341</v>
      </c>
      <c r="AF191" s="65" t="s">
        <v>341</v>
      </c>
      <c r="AG191" s="65" t="s">
        <v>341</v>
      </c>
      <c r="AH191" s="65" t="s">
        <v>341</v>
      </c>
      <c r="AI191" s="65" t="s">
        <v>341</v>
      </c>
      <c r="AJ191" s="65" t="s">
        <v>341</v>
      </c>
      <c r="AK191" s="65" t="s">
        <v>341</v>
      </c>
      <c r="AL191" s="65" t="s">
        <v>341</v>
      </c>
      <c r="AM191" s="65" t="s">
        <v>341</v>
      </c>
      <c r="AN191" s="65" t="s">
        <v>341</v>
      </c>
      <c r="AO191" s="65" t="s">
        <v>341</v>
      </c>
      <c r="AP191" s="65" t="s">
        <v>341</v>
      </c>
      <c r="AQ191" s="65" t="s">
        <v>341</v>
      </c>
      <c r="AR191" s="65" t="s">
        <v>341</v>
      </c>
      <c r="AS191" s="65" t="s">
        <v>341</v>
      </c>
      <c r="AT191" s="65" t="s">
        <v>341</v>
      </c>
      <c r="AU191" s="65" t="s">
        <v>341</v>
      </c>
      <c r="AV191" s="65" t="s">
        <v>341</v>
      </c>
      <c r="AW191" s="65" t="s">
        <v>341</v>
      </c>
      <c r="AX191" s="65" t="s">
        <v>341</v>
      </c>
      <c r="AY191" s="65" t="s">
        <v>341</v>
      </c>
    </row>
    <row r="192" spans="1:51" x14ac:dyDescent="0.2">
      <c r="A192" s="65" t="s">
        <v>1773</v>
      </c>
      <c r="B192" s="65" t="s">
        <v>1203</v>
      </c>
      <c r="C192" s="65" t="s">
        <v>1204</v>
      </c>
      <c r="D192" s="65" t="s">
        <v>1978</v>
      </c>
      <c r="E192" s="65" t="s">
        <v>341</v>
      </c>
      <c r="F192" s="65" t="s">
        <v>1965</v>
      </c>
      <c r="G192" s="65" t="s">
        <v>1966</v>
      </c>
      <c r="H192" s="65" t="s">
        <v>341</v>
      </c>
      <c r="I192" s="65" t="s">
        <v>341</v>
      </c>
      <c r="J192" s="65" t="s">
        <v>341</v>
      </c>
      <c r="K192" s="65" t="s">
        <v>341</v>
      </c>
      <c r="L192" s="65" t="s">
        <v>341</v>
      </c>
      <c r="M192" s="65" t="s">
        <v>341</v>
      </c>
      <c r="N192" s="65" t="s">
        <v>341</v>
      </c>
      <c r="O192" s="65" t="s">
        <v>341</v>
      </c>
      <c r="P192" s="65" t="s">
        <v>341</v>
      </c>
      <c r="Q192" s="65" t="s">
        <v>341</v>
      </c>
      <c r="R192" s="65" t="s">
        <v>341</v>
      </c>
      <c r="S192" s="65" t="s">
        <v>341</v>
      </c>
      <c r="T192" s="65" t="s">
        <v>341</v>
      </c>
      <c r="U192" s="65" t="s">
        <v>341</v>
      </c>
      <c r="V192" s="65" t="s">
        <v>341</v>
      </c>
      <c r="W192" s="65" t="s">
        <v>341</v>
      </c>
      <c r="X192" s="65" t="s">
        <v>341</v>
      </c>
      <c r="Y192" s="65" t="s">
        <v>1204</v>
      </c>
      <c r="Z192" s="65" t="s">
        <v>1338</v>
      </c>
      <c r="AA192" s="65" t="s">
        <v>1979</v>
      </c>
      <c r="AB192" s="65" t="s">
        <v>341</v>
      </c>
      <c r="AC192" s="65" t="s">
        <v>341</v>
      </c>
      <c r="AD192" s="65" t="s">
        <v>341</v>
      </c>
      <c r="AE192" s="65" t="s">
        <v>341</v>
      </c>
      <c r="AF192" s="65" t="s">
        <v>341</v>
      </c>
      <c r="AG192" s="65" t="s">
        <v>341</v>
      </c>
      <c r="AH192" s="65" t="s">
        <v>341</v>
      </c>
      <c r="AI192" s="65" t="s">
        <v>341</v>
      </c>
      <c r="AJ192" s="65" t="s">
        <v>341</v>
      </c>
      <c r="AK192" s="65" t="s">
        <v>341</v>
      </c>
      <c r="AL192" s="65" t="s">
        <v>341</v>
      </c>
      <c r="AM192" s="65" t="s">
        <v>341</v>
      </c>
      <c r="AN192" s="65" t="s">
        <v>341</v>
      </c>
      <c r="AO192" s="65" t="s">
        <v>341</v>
      </c>
      <c r="AP192" s="65" t="s">
        <v>341</v>
      </c>
      <c r="AQ192" s="65" t="s">
        <v>341</v>
      </c>
      <c r="AR192" s="65" t="s">
        <v>341</v>
      </c>
      <c r="AS192" s="65" t="s">
        <v>341</v>
      </c>
      <c r="AT192" s="65" t="s">
        <v>341</v>
      </c>
      <c r="AU192" s="65" t="s">
        <v>341</v>
      </c>
      <c r="AV192" s="65" t="s">
        <v>341</v>
      </c>
      <c r="AW192" s="65" t="s">
        <v>341</v>
      </c>
      <c r="AX192" s="65" t="s">
        <v>341</v>
      </c>
      <c r="AY192" s="65" t="s">
        <v>341</v>
      </c>
    </row>
    <row r="193" spans="1:51" x14ac:dyDescent="0.2">
      <c r="A193" s="65" t="s">
        <v>1773</v>
      </c>
      <c r="B193" s="65" t="s">
        <v>1209</v>
      </c>
      <c r="C193" s="65" t="s">
        <v>1210</v>
      </c>
      <c r="D193" s="65" t="s">
        <v>1980</v>
      </c>
      <c r="E193" s="65" t="s">
        <v>341</v>
      </c>
      <c r="F193" s="65" t="s">
        <v>1965</v>
      </c>
      <c r="G193" s="65" t="s">
        <v>1966</v>
      </c>
      <c r="H193" s="65" t="s">
        <v>341</v>
      </c>
      <c r="I193" s="65" t="s">
        <v>341</v>
      </c>
      <c r="J193" s="65" t="s">
        <v>341</v>
      </c>
      <c r="K193" s="65" t="s">
        <v>341</v>
      </c>
      <c r="L193" s="65" t="s">
        <v>341</v>
      </c>
      <c r="M193" s="65" t="s">
        <v>341</v>
      </c>
      <c r="N193" s="65" t="s">
        <v>341</v>
      </c>
      <c r="O193" s="65" t="s">
        <v>341</v>
      </c>
      <c r="P193" s="65" t="s">
        <v>341</v>
      </c>
      <c r="Q193" s="65" t="s">
        <v>341</v>
      </c>
      <c r="R193" s="65" t="s">
        <v>341</v>
      </c>
      <c r="S193" s="65" t="s">
        <v>341</v>
      </c>
      <c r="T193" s="65" t="s">
        <v>341</v>
      </c>
      <c r="U193" s="65" t="s">
        <v>341</v>
      </c>
      <c r="V193" s="65" t="s">
        <v>341</v>
      </c>
      <c r="W193" s="65" t="s">
        <v>341</v>
      </c>
      <c r="X193" s="65" t="s">
        <v>341</v>
      </c>
      <c r="Y193" s="65" t="s">
        <v>1981</v>
      </c>
      <c r="Z193" s="65" t="s">
        <v>1338</v>
      </c>
      <c r="AA193" s="65" t="s">
        <v>1982</v>
      </c>
      <c r="AB193" s="65" t="s">
        <v>341</v>
      </c>
      <c r="AC193" s="65" t="s">
        <v>341</v>
      </c>
      <c r="AD193" s="65" t="s">
        <v>341</v>
      </c>
      <c r="AE193" s="65" t="s">
        <v>341</v>
      </c>
      <c r="AF193" s="65" t="s">
        <v>341</v>
      </c>
      <c r="AG193" s="65" t="s">
        <v>341</v>
      </c>
      <c r="AH193" s="65" t="s">
        <v>341</v>
      </c>
      <c r="AI193" s="65" t="s">
        <v>341</v>
      </c>
      <c r="AJ193" s="65" t="s">
        <v>341</v>
      </c>
      <c r="AK193" s="65" t="s">
        <v>341</v>
      </c>
      <c r="AL193" s="65" t="s">
        <v>341</v>
      </c>
      <c r="AM193" s="65" t="s">
        <v>341</v>
      </c>
      <c r="AN193" s="65" t="s">
        <v>341</v>
      </c>
      <c r="AO193" s="65" t="s">
        <v>341</v>
      </c>
      <c r="AP193" s="65" t="s">
        <v>341</v>
      </c>
      <c r="AQ193" s="65" t="s">
        <v>341</v>
      </c>
      <c r="AR193" s="65" t="s">
        <v>341</v>
      </c>
      <c r="AS193" s="65" t="s">
        <v>341</v>
      </c>
      <c r="AT193" s="65" t="s">
        <v>341</v>
      </c>
      <c r="AU193" s="65" t="s">
        <v>341</v>
      </c>
      <c r="AV193" s="65" t="s">
        <v>341</v>
      </c>
      <c r="AW193" s="65" t="s">
        <v>341</v>
      </c>
      <c r="AX193" s="65" t="s">
        <v>341</v>
      </c>
      <c r="AY193" s="65" t="s">
        <v>341</v>
      </c>
    </row>
    <row r="194" spans="1:51" x14ac:dyDescent="0.2">
      <c r="A194" s="65" t="s">
        <v>1773</v>
      </c>
      <c r="B194" s="65" t="s">
        <v>1211</v>
      </c>
      <c r="C194" s="65" t="s">
        <v>1212</v>
      </c>
      <c r="D194" s="65" t="s">
        <v>1983</v>
      </c>
      <c r="E194" s="65" t="s">
        <v>341</v>
      </c>
      <c r="F194" s="65" t="s">
        <v>1965</v>
      </c>
      <c r="G194" s="65" t="s">
        <v>1966</v>
      </c>
      <c r="H194" s="65" t="s">
        <v>341</v>
      </c>
      <c r="I194" s="65" t="s">
        <v>341</v>
      </c>
      <c r="J194" s="65" t="s">
        <v>341</v>
      </c>
      <c r="K194" s="65" t="s">
        <v>341</v>
      </c>
      <c r="L194" s="65" t="s">
        <v>341</v>
      </c>
      <c r="M194" s="65" t="s">
        <v>341</v>
      </c>
      <c r="N194" s="65" t="s">
        <v>341</v>
      </c>
      <c r="O194" s="65" t="s">
        <v>341</v>
      </c>
      <c r="P194" s="65" t="s">
        <v>341</v>
      </c>
      <c r="Q194" s="65" t="s">
        <v>341</v>
      </c>
      <c r="R194" s="65" t="s">
        <v>341</v>
      </c>
      <c r="S194" s="65" t="s">
        <v>341</v>
      </c>
      <c r="T194" s="65" t="s">
        <v>341</v>
      </c>
      <c r="U194" s="65" t="s">
        <v>341</v>
      </c>
      <c r="V194" s="65" t="s">
        <v>341</v>
      </c>
      <c r="W194" s="65" t="s">
        <v>341</v>
      </c>
      <c r="X194" s="65" t="s">
        <v>341</v>
      </c>
      <c r="Y194" s="65" t="s">
        <v>1967</v>
      </c>
      <c r="Z194" s="65" t="s">
        <v>1338</v>
      </c>
      <c r="AA194" s="65" t="s">
        <v>1984</v>
      </c>
      <c r="AB194" s="65" t="s">
        <v>341</v>
      </c>
      <c r="AC194" s="65" t="s">
        <v>341</v>
      </c>
      <c r="AD194" s="65" t="s">
        <v>341</v>
      </c>
      <c r="AE194" s="65" t="s">
        <v>341</v>
      </c>
      <c r="AF194" s="65" t="s">
        <v>341</v>
      </c>
      <c r="AG194" s="65" t="s">
        <v>341</v>
      </c>
      <c r="AH194" s="65" t="s">
        <v>341</v>
      </c>
      <c r="AI194" s="65" t="s">
        <v>341</v>
      </c>
      <c r="AJ194" s="65" t="s">
        <v>341</v>
      </c>
      <c r="AK194" s="65" t="s">
        <v>341</v>
      </c>
      <c r="AL194" s="65" t="s">
        <v>341</v>
      </c>
      <c r="AM194" s="65" t="s">
        <v>341</v>
      </c>
      <c r="AN194" s="65" t="s">
        <v>341</v>
      </c>
      <c r="AO194" s="65" t="s">
        <v>341</v>
      </c>
      <c r="AP194" s="65" t="s">
        <v>341</v>
      </c>
      <c r="AQ194" s="65" t="s">
        <v>341</v>
      </c>
      <c r="AR194" s="65" t="s">
        <v>341</v>
      </c>
      <c r="AS194" s="65" t="s">
        <v>341</v>
      </c>
      <c r="AT194" s="65" t="s">
        <v>341</v>
      </c>
      <c r="AU194" s="65" t="s">
        <v>341</v>
      </c>
      <c r="AV194" s="65" t="s">
        <v>341</v>
      </c>
      <c r="AW194" s="65" t="s">
        <v>341</v>
      </c>
      <c r="AX194" s="65" t="s">
        <v>341</v>
      </c>
      <c r="AY194" s="65" t="s">
        <v>341</v>
      </c>
    </row>
    <row r="195" spans="1:51" x14ac:dyDescent="0.2">
      <c r="A195" s="65" t="s">
        <v>1773</v>
      </c>
      <c r="B195" s="65" t="s">
        <v>1213</v>
      </c>
      <c r="C195" s="65" t="s">
        <v>1214</v>
      </c>
      <c r="D195" s="65" t="s">
        <v>1985</v>
      </c>
      <c r="E195" s="65" t="s">
        <v>341</v>
      </c>
      <c r="F195" s="65" t="s">
        <v>1965</v>
      </c>
      <c r="G195" s="65" t="s">
        <v>1966</v>
      </c>
      <c r="H195" s="65" t="s">
        <v>341</v>
      </c>
      <c r="I195" s="65" t="s">
        <v>341</v>
      </c>
      <c r="J195" s="65" t="s">
        <v>341</v>
      </c>
      <c r="K195" s="65" t="s">
        <v>341</v>
      </c>
      <c r="L195" s="65" t="s">
        <v>341</v>
      </c>
      <c r="M195" s="65" t="s">
        <v>341</v>
      </c>
      <c r="N195" s="65" t="s">
        <v>341</v>
      </c>
      <c r="O195" s="65" t="s">
        <v>341</v>
      </c>
      <c r="P195" s="65" t="s">
        <v>341</v>
      </c>
      <c r="Q195" s="65" t="s">
        <v>341</v>
      </c>
      <c r="R195" s="65" t="s">
        <v>341</v>
      </c>
      <c r="S195" s="65" t="s">
        <v>341</v>
      </c>
      <c r="T195" s="65" t="s">
        <v>341</v>
      </c>
      <c r="U195" s="65" t="s">
        <v>341</v>
      </c>
      <c r="V195" s="65" t="s">
        <v>341</v>
      </c>
      <c r="W195" s="65" t="s">
        <v>341</v>
      </c>
      <c r="X195" s="65" t="s">
        <v>341</v>
      </c>
      <c r="Y195" s="65" t="s">
        <v>1967</v>
      </c>
      <c r="Z195" s="65" t="s">
        <v>1338</v>
      </c>
      <c r="AA195" s="65" t="s">
        <v>1986</v>
      </c>
      <c r="AB195" s="65" t="s">
        <v>341</v>
      </c>
      <c r="AC195" s="65" t="s">
        <v>341</v>
      </c>
      <c r="AD195" s="65" t="s">
        <v>341</v>
      </c>
      <c r="AE195" s="65" t="s">
        <v>341</v>
      </c>
      <c r="AF195" s="65" t="s">
        <v>341</v>
      </c>
      <c r="AG195" s="65" t="s">
        <v>341</v>
      </c>
      <c r="AH195" s="65" t="s">
        <v>341</v>
      </c>
      <c r="AI195" s="65" t="s">
        <v>341</v>
      </c>
      <c r="AJ195" s="65" t="s">
        <v>341</v>
      </c>
      <c r="AK195" s="65" t="s">
        <v>341</v>
      </c>
      <c r="AL195" s="65" t="s">
        <v>341</v>
      </c>
      <c r="AM195" s="65" t="s">
        <v>341</v>
      </c>
      <c r="AN195" s="65" t="s">
        <v>341</v>
      </c>
      <c r="AO195" s="65" t="s">
        <v>341</v>
      </c>
      <c r="AP195" s="65" t="s">
        <v>341</v>
      </c>
      <c r="AQ195" s="65" t="s">
        <v>341</v>
      </c>
      <c r="AR195" s="65" t="s">
        <v>341</v>
      </c>
      <c r="AS195" s="65" t="s">
        <v>341</v>
      </c>
      <c r="AT195" s="65" t="s">
        <v>341</v>
      </c>
      <c r="AU195" s="65" t="s">
        <v>341</v>
      </c>
      <c r="AV195" s="65" t="s">
        <v>341</v>
      </c>
      <c r="AW195" s="65" t="s">
        <v>341</v>
      </c>
      <c r="AX195" s="65" t="s">
        <v>341</v>
      </c>
      <c r="AY195" s="65" t="s">
        <v>341</v>
      </c>
    </row>
    <row r="196" spans="1:51" x14ac:dyDescent="0.2">
      <c r="A196" s="65" t="s">
        <v>1773</v>
      </c>
      <c r="B196" s="65" t="s">
        <v>1215</v>
      </c>
      <c r="C196" s="65" t="s">
        <v>1216</v>
      </c>
      <c r="D196" s="65" t="s">
        <v>1987</v>
      </c>
      <c r="E196" s="65" t="s">
        <v>341</v>
      </c>
      <c r="F196" s="65" t="s">
        <v>1965</v>
      </c>
      <c r="G196" s="65" t="s">
        <v>1966</v>
      </c>
      <c r="H196" s="65" t="s">
        <v>341</v>
      </c>
      <c r="I196" s="65" t="s">
        <v>341</v>
      </c>
      <c r="J196" s="65" t="s">
        <v>341</v>
      </c>
      <c r="K196" s="65" t="s">
        <v>341</v>
      </c>
      <c r="L196" s="65" t="s">
        <v>341</v>
      </c>
      <c r="M196" s="65" t="s">
        <v>341</v>
      </c>
      <c r="N196" s="65" t="s">
        <v>341</v>
      </c>
      <c r="O196" s="65" t="s">
        <v>341</v>
      </c>
      <c r="P196" s="65" t="s">
        <v>341</v>
      </c>
      <c r="Q196" s="65" t="s">
        <v>341</v>
      </c>
      <c r="R196" s="65" t="s">
        <v>341</v>
      </c>
      <c r="S196" s="65" t="s">
        <v>341</v>
      </c>
      <c r="T196" s="65" t="s">
        <v>341</v>
      </c>
      <c r="U196" s="65" t="s">
        <v>341</v>
      </c>
      <c r="V196" s="65" t="s">
        <v>341</v>
      </c>
      <c r="W196" s="65" t="s">
        <v>341</v>
      </c>
      <c r="X196" s="65" t="s">
        <v>341</v>
      </c>
      <c r="Y196" s="65" t="s">
        <v>1216</v>
      </c>
      <c r="Z196" s="65" t="s">
        <v>1338</v>
      </c>
      <c r="AA196" s="65" t="s">
        <v>1988</v>
      </c>
      <c r="AB196" s="65" t="s">
        <v>341</v>
      </c>
      <c r="AC196" s="65" t="s">
        <v>341</v>
      </c>
      <c r="AD196" s="65" t="s">
        <v>341</v>
      </c>
      <c r="AE196" s="65" t="s">
        <v>341</v>
      </c>
      <c r="AF196" s="65" t="s">
        <v>341</v>
      </c>
      <c r="AG196" s="65" t="s">
        <v>341</v>
      </c>
      <c r="AH196" s="65" t="s">
        <v>341</v>
      </c>
      <c r="AI196" s="65" t="s">
        <v>341</v>
      </c>
      <c r="AJ196" s="65" t="s">
        <v>341</v>
      </c>
      <c r="AK196" s="65" t="s">
        <v>341</v>
      </c>
      <c r="AL196" s="65" t="s">
        <v>341</v>
      </c>
      <c r="AM196" s="65" t="s">
        <v>341</v>
      </c>
      <c r="AN196" s="65" t="s">
        <v>341</v>
      </c>
      <c r="AO196" s="65" t="s">
        <v>341</v>
      </c>
      <c r="AP196" s="65" t="s">
        <v>341</v>
      </c>
      <c r="AQ196" s="65" t="s">
        <v>341</v>
      </c>
      <c r="AR196" s="65" t="s">
        <v>341</v>
      </c>
      <c r="AS196" s="65" t="s">
        <v>341</v>
      </c>
      <c r="AT196" s="65" t="s">
        <v>341</v>
      </c>
      <c r="AU196" s="65" t="s">
        <v>341</v>
      </c>
      <c r="AV196" s="65" t="s">
        <v>341</v>
      </c>
      <c r="AW196" s="65" t="s">
        <v>341</v>
      </c>
      <c r="AX196" s="65" t="s">
        <v>341</v>
      </c>
      <c r="AY196" s="65" t="s">
        <v>341</v>
      </c>
    </row>
    <row r="197" spans="1:51" x14ac:dyDescent="0.2">
      <c r="A197" s="65" t="s">
        <v>1341</v>
      </c>
      <c r="B197" s="65" t="s">
        <v>1039</v>
      </c>
      <c r="C197" s="65" t="s">
        <v>1040</v>
      </c>
      <c r="D197" s="65" t="s">
        <v>1989</v>
      </c>
      <c r="E197" s="65" t="s">
        <v>341</v>
      </c>
      <c r="F197" s="65" t="s">
        <v>341</v>
      </c>
      <c r="G197" s="65" t="s">
        <v>1990</v>
      </c>
      <c r="H197" s="65" t="s">
        <v>341</v>
      </c>
      <c r="I197" s="65" t="s">
        <v>341</v>
      </c>
      <c r="J197" s="65" t="s">
        <v>341</v>
      </c>
      <c r="K197" s="65" t="s">
        <v>341</v>
      </c>
      <c r="L197" s="65" t="s">
        <v>341</v>
      </c>
      <c r="M197" s="65" t="s">
        <v>341</v>
      </c>
      <c r="N197" s="65" t="s">
        <v>341</v>
      </c>
      <c r="O197" s="65" t="s">
        <v>341</v>
      </c>
      <c r="P197" s="65" t="s">
        <v>341</v>
      </c>
      <c r="Q197" s="65" t="s">
        <v>341</v>
      </c>
      <c r="R197" s="65" t="s">
        <v>341</v>
      </c>
      <c r="S197" s="65" t="s">
        <v>341</v>
      </c>
      <c r="T197" s="65" t="s">
        <v>341</v>
      </c>
      <c r="U197" s="65" t="s">
        <v>341</v>
      </c>
      <c r="V197" s="65" t="s">
        <v>341</v>
      </c>
      <c r="W197" s="65" t="s">
        <v>341</v>
      </c>
      <c r="X197" s="65" t="s">
        <v>341</v>
      </c>
      <c r="Y197" s="65" t="s">
        <v>1991</v>
      </c>
      <c r="Z197" s="65" t="s">
        <v>1992</v>
      </c>
      <c r="AA197" s="65" t="s">
        <v>1993</v>
      </c>
      <c r="AB197" s="65" t="s">
        <v>341</v>
      </c>
      <c r="AC197" s="65" t="s">
        <v>341</v>
      </c>
      <c r="AD197" s="65" t="s">
        <v>341</v>
      </c>
      <c r="AE197" s="65" t="s">
        <v>341</v>
      </c>
      <c r="AF197" s="65" t="s">
        <v>341</v>
      </c>
      <c r="AG197" s="65" t="s">
        <v>341</v>
      </c>
      <c r="AH197" s="65" t="s">
        <v>341</v>
      </c>
      <c r="AI197" s="65" t="s">
        <v>341</v>
      </c>
      <c r="AJ197" s="65" t="s">
        <v>341</v>
      </c>
      <c r="AK197" s="65" t="s">
        <v>341</v>
      </c>
      <c r="AL197" s="65" t="s">
        <v>341</v>
      </c>
      <c r="AM197" s="65" t="s">
        <v>341</v>
      </c>
      <c r="AN197" s="65" t="s">
        <v>341</v>
      </c>
      <c r="AO197" s="65" t="s">
        <v>341</v>
      </c>
      <c r="AP197" s="65" t="s">
        <v>341</v>
      </c>
      <c r="AQ197" s="65" t="s">
        <v>341</v>
      </c>
      <c r="AR197" s="65" t="s">
        <v>341</v>
      </c>
      <c r="AS197" s="65" t="s">
        <v>341</v>
      </c>
      <c r="AT197" s="65" t="s">
        <v>341</v>
      </c>
      <c r="AU197" s="65" t="s">
        <v>341</v>
      </c>
      <c r="AV197" s="65" t="s">
        <v>341</v>
      </c>
      <c r="AW197" s="65" t="s">
        <v>341</v>
      </c>
      <c r="AX197" s="65" t="s">
        <v>341</v>
      </c>
      <c r="AY197" s="65" t="s">
        <v>341</v>
      </c>
    </row>
    <row r="198" spans="1:51" x14ac:dyDescent="0.2">
      <c r="A198" s="65" t="s">
        <v>1341</v>
      </c>
      <c r="B198" s="65" t="s">
        <v>1041</v>
      </c>
      <c r="C198" s="65" t="s">
        <v>1042</v>
      </c>
      <c r="D198" s="65" t="s">
        <v>1994</v>
      </c>
      <c r="E198" s="65" t="s">
        <v>341</v>
      </c>
      <c r="F198" s="65" t="s">
        <v>341</v>
      </c>
      <c r="G198" s="65" t="s">
        <v>1990</v>
      </c>
      <c r="H198" s="65" t="s">
        <v>341</v>
      </c>
      <c r="I198" s="65" t="s">
        <v>341</v>
      </c>
      <c r="J198" s="65" t="s">
        <v>341</v>
      </c>
      <c r="K198" s="65" t="s">
        <v>341</v>
      </c>
      <c r="L198" s="65" t="s">
        <v>341</v>
      </c>
      <c r="M198" s="65" t="s">
        <v>341</v>
      </c>
      <c r="N198" s="65" t="s">
        <v>341</v>
      </c>
      <c r="O198" s="65" t="s">
        <v>341</v>
      </c>
      <c r="P198" s="65" t="s">
        <v>341</v>
      </c>
      <c r="Q198" s="65" t="s">
        <v>341</v>
      </c>
      <c r="R198" s="65" t="s">
        <v>341</v>
      </c>
      <c r="S198" s="65" t="s">
        <v>341</v>
      </c>
      <c r="T198" s="65" t="s">
        <v>341</v>
      </c>
      <c r="U198" s="65" t="s">
        <v>341</v>
      </c>
      <c r="V198" s="65" t="s">
        <v>341</v>
      </c>
      <c r="W198" s="65" t="s">
        <v>341</v>
      </c>
      <c r="X198" s="65" t="s">
        <v>341</v>
      </c>
      <c r="Y198" s="65" t="s">
        <v>1042</v>
      </c>
      <c r="Z198" s="65" t="s">
        <v>1620</v>
      </c>
      <c r="AA198" s="65" t="s">
        <v>1995</v>
      </c>
      <c r="AB198" s="65" t="s">
        <v>341</v>
      </c>
      <c r="AC198" s="65" t="s">
        <v>341</v>
      </c>
      <c r="AD198" s="65" t="s">
        <v>341</v>
      </c>
      <c r="AE198" s="65" t="s">
        <v>341</v>
      </c>
      <c r="AF198" s="65" t="s">
        <v>341</v>
      </c>
      <c r="AG198" s="65" t="s">
        <v>341</v>
      </c>
      <c r="AH198" s="65" t="s">
        <v>341</v>
      </c>
      <c r="AI198" s="65" t="s">
        <v>341</v>
      </c>
      <c r="AJ198" s="65" t="s">
        <v>341</v>
      </c>
      <c r="AK198" s="65" t="s">
        <v>341</v>
      </c>
      <c r="AL198" s="65" t="s">
        <v>341</v>
      </c>
      <c r="AM198" s="65" t="s">
        <v>341</v>
      </c>
      <c r="AN198" s="65" t="s">
        <v>341</v>
      </c>
      <c r="AO198" s="65" t="s">
        <v>341</v>
      </c>
      <c r="AP198" s="65" t="s">
        <v>341</v>
      </c>
      <c r="AQ198" s="65" t="s">
        <v>341</v>
      </c>
      <c r="AR198" s="65" t="s">
        <v>341</v>
      </c>
      <c r="AS198" s="65" t="s">
        <v>341</v>
      </c>
      <c r="AT198" s="65" t="s">
        <v>341</v>
      </c>
      <c r="AU198" s="65" t="s">
        <v>341</v>
      </c>
      <c r="AV198" s="65" t="s">
        <v>341</v>
      </c>
      <c r="AW198" s="65" t="s">
        <v>341</v>
      </c>
      <c r="AX198" s="65" t="s">
        <v>341</v>
      </c>
      <c r="AY198" s="65" t="s">
        <v>341</v>
      </c>
    </row>
    <row r="199" spans="1:51" x14ac:dyDescent="0.2">
      <c r="A199" s="65" t="s">
        <v>1341</v>
      </c>
      <c r="B199" s="65" t="s">
        <v>1043</v>
      </c>
      <c r="C199" s="65" t="s">
        <v>1044</v>
      </c>
      <c r="D199" s="65" t="s">
        <v>1996</v>
      </c>
      <c r="E199" s="65" t="s">
        <v>341</v>
      </c>
      <c r="F199" s="65" t="s">
        <v>341</v>
      </c>
      <c r="G199" s="65" t="s">
        <v>1990</v>
      </c>
      <c r="H199" s="65" t="s">
        <v>341</v>
      </c>
      <c r="I199" s="65" t="s">
        <v>341</v>
      </c>
      <c r="J199" s="65" t="s">
        <v>341</v>
      </c>
      <c r="K199" s="65" t="s">
        <v>341</v>
      </c>
      <c r="L199" s="65" t="s">
        <v>341</v>
      </c>
      <c r="M199" s="65" t="s">
        <v>341</v>
      </c>
      <c r="N199" s="65" t="s">
        <v>341</v>
      </c>
      <c r="O199" s="65" t="s">
        <v>341</v>
      </c>
      <c r="P199" s="65" t="s">
        <v>341</v>
      </c>
      <c r="Q199" s="65" t="s">
        <v>341</v>
      </c>
      <c r="R199" s="65" t="s">
        <v>341</v>
      </c>
      <c r="S199" s="65" t="s">
        <v>341</v>
      </c>
      <c r="T199" s="65" t="s">
        <v>341</v>
      </c>
      <c r="U199" s="65" t="s">
        <v>341</v>
      </c>
      <c r="V199" s="65" t="s">
        <v>341</v>
      </c>
      <c r="W199" s="65" t="s">
        <v>341</v>
      </c>
      <c r="X199" s="65" t="s">
        <v>341</v>
      </c>
      <c r="Y199" s="65" t="s">
        <v>1044</v>
      </c>
      <c r="Z199" s="65" t="s">
        <v>1620</v>
      </c>
      <c r="AA199" s="65" t="s">
        <v>1997</v>
      </c>
      <c r="AB199" s="65" t="s">
        <v>341</v>
      </c>
      <c r="AC199" s="65" t="s">
        <v>341</v>
      </c>
      <c r="AD199" s="65" t="s">
        <v>341</v>
      </c>
      <c r="AE199" s="65" t="s">
        <v>341</v>
      </c>
      <c r="AF199" s="65" t="s">
        <v>341</v>
      </c>
      <c r="AG199" s="65" t="s">
        <v>341</v>
      </c>
      <c r="AH199" s="65" t="s">
        <v>341</v>
      </c>
      <c r="AI199" s="65" t="s">
        <v>341</v>
      </c>
      <c r="AJ199" s="65" t="s">
        <v>341</v>
      </c>
      <c r="AK199" s="65" t="s">
        <v>341</v>
      </c>
      <c r="AL199" s="65" t="s">
        <v>341</v>
      </c>
      <c r="AM199" s="65" t="s">
        <v>341</v>
      </c>
      <c r="AN199" s="65" t="s">
        <v>341</v>
      </c>
      <c r="AO199" s="65" t="s">
        <v>341</v>
      </c>
      <c r="AP199" s="65" t="s">
        <v>341</v>
      </c>
      <c r="AQ199" s="65" t="s">
        <v>341</v>
      </c>
      <c r="AR199" s="65" t="s">
        <v>341</v>
      </c>
      <c r="AS199" s="65" t="s">
        <v>341</v>
      </c>
      <c r="AT199" s="65" t="s">
        <v>341</v>
      </c>
      <c r="AU199" s="65" t="s">
        <v>341</v>
      </c>
      <c r="AV199" s="65" t="s">
        <v>341</v>
      </c>
      <c r="AW199" s="65" t="s">
        <v>341</v>
      </c>
      <c r="AX199" s="65" t="s">
        <v>341</v>
      </c>
      <c r="AY199" s="65" t="s">
        <v>341</v>
      </c>
    </row>
    <row r="200" spans="1:51" x14ac:dyDescent="0.2">
      <c r="A200" s="65" t="s">
        <v>1341</v>
      </c>
      <c r="B200" s="65" t="s">
        <v>1045</v>
      </c>
      <c r="C200" s="65" t="s">
        <v>1046</v>
      </c>
      <c r="D200" s="65" t="s">
        <v>1998</v>
      </c>
      <c r="E200" s="65" t="s">
        <v>341</v>
      </c>
      <c r="F200" s="65" t="s">
        <v>341</v>
      </c>
      <c r="G200" s="65" t="s">
        <v>1990</v>
      </c>
      <c r="H200" s="65" t="s">
        <v>341</v>
      </c>
      <c r="I200" s="65" t="s">
        <v>341</v>
      </c>
      <c r="J200" s="65" t="s">
        <v>341</v>
      </c>
      <c r="K200" s="65" t="s">
        <v>341</v>
      </c>
      <c r="L200" s="65" t="s">
        <v>341</v>
      </c>
      <c r="M200" s="65" t="s">
        <v>341</v>
      </c>
      <c r="N200" s="65" t="s">
        <v>341</v>
      </c>
      <c r="O200" s="65" t="s">
        <v>341</v>
      </c>
      <c r="P200" s="65" t="s">
        <v>341</v>
      </c>
      <c r="Q200" s="65" t="s">
        <v>341</v>
      </c>
      <c r="R200" s="65" t="s">
        <v>341</v>
      </c>
      <c r="S200" s="65" t="s">
        <v>341</v>
      </c>
      <c r="T200" s="65" t="s">
        <v>341</v>
      </c>
      <c r="U200" s="65" t="s">
        <v>341</v>
      </c>
      <c r="V200" s="65" t="s">
        <v>341</v>
      </c>
      <c r="W200" s="65" t="s">
        <v>341</v>
      </c>
      <c r="X200" s="65" t="s">
        <v>341</v>
      </c>
      <c r="Y200" s="65" t="s">
        <v>1999</v>
      </c>
      <c r="Z200" s="65" t="s">
        <v>1620</v>
      </c>
      <c r="AA200" s="65" t="s">
        <v>2000</v>
      </c>
      <c r="AB200" s="65" t="s">
        <v>341</v>
      </c>
      <c r="AC200" s="65" t="s">
        <v>341</v>
      </c>
      <c r="AD200" s="65" t="s">
        <v>341</v>
      </c>
      <c r="AE200" s="65" t="s">
        <v>341</v>
      </c>
      <c r="AF200" s="65" t="s">
        <v>341</v>
      </c>
      <c r="AG200" s="65" t="s">
        <v>341</v>
      </c>
      <c r="AH200" s="65" t="s">
        <v>341</v>
      </c>
      <c r="AI200" s="65" t="s">
        <v>341</v>
      </c>
      <c r="AJ200" s="65" t="s">
        <v>341</v>
      </c>
      <c r="AK200" s="65" t="s">
        <v>341</v>
      </c>
      <c r="AL200" s="65" t="s">
        <v>341</v>
      </c>
      <c r="AM200" s="65" t="s">
        <v>341</v>
      </c>
      <c r="AN200" s="65" t="s">
        <v>341</v>
      </c>
      <c r="AO200" s="65" t="s">
        <v>341</v>
      </c>
      <c r="AP200" s="65" t="s">
        <v>341</v>
      </c>
      <c r="AQ200" s="65" t="s">
        <v>341</v>
      </c>
      <c r="AR200" s="65" t="s">
        <v>341</v>
      </c>
      <c r="AS200" s="65" t="s">
        <v>341</v>
      </c>
      <c r="AT200" s="65" t="s">
        <v>341</v>
      </c>
      <c r="AU200" s="65" t="s">
        <v>341</v>
      </c>
      <c r="AV200" s="65" t="s">
        <v>341</v>
      </c>
      <c r="AW200" s="65" t="s">
        <v>341</v>
      </c>
      <c r="AX200" s="65" t="s">
        <v>341</v>
      </c>
      <c r="AY200" s="65" t="s">
        <v>341</v>
      </c>
    </row>
    <row r="201" spans="1:51" x14ac:dyDescent="0.2">
      <c r="A201" s="65" t="s">
        <v>1341</v>
      </c>
      <c r="B201" s="65" t="s">
        <v>1047</v>
      </c>
      <c r="C201" s="65" t="s">
        <v>1048</v>
      </c>
      <c r="D201" s="65" t="s">
        <v>2001</v>
      </c>
      <c r="E201" s="65" t="s">
        <v>341</v>
      </c>
      <c r="F201" s="65" t="s">
        <v>341</v>
      </c>
      <c r="G201" s="65" t="s">
        <v>1990</v>
      </c>
      <c r="H201" s="65" t="s">
        <v>341</v>
      </c>
      <c r="I201" s="65" t="s">
        <v>341</v>
      </c>
      <c r="J201" s="65" t="s">
        <v>341</v>
      </c>
      <c r="K201" s="65" t="s">
        <v>341</v>
      </c>
      <c r="L201" s="65" t="s">
        <v>341</v>
      </c>
      <c r="M201" s="65" t="s">
        <v>341</v>
      </c>
      <c r="N201" s="65" t="s">
        <v>341</v>
      </c>
      <c r="O201" s="65" t="s">
        <v>341</v>
      </c>
      <c r="P201" s="65" t="s">
        <v>341</v>
      </c>
      <c r="Q201" s="65" t="s">
        <v>341</v>
      </c>
      <c r="R201" s="65" t="s">
        <v>341</v>
      </c>
      <c r="S201" s="65" t="s">
        <v>341</v>
      </c>
      <c r="T201" s="65" t="s">
        <v>341</v>
      </c>
      <c r="U201" s="65" t="s">
        <v>341</v>
      </c>
      <c r="V201" s="65" t="s">
        <v>341</v>
      </c>
      <c r="W201" s="65" t="s">
        <v>341</v>
      </c>
      <c r="X201" s="65" t="s">
        <v>341</v>
      </c>
      <c r="Y201" s="65" t="s">
        <v>1048</v>
      </c>
      <c r="Z201" s="65" t="s">
        <v>1823</v>
      </c>
      <c r="AA201" s="65" t="s">
        <v>2002</v>
      </c>
      <c r="AB201" s="65" t="s">
        <v>341</v>
      </c>
      <c r="AC201" s="65" t="s">
        <v>341</v>
      </c>
      <c r="AD201" s="65" t="s">
        <v>341</v>
      </c>
      <c r="AE201" s="65" t="s">
        <v>341</v>
      </c>
      <c r="AF201" s="65" t="s">
        <v>341</v>
      </c>
      <c r="AG201" s="65" t="s">
        <v>341</v>
      </c>
      <c r="AH201" s="65" t="s">
        <v>341</v>
      </c>
      <c r="AI201" s="65" t="s">
        <v>341</v>
      </c>
      <c r="AJ201" s="65" t="s">
        <v>341</v>
      </c>
      <c r="AK201" s="65" t="s">
        <v>341</v>
      </c>
      <c r="AL201" s="65" t="s">
        <v>341</v>
      </c>
      <c r="AM201" s="65" t="s">
        <v>341</v>
      </c>
      <c r="AN201" s="65" t="s">
        <v>341</v>
      </c>
      <c r="AO201" s="65" t="s">
        <v>341</v>
      </c>
      <c r="AP201" s="65" t="s">
        <v>341</v>
      </c>
      <c r="AQ201" s="65" t="s">
        <v>341</v>
      </c>
      <c r="AR201" s="65" t="s">
        <v>341</v>
      </c>
      <c r="AS201" s="65" t="s">
        <v>341</v>
      </c>
      <c r="AT201" s="65" t="s">
        <v>341</v>
      </c>
      <c r="AU201" s="65" t="s">
        <v>341</v>
      </c>
      <c r="AV201" s="65" t="s">
        <v>341</v>
      </c>
      <c r="AW201" s="65" t="s">
        <v>341</v>
      </c>
      <c r="AX201" s="65" t="s">
        <v>341</v>
      </c>
      <c r="AY201" s="65" t="s">
        <v>341</v>
      </c>
    </row>
    <row r="202" spans="1:51" x14ac:dyDescent="0.2">
      <c r="A202" s="65" t="s">
        <v>1341</v>
      </c>
      <c r="B202" s="65" t="s">
        <v>1049</v>
      </c>
      <c r="C202" s="65" t="s">
        <v>1050</v>
      </c>
      <c r="D202" s="65" t="s">
        <v>2003</v>
      </c>
      <c r="E202" s="65" t="s">
        <v>341</v>
      </c>
      <c r="F202" s="65" t="s">
        <v>1820</v>
      </c>
      <c r="G202" s="65" t="s">
        <v>1821</v>
      </c>
      <c r="H202" s="65" t="s">
        <v>341</v>
      </c>
      <c r="I202" s="65" t="s">
        <v>341</v>
      </c>
      <c r="J202" s="65" t="s">
        <v>341</v>
      </c>
      <c r="K202" s="65" t="s">
        <v>341</v>
      </c>
      <c r="L202" s="65" t="s">
        <v>341</v>
      </c>
      <c r="M202" s="65" t="s">
        <v>341</v>
      </c>
      <c r="N202" s="65" t="s">
        <v>341</v>
      </c>
      <c r="O202" s="65" t="s">
        <v>341</v>
      </c>
      <c r="P202" s="65" t="s">
        <v>341</v>
      </c>
      <c r="Q202" s="65" t="s">
        <v>341</v>
      </c>
      <c r="R202" s="65" t="s">
        <v>341</v>
      </c>
      <c r="S202" s="65" t="s">
        <v>341</v>
      </c>
      <c r="T202" s="65" t="s">
        <v>341</v>
      </c>
      <c r="U202" s="65" t="s">
        <v>341</v>
      </c>
      <c r="V202" s="65" t="s">
        <v>341</v>
      </c>
      <c r="W202" s="65" t="s">
        <v>341</v>
      </c>
      <c r="X202" s="65" t="s">
        <v>341</v>
      </c>
      <c r="Y202" s="65" t="s">
        <v>2004</v>
      </c>
      <c r="Z202" s="65" t="s">
        <v>1823</v>
      </c>
      <c r="AA202" s="65" t="s">
        <v>2005</v>
      </c>
      <c r="AB202" s="65" t="s">
        <v>341</v>
      </c>
      <c r="AC202" s="65" t="s">
        <v>341</v>
      </c>
      <c r="AD202" s="65" t="s">
        <v>341</v>
      </c>
      <c r="AE202" s="65" t="s">
        <v>341</v>
      </c>
      <c r="AF202" s="65" t="s">
        <v>341</v>
      </c>
      <c r="AG202" s="65" t="s">
        <v>341</v>
      </c>
      <c r="AH202" s="65" t="s">
        <v>341</v>
      </c>
      <c r="AI202" s="65" t="s">
        <v>341</v>
      </c>
      <c r="AJ202" s="65" t="s">
        <v>341</v>
      </c>
      <c r="AK202" s="65" t="s">
        <v>341</v>
      </c>
      <c r="AL202" s="65" t="s">
        <v>341</v>
      </c>
      <c r="AM202" s="65" t="s">
        <v>341</v>
      </c>
      <c r="AN202" s="65" t="s">
        <v>341</v>
      </c>
      <c r="AO202" s="65" t="s">
        <v>341</v>
      </c>
      <c r="AP202" s="65" t="s">
        <v>341</v>
      </c>
      <c r="AQ202" s="65" t="s">
        <v>341</v>
      </c>
      <c r="AR202" s="65" t="s">
        <v>341</v>
      </c>
      <c r="AS202" s="65" t="s">
        <v>341</v>
      </c>
      <c r="AT202" s="65" t="s">
        <v>341</v>
      </c>
      <c r="AU202" s="65" t="s">
        <v>341</v>
      </c>
      <c r="AV202" s="65" t="s">
        <v>341</v>
      </c>
      <c r="AW202" s="65" t="s">
        <v>341</v>
      </c>
      <c r="AX202" s="65" t="s">
        <v>341</v>
      </c>
      <c r="AY202" s="65" t="s">
        <v>341</v>
      </c>
    </row>
    <row r="203" spans="1:51" x14ac:dyDescent="0.2">
      <c r="A203" s="65" t="s">
        <v>1341</v>
      </c>
      <c r="B203" s="65" t="s">
        <v>1051</v>
      </c>
      <c r="C203" s="65" t="s">
        <v>1052</v>
      </c>
      <c r="D203" s="65" t="s">
        <v>2006</v>
      </c>
      <c r="E203" s="65" t="s">
        <v>341</v>
      </c>
      <c r="F203" s="65" t="s">
        <v>341</v>
      </c>
      <c r="G203" s="65" t="s">
        <v>1990</v>
      </c>
      <c r="H203" s="65" t="s">
        <v>341</v>
      </c>
      <c r="I203" s="65" t="s">
        <v>341</v>
      </c>
      <c r="J203" s="65" t="s">
        <v>341</v>
      </c>
      <c r="K203" s="65" t="s">
        <v>341</v>
      </c>
      <c r="L203" s="65" t="s">
        <v>341</v>
      </c>
      <c r="M203" s="65" t="s">
        <v>341</v>
      </c>
      <c r="N203" s="65" t="s">
        <v>341</v>
      </c>
      <c r="O203" s="65" t="s">
        <v>341</v>
      </c>
      <c r="P203" s="65" t="s">
        <v>341</v>
      </c>
      <c r="Q203" s="65" t="s">
        <v>341</v>
      </c>
      <c r="R203" s="65" t="s">
        <v>341</v>
      </c>
      <c r="S203" s="65" t="s">
        <v>341</v>
      </c>
      <c r="T203" s="65" t="s">
        <v>341</v>
      </c>
      <c r="U203" s="65" t="s">
        <v>341</v>
      </c>
      <c r="V203" s="65" t="s">
        <v>341</v>
      </c>
      <c r="W203" s="65" t="s">
        <v>341</v>
      </c>
      <c r="X203" s="65" t="s">
        <v>341</v>
      </c>
      <c r="Y203" s="65" t="s">
        <v>1052</v>
      </c>
      <c r="Z203" s="65" t="s">
        <v>1992</v>
      </c>
      <c r="AA203" s="65" t="s">
        <v>2007</v>
      </c>
      <c r="AB203" s="65" t="s">
        <v>341</v>
      </c>
      <c r="AC203" s="65" t="s">
        <v>341</v>
      </c>
      <c r="AD203" s="65" t="s">
        <v>341</v>
      </c>
      <c r="AE203" s="65" t="s">
        <v>341</v>
      </c>
      <c r="AF203" s="65" t="s">
        <v>341</v>
      </c>
      <c r="AG203" s="65" t="s">
        <v>341</v>
      </c>
      <c r="AH203" s="65" t="s">
        <v>341</v>
      </c>
      <c r="AI203" s="65" t="s">
        <v>341</v>
      </c>
      <c r="AJ203" s="65" t="s">
        <v>341</v>
      </c>
      <c r="AK203" s="65" t="s">
        <v>341</v>
      </c>
      <c r="AL203" s="65" t="s">
        <v>341</v>
      </c>
      <c r="AM203" s="65" t="s">
        <v>341</v>
      </c>
      <c r="AN203" s="65" t="s">
        <v>341</v>
      </c>
      <c r="AO203" s="65" t="s">
        <v>341</v>
      </c>
      <c r="AP203" s="65" t="s">
        <v>341</v>
      </c>
      <c r="AQ203" s="65" t="s">
        <v>341</v>
      </c>
      <c r="AR203" s="65" t="s">
        <v>341</v>
      </c>
      <c r="AS203" s="65" t="s">
        <v>341</v>
      </c>
      <c r="AT203" s="65" t="s">
        <v>341</v>
      </c>
      <c r="AU203" s="65" t="s">
        <v>341</v>
      </c>
      <c r="AV203" s="65" t="s">
        <v>341</v>
      </c>
      <c r="AW203" s="65" t="s">
        <v>341</v>
      </c>
      <c r="AX203" s="65" t="s">
        <v>341</v>
      </c>
      <c r="AY203" s="65" t="s">
        <v>341</v>
      </c>
    </row>
    <row r="204" spans="1:51" x14ac:dyDescent="0.2">
      <c r="A204" s="65" t="s">
        <v>1341</v>
      </c>
      <c r="B204" s="65" t="s">
        <v>1053</v>
      </c>
      <c r="C204" s="65" t="s">
        <v>1054</v>
      </c>
      <c r="D204" s="65" t="s">
        <v>2008</v>
      </c>
      <c r="E204" s="65" t="s">
        <v>341</v>
      </c>
      <c r="F204" s="65" t="s">
        <v>341</v>
      </c>
      <c r="G204" s="65" t="s">
        <v>1990</v>
      </c>
      <c r="H204" s="65" t="s">
        <v>341</v>
      </c>
      <c r="I204" s="65" t="s">
        <v>341</v>
      </c>
      <c r="J204" s="65" t="s">
        <v>341</v>
      </c>
      <c r="K204" s="65" t="s">
        <v>341</v>
      </c>
      <c r="L204" s="65" t="s">
        <v>341</v>
      </c>
      <c r="M204" s="65" t="s">
        <v>341</v>
      </c>
      <c r="N204" s="65" t="s">
        <v>341</v>
      </c>
      <c r="O204" s="65" t="s">
        <v>341</v>
      </c>
      <c r="P204" s="65" t="s">
        <v>341</v>
      </c>
      <c r="Q204" s="65" t="s">
        <v>341</v>
      </c>
      <c r="R204" s="65" t="s">
        <v>341</v>
      </c>
      <c r="S204" s="65" t="s">
        <v>341</v>
      </c>
      <c r="T204" s="65" t="s">
        <v>341</v>
      </c>
      <c r="U204" s="65" t="s">
        <v>341</v>
      </c>
      <c r="V204" s="65" t="s">
        <v>341</v>
      </c>
      <c r="W204" s="65" t="s">
        <v>341</v>
      </c>
      <c r="X204" s="65" t="s">
        <v>341</v>
      </c>
      <c r="Y204" s="65" t="s">
        <v>1999</v>
      </c>
      <c r="Z204" s="65" t="s">
        <v>1620</v>
      </c>
      <c r="AA204" s="65" t="s">
        <v>2009</v>
      </c>
      <c r="AB204" s="65" t="s">
        <v>341</v>
      </c>
      <c r="AC204" s="65" t="s">
        <v>341</v>
      </c>
      <c r="AD204" s="65" t="s">
        <v>341</v>
      </c>
      <c r="AE204" s="65" t="s">
        <v>341</v>
      </c>
      <c r="AF204" s="65" t="s">
        <v>341</v>
      </c>
      <c r="AG204" s="65" t="s">
        <v>341</v>
      </c>
      <c r="AH204" s="65" t="s">
        <v>341</v>
      </c>
      <c r="AI204" s="65" t="s">
        <v>341</v>
      </c>
      <c r="AJ204" s="65" t="s">
        <v>341</v>
      </c>
      <c r="AK204" s="65" t="s">
        <v>341</v>
      </c>
      <c r="AL204" s="65" t="s">
        <v>341</v>
      </c>
      <c r="AM204" s="65" t="s">
        <v>341</v>
      </c>
      <c r="AN204" s="65" t="s">
        <v>341</v>
      </c>
      <c r="AO204" s="65" t="s">
        <v>341</v>
      </c>
      <c r="AP204" s="65" t="s">
        <v>341</v>
      </c>
      <c r="AQ204" s="65" t="s">
        <v>341</v>
      </c>
      <c r="AR204" s="65" t="s">
        <v>341</v>
      </c>
      <c r="AS204" s="65" t="s">
        <v>341</v>
      </c>
      <c r="AT204" s="65" t="s">
        <v>341</v>
      </c>
      <c r="AU204" s="65" t="s">
        <v>341</v>
      </c>
      <c r="AV204" s="65" t="s">
        <v>341</v>
      </c>
      <c r="AW204" s="65" t="s">
        <v>341</v>
      </c>
      <c r="AX204" s="65" t="s">
        <v>341</v>
      </c>
      <c r="AY204" s="65" t="s">
        <v>341</v>
      </c>
    </row>
    <row r="205" spans="1:51" x14ac:dyDescent="0.2">
      <c r="A205" s="65" t="s">
        <v>1341</v>
      </c>
      <c r="B205" s="65" t="s">
        <v>1055</v>
      </c>
      <c r="C205" s="65" t="s">
        <v>1056</v>
      </c>
      <c r="D205" s="65" t="s">
        <v>2010</v>
      </c>
      <c r="E205" s="65" t="s">
        <v>341</v>
      </c>
      <c r="F205" s="65" t="s">
        <v>341</v>
      </c>
      <c r="G205" s="65" t="s">
        <v>1990</v>
      </c>
      <c r="H205" s="65" t="s">
        <v>341</v>
      </c>
      <c r="I205" s="65" t="s">
        <v>341</v>
      </c>
      <c r="J205" s="65" t="s">
        <v>341</v>
      </c>
      <c r="K205" s="65" t="s">
        <v>341</v>
      </c>
      <c r="L205" s="65" t="s">
        <v>341</v>
      </c>
      <c r="M205" s="65" t="s">
        <v>341</v>
      </c>
      <c r="N205" s="65" t="s">
        <v>341</v>
      </c>
      <c r="O205" s="65" t="s">
        <v>341</v>
      </c>
      <c r="P205" s="65" t="s">
        <v>341</v>
      </c>
      <c r="Q205" s="65" t="s">
        <v>341</v>
      </c>
      <c r="R205" s="65" t="s">
        <v>341</v>
      </c>
      <c r="S205" s="65" t="s">
        <v>341</v>
      </c>
      <c r="T205" s="65" t="s">
        <v>341</v>
      </c>
      <c r="U205" s="65" t="s">
        <v>341</v>
      </c>
      <c r="V205" s="65" t="s">
        <v>341</v>
      </c>
      <c r="W205" s="65" t="s">
        <v>341</v>
      </c>
      <c r="X205" s="65" t="s">
        <v>341</v>
      </c>
      <c r="Y205" s="65" t="s">
        <v>1056</v>
      </c>
      <c r="Z205" s="65" t="s">
        <v>1992</v>
      </c>
      <c r="AA205" s="65" t="s">
        <v>2011</v>
      </c>
      <c r="AB205" s="65" t="s">
        <v>341</v>
      </c>
      <c r="AC205" s="65" t="s">
        <v>341</v>
      </c>
      <c r="AD205" s="65" t="s">
        <v>341</v>
      </c>
      <c r="AE205" s="65" t="s">
        <v>341</v>
      </c>
      <c r="AF205" s="65" t="s">
        <v>341</v>
      </c>
      <c r="AG205" s="65" t="s">
        <v>341</v>
      </c>
      <c r="AH205" s="65" t="s">
        <v>341</v>
      </c>
      <c r="AI205" s="65" t="s">
        <v>341</v>
      </c>
      <c r="AJ205" s="65" t="s">
        <v>341</v>
      </c>
      <c r="AK205" s="65" t="s">
        <v>341</v>
      </c>
      <c r="AL205" s="65" t="s">
        <v>341</v>
      </c>
      <c r="AM205" s="65" t="s">
        <v>341</v>
      </c>
      <c r="AN205" s="65" t="s">
        <v>341</v>
      </c>
      <c r="AO205" s="65" t="s">
        <v>341</v>
      </c>
      <c r="AP205" s="65" t="s">
        <v>341</v>
      </c>
      <c r="AQ205" s="65" t="s">
        <v>341</v>
      </c>
      <c r="AR205" s="65" t="s">
        <v>341</v>
      </c>
      <c r="AS205" s="65" t="s">
        <v>341</v>
      </c>
      <c r="AT205" s="65" t="s">
        <v>341</v>
      </c>
      <c r="AU205" s="65" t="s">
        <v>341</v>
      </c>
      <c r="AV205" s="65" t="s">
        <v>341</v>
      </c>
      <c r="AW205" s="65" t="s">
        <v>341</v>
      </c>
      <c r="AX205" s="65" t="s">
        <v>341</v>
      </c>
      <c r="AY205" s="65" t="s">
        <v>341</v>
      </c>
    </row>
    <row r="206" spans="1:51" x14ac:dyDescent="0.2">
      <c r="A206" s="65" t="s">
        <v>1341</v>
      </c>
      <c r="B206" s="65" t="s">
        <v>1057</v>
      </c>
      <c r="C206" s="65" t="s">
        <v>1058</v>
      </c>
      <c r="D206" s="65" t="s">
        <v>2012</v>
      </c>
      <c r="E206" s="65" t="s">
        <v>341</v>
      </c>
      <c r="F206" s="65" t="s">
        <v>341</v>
      </c>
      <c r="G206" s="65" t="s">
        <v>1990</v>
      </c>
      <c r="H206" s="65" t="s">
        <v>341</v>
      </c>
      <c r="I206" s="65" t="s">
        <v>341</v>
      </c>
      <c r="J206" s="65" t="s">
        <v>341</v>
      </c>
      <c r="K206" s="65" t="s">
        <v>341</v>
      </c>
      <c r="L206" s="65" t="s">
        <v>341</v>
      </c>
      <c r="M206" s="65" t="s">
        <v>341</v>
      </c>
      <c r="N206" s="65" t="s">
        <v>341</v>
      </c>
      <c r="O206" s="65" t="s">
        <v>341</v>
      </c>
      <c r="P206" s="65" t="s">
        <v>341</v>
      </c>
      <c r="Q206" s="65" t="s">
        <v>341</v>
      </c>
      <c r="R206" s="65" t="s">
        <v>341</v>
      </c>
      <c r="S206" s="65" t="s">
        <v>341</v>
      </c>
      <c r="T206" s="65" t="s">
        <v>341</v>
      </c>
      <c r="U206" s="65" t="s">
        <v>341</v>
      </c>
      <c r="V206" s="65" t="s">
        <v>341</v>
      </c>
      <c r="W206" s="65" t="s">
        <v>341</v>
      </c>
      <c r="X206" s="65" t="s">
        <v>341</v>
      </c>
      <c r="Y206" s="65" t="s">
        <v>2013</v>
      </c>
      <c r="Z206" s="65" t="s">
        <v>1992</v>
      </c>
      <c r="AA206" s="65" t="s">
        <v>2014</v>
      </c>
      <c r="AB206" s="65" t="s">
        <v>341</v>
      </c>
      <c r="AC206" s="65" t="s">
        <v>341</v>
      </c>
      <c r="AD206" s="65" t="s">
        <v>341</v>
      </c>
      <c r="AE206" s="65" t="s">
        <v>341</v>
      </c>
      <c r="AF206" s="65" t="s">
        <v>341</v>
      </c>
      <c r="AG206" s="65" t="s">
        <v>341</v>
      </c>
      <c r="AH206" s="65" t="s">
        <v>341</v>
      </c>
      <c r="AI206" s="65" t="s">
        <v>341</v>
      </c>
      <c r="AJ206" s="65" t="s">
        <v>341</v>
      </c>
      <c r="AK206" s="65" t="s">
        <v>341</v>
      </c>
      <c r="AL206" s="65" t="s">
        <v>341</v>
      </c>
      <c r="AM206" s="65" t="s">
        <v>341</v>
      </c>
      <c r="AN206" s="65" t="s">
        <v>341</v>
      </c>
      <c r="AO206" s="65" t="s">
        <v>341</v>
      </c>
      <c r="AP206" s="65" t="s">
        <v>341</v>
      </c>
      <c r="AQ206" s="65" t="s">
        <v>341</v>
      </c>
      <c r="AR206" s="65" t="s">
        <v>341</v>
      </c>
      <c r="AS206" s="65" t="s">
        <v>341</v>
      </c>
      <c r="AT206" s="65" t="s">
        <v>341</v>
      </c>
      <c r="AU206" s="65" t="s">
        <v>341</v>
      </c>
      <c r="AV206" s="65" t="s">
        <v>341</v>
      </c>
      <c r="AW206" s="65" t="s">
        <v>341</v>
      </c>
      <c r="AX206" s="65" t="s">
        <v>341</v>
      </c>
      <c r="AY206" s="65" t="s">
        <v>341</v>
      </c>
    </row>
    <row r="207" spans="1:51" x14ac:dyDescent="0.2">
      <c r="A207" s="65" t="s">
        <v>1341</v>
      </c>
      <c r="B207" s="65" t="s">
        <v>1059</v>
      </c>
      <c r="C207" s="65" t="s">
        <v>1060</v>
      </c>
      <c r="D207" s="65" t="s">
        <v>2015</v>
      </c>
      <c r="E207" s="65" t="s">
        <v>341</v>
      </c>
      <c r="F207" s="65" t="s">
        <v>341</v>
      </c>
      <c r="G207" s="65" t="s">
        <v>1990</v>
      </c>
      <c r="H207" s="65" t="s">
        <v>341</v>
      </c>
      <c r="I207" s="65" t="s">
        <v>341</v>
      </c>
      <c r="J207" s="65" t="s">
        <v>341</v>
      </c>
      <c r="K207" s="65" t="s">
        <v>341</v>
      </c>
      <c r="L207" s="65" t="s">
        <v>341</v>
      </c>
      <c r="M207" s="65" t="s">
        <v>341</v>
      </c>
      <c r="N207" s="65" t="s">
        <v>341</v>
      </c>
      <c r="O207" s="65" t="s">
        <v>341</v>
      </c>
      <c r="P207" s="65" t="s">
        <v>341</v>
      </c>
      <c r="Q207" s="65" t="s">
        <v>341</v>
      </c>
      <c r="R207" s="65" t="s">
        <v>341</v>
      </c>
      <c r="S207" s="65" t="s">
        <v>341</v>
      </c>
      <c r="T207" s="65" t="s">
        <v>341</v>
      </c>
      <c r="U207" s="65" t="s">
        <v>341</v>
      </c>
      <c r="V207" s="65" t="s">
        <v>341</v>
      </c>
      <c r="W207" s="65" t="s">
        <v>341</v>
      </c>
      <c r="X207" s="65" t="s">
        <v>341</v>
      </c>
      <c r="Y207" s="65" t="s">
        <v>2016</v>
      </c>
      <c r="Z207" s="65" t="s">
        <v>1992</v>
      </c>
      <c r="AA207" s="65" t="s">
        <v>2017</v>
      </c>
      <c r="AB207" s="65" t="s">
        <v>341</v>
      </c>
      <c r="AC207" s="65" t="s">
        <v>341</v>
      </c>
      <c r="AD207" s="65" t="s">
        <v>341</v>
      </c>
      <c r="AE207" s="65" t="s">
        <v>341</v>
      </c>
      <c r="AF207" s="65" t="s">
        <v>341</v>
      </c>
      <c r="AG207" s="65" t="s">
        <v>341</v>
      </c>
      <c r="AH207" s="65" t="s">
        <v>341</v>
      </c>
      <c r="AI207" s="65" t="s">
        <v>341</v>
      </c>
      <c r="AJ207" s="65" t="s">
        <v>341</v>
      </c>
      <c r="AK207" s="65" t="s">
        <v>341</v>
      </c>
      <c r="AL207" s="65" t="s">
        <v>341</v>
      </c>
      <c r="AM207" s="65" t="s">
        <v>341</v>
      </c>
      <c r="AN207" s="65" t="s">
        <v>341</v>
      </c>
      <c r="AO207" s="65" t="s">
        <v>341</v>
      </c>
      <c r="AP207" s="65" t="s">
        <v>341</v>
      </c>
      <c r="AQ207" s="65" t="s">
        <v>341</v>
      </c>
      <c r="AR207" s="65" t="s">
        <v>341</v>
      </c>
      <c r="AS207" s="65" t="s">
        <v>341</v>
      </c>
      <c r="AT207" s="65" t="s">
        <v>341</v>
      </c>
      <c r="AU207" s="65" t="s">
        <v>341</v>
      </c>
      <c r="AV207" s="65" t="s">
        <v>341</v>
      </c>
      <c r="AW207" s="65" t="s">
        <v>341</v>
      </c>
      <c r="AX207" s="65" t="s">
        <v>341</v>
      </c>
      <c r="AY207" s="65" t="s">
        <v>341</v>
      </c>
    </row>
    <row r="208" spans="1:51" x14ac:dyDescent="0.2">
      <c r="A208" s="65" t="s">
        <v>1341</v>
      </c>
      <c r="B208" s="65" t="s">
        <v>1061</v>
      </c>
      <c r="C208" s="65" t="s">
        <v>1062</v>
      </c>
      <c r="D208" s="65" t="s">
        <v>2018</v>
      </c>
      <c r="E208" s="65" t="s">
        <v>341</v>
      </c>
      <c r="F208" s="65" t="s">
        <v>341</v>
      </c>
      <c r="G208" s="65" t="s">
        <v>1990</v>
      </c>
      <c r="H208" s="65" t="s">
        <v>341</v>
      </c>
      <c r="I208" s="65" t="s">
        <v>341</v>
      </c>
      <c r="J208" s="65" t="s">
        <v>341</v>
      </c>
      <c r="K208" s="65" t="s">
        <v>341</v>
      </c>
      <c r="L208" s="65" t="s">
        <v>341</v>
      </c>
      <c r="M208" s="65" t="s">
        <v>341</v>
      </c>
      <c r="N208" s="65" t="s">
        <v>341</v>
      </c>
      <c r="O208" s="65" t="s">
        <v>341</v>
      </c>
      <c r="P208" s="65" t="s">
        <v>341</v>
      </c>
      <c r="Q208" s="65" t="s">
        <v>341</v>
      </c>
      <c r="R208" s="65" t="s">
        <v>341</v>
      </c>
      <c r="S208" s="65" t="s">
        <v>341</v>
      </c>
      <c r="T208" s="65" t="s">
        <v>341</v>
      </c>
      <c r="U208" s="65" t="s">
        <v>341</v>
      </c>
      <c r="V208" s="65" t="s">
        <v>341</v>
      </c>
      <c r="W208" s="65" t="s">
        <v>341</v>
      </c>
      <c r="X208" s="65" t="s">
        <v>341</v>
      </c>
      <c r="Y208" s="65" t="s">
        <v>2019</v>
      </c>
      <c r="Z208" s="65" t="s">
        <v>1992</v>
      </c>
      <c r="AA208" s="65" t="s">
        <v>2020</v>
      </c>
      <c r="AB208" s="65" t="s">
        <v>341</v>
      </c>
      <c r="AC208" s="65" t="s">
        <v>341</v>
      </c>
      <c r="AD208" s="65" t="s">
        <v>341</v>
      </c>
      <c r="AE208" s="65" t="s">
        <v>341</v>
      </c>
      <c r="AF208" s="65" t="s">
        <v>341</v>
      </c>
      <c r="AG208" s="65" t="s">
        <v>341</v>
      </c>
      <c r="AH208" s="65" t="s">
        <v>341</v>
      </c>
      <c r="AI208" s="65" t="s">
        <v>341</v>
      </c>
      <c r="AJ208" s="65" t="s">
        <v>341</v>
      </c>
      <c r="AK208" s="65" t="s">
        <v>341</v>
      </c>
      <c r="AL208" s="65" t="s">
        <v>341</v>
      </c>
      <c r="AM208" s="65" t="s">
        <v>341</v>
      </c>
      <c r="AN208" s="65" t="s">
        <v>341</v>
      </c>
      <c r="AO208" s="65" t="s">
        <v>341</v>
      </c>
      <c r="AP208" s="65" t="s">
        <v>341</v>
      </c>
      <c r="AQ208" s="65" t="s">
        <v>341</v>
      </c>
      <c r="AR208" s="65" t="s">
        <v>341</v>
      </c>
      <c r="AS208" s="65" t="s">
        <v>341</v>
      </c>
      <c r="AT208" s="65" t="s">
        <v>341</v>
      </c>
      <c r="AU208" s="65" t="s">
        <v>341</v>
      </c>
      <c r="AV208" s="65" t="s">
        <v>341</v>
      </c>
      <c r="AW208" s="65" t="s">
        <v>341</v>
      </c>
      <c r="AX208" s="65" t="s">
        <v>341</v>
      </c>
      <c r="AY208" s="65" t="s">
        <v>341</v>
      </c>
    </row>
    <row r="209" spans="1:51" x14ac:dyDescent="0.2">
      <c r="A209" s="65" t="s">
        <v>1341</v>
      </c>
      <c r="B209" s="65" t="s">
        <v>1063</v>
      </c>
      <c r="C209" s="65" t="s">
        <v>1064</v>
      </c>
      <c r="D209" s="65" t="s">
        <v>2021</v>
      </c>
      <c r="E209" s="65" t="s">
        <v>341</v>
      </c>
      <c r="F209" s="65" t="s">
        <v>341</v>
      </c>
      <c r="G209" s="65" t="s">
        <v>1990</v>
      </c>
      <c r="H209" s="65" t="s">
        <v>341</v>
      </c>
      <c r="I209" s="65" t="s">
        <v>341</v>
      </c>
      <c r="J209" s="65" t="s">
        <v>341</v>
      </c>
      <c r="K209" s="65" t="s">
        <v>341</v>
      </c>
      <c r="L209" s="65" t="s">
        <v>341</v>
      </c>
      <c r="M209" s="65" t="s">
        <v>341</v>
      </c>
      <c r="N209" s="65" t="s">
        <v>341</v>
      </c>
      <c r="O209" s="65" t="s">
        <v>341</v>
      </c>
      <c r="P209" s="65" t="s">
        <v>341</v>
      </c>
      <c r="Q209" s="65" t="s">
        <v>341</v>
      </c>
      <c r="R209" s="65" t="s">
        <v>341</v>
      </c>
      <c r="S209" s="65" t="s">
        <v>341</v>
      </c>
      <c r="T209" s="65" t="s">
        <v>341</v>
      </c>
      <c r="U209" s="65" t="s">
        <v>341</v>
      </c>
      <c r="V209" s="65" t="s">
        <v>341</v>
      </c>
      <c r="W209" s="65" t="s">
        <v>341</v>
      </c>
      <c r="X209" s="65" t="s">
        <v>341</v>
      </c>
      <c r="Y209" s="65" t="s">
        <v>1064</v>
      </c>
      <c r="Z209" s="65" t="s">
        <v>1992</v>
      </c>
      <c r="AA209" s="65" t="s">
        <v>2022</v>
      </c>
      <c r="AB209" s="65" t="s">
        <v>341</v>
      </c>
      <c r="AC209" s="65" t="s">
        <v>341</v>
      </c>
      <c r="AD209" s="65" t="s">
        <v>341</v>
      </c>
      <c r="AE209" s="65" t="s">
        <v>341</v>
      </c>
      <c r="AF209" s="65" t="s">
        <v>341</v>
      </c>
      <c r="AG209" s="65" t="s">
        <v>341</v>
      </c>
      <c r="AH209" s="65" t="s">
        <v>341</v>
      </c>
      <c r="AI209" s="65" t="s">
        <v>341</v>
      </c>
      <c r="AJ209" s="65" t="s">
        <v>341</v>
      </c>
      <c r="AK209" s="65" t="s">
        <v>341</v>
      </c>
      <c r="AL209" s="65" t="s">
        <v>341</v>
      </c>
      <c r="AM209" s="65" t="s">
        <v>341</v>
      </c>
      <c r="AN209" s="65" t="s">
        <v>341</v>
      </c>
      <c r="AO209" s="65" t="s">
        <v>341</v>
      </c>
      <c r="AP209" s="65" t="s">
        <v>341</v>
      </c>
      <c r="AQ209" s="65" t="s">
        <v>341</v>
      </c>
      <c r="AR209" s="65" t="s">
        <v>341</v>
      </c>
      <c r="AS209" s="65" t="s">
        <v>341</v>
      </c>
      <c r="AT209" s="65" t="s">
        <v>341</v>
      </c>
      <c r="AU209" s="65" t="s">
        <v>341</v>
      </c>
      <c r="AV209" s="65" t="s">
        <v>341</v>
      </c>
      <c r="AW209" s="65" t="s">
        <v>341</v>
      </c>
      <c r="AX209" s="65" t="s">
        <v>341</v>
      </c>
      <c r="AY209" s="65" t="s">
        <v>341</v>
      </c>
    </row>
    <row r="210" spans="1:51" x14ac:dyDescent="0.2">
      <c r="A210" s="65" t="s">
        <v>1341</v>
      </c>
      <c r="B210" s="65" t="s">
        <v>1065</v>
      </c>
      <c r="C210" s="65" t="s">
        <v>1066</v>
      </c>
      <c r="D210" s="65" t="s">
        <v>2023</v>
      </c>
      <c r="E210" s="65" t="s">
        <v>341</v>
      </c>
      <c r="F210" s="65" t="s">
        <v>341</v>
      </c>
      <c r="G210" s="65" t="s">
        <v>1990</v>
      </c>
      <c r="H210" s="65" t="s">
        <v>341</v>
      </c>
      <c r="I210" s="65" t="s">
        <v>341</v>
      </c>
      <c r="J210" s="65" t="s">
        <v>341</v>
      </c>
      <c r="K210" s="65" t="s">
        <v>341</v>
      </c>
      <c r="L210" s="65" t="s">
        <v>341</v>
      </c>
      <c r="M210" s="65" t="s">
        <v>341</v>
      </c>
      <c r="N210" s="65" t="s">
        <v>341</v>
      </c>
      <c r="O210" s="65" t="s">
        <v>341</v>
      </c>
      <c r="P210" s="65" t="s">
        <v>341</v>
      </c>
      <c r="Q210" s="65" t="s">
        <v>341</v>
      </c>
      <c r="R210" s="65" t="s">
        <v>341</v>
      </c>
      <c r="S210" s="65" t="s">
        <v>341</v>
      </c>
      <c r="T210" s="65" t="s">
        <v>341</v>
      </c>
      <c r="U210" s="65" t="s">
        <v>341</v>
      </c>
      <c r="V210" s="65" t="s">
        <v>341</v>
      </c>
      <c r="W210" s="65" t="s">
        <v>341</v>
      </c>
      <c r="X210" s="65" t="s">
        <v>341</v>
      </c>
      <c r="Y210" s="65" t="s">
        <v>1999</v>
      </c>
      <c r="Z210" s="65" t="s">
        <v>1620</v>
      </c>
      <c r="AA210" s="65" t="s">
        <v>2024</v>
      </c>
      <c r="AB210" s="65" t="s">
        <v>341</v>
      </c>
      <c r="AC210" s="65" t="s">
        <v>341</v>
      </c>
      <c r="AD210" s="65" t="s">
        <v>341</v>
      </c>
      <c r="AE210" s="65" t="s">
        <v>341</v>
      </c>
      <c r="AF210" s="65" t="s">
        <v>341</v>
      </c>
      <c r="AG210" s="65" t="s">
        <v>341</v>
      </c>
      <c r="AH210" s="65" t="s">
        <v>341</v>
      </c>
      <c r="AI210" s="65" t="s">
        <v>341</v>
      </c>
      <c r="AJ210" s="65" t="s">
        <v>341</v>
      </c>
      <c r="AK210" s="65" t="s">
        <v>341</v>
      </c>
      <c r="AL210" s="65" t="s">
        <v>341</v>
      </c>
      <c r="AM210" s="65" t="s">
        <v>341</v>
      </c>
      <c r="AN210" s="65" t="s">
        <v>341</v>
      </c>
      <c r="AO210" s="65" t="s">
        <v>341</v>
      </c>
      <c r="AP210" s="65" t="s">
        <v>341</v>
      </c>
      <c r="AQ210" s="65" t="s">
        <v>341</v>
      </c>
      <c r="AR210" s="65" t="s">
        <v>341</v>
      </c>
      <c r="AS210" s="65" t="s">
        <v>341</v>
      </c>
      <c r="AT210" s="65" t="s">
        <v>341</v>
      </c>
      <c r="AU210" s="65" t="s">
        <v>341</v>
      </c>
      <c r="AV210" s="65" t="s">
        <v>341</v>
      </c>
      <c r="AW210" s="65" t="s">
        <v>341</v>
      </c>
      <c r="AX210" s="65" t="s">
        <v>341</v>
      </c>
      <c r="AY210" s="65" t="s">
        <v>341</v>
      </c>
    </row>
    <row r="211" spans="1:51" x14ac:dyDescent="0.2">
      <c r="A211" s="65" t="s">
        <v>1341</v>
      </c>
      <c r="B211" s="65" t="s">
        <v>1067</v>
      </c>
      <c r="C211" s="65" t="s">
        <v>1068</v>
      </c>
      <c r="D211" s="65" t="s">
        <v>2025</v>
      </c>
      <c r="E211" s="65" t="s">
        <v>341</v>
      </c>
      <c r="F211" s="65" t="s">
        <v>341</v>
      </c>
      <c r="G211" s="65" t="s">
        <v>1990</v>
      </c>
      <c r="H211" s="65" t="s">
        <v>341</v>
      </c>
      <c r="I211" s="65" t="s">
        <v>341</v>
      </c>
      <c r="J211" s="65" t="s">
        <v>341</v>
      </c>
      <c r="K211" s="65" t="s">
        <v>341</v>
      </c>
      <c r="L211" s="65" t="s">
        <v>341</v>
      </c>
      <c r="M211" s="65" t="s">
        <v>341</v>
      </c>
      <c r="N211" s="65" t="s">
        <v>341</v>
      </c>
      <c r="O211" s="65" t="s">
        <v>341</v>
      </c>
      <c r="P211" s="65" t="s">
        <v>341</v>
      </c>
      <c r="Q211" s="65" t="s">
        <v>341</v>
      </c>
      <c r="R211" s="65" t="s">
        <v>341</v>
      </c>
      <c r="S211" s="65" t="s">
        <v>341</v>
      </c>
      <c r="T211" s="65" t="s">
        <v>341</v>
      </c>
      <c r="U211" s="65" t="s">
        <v>341</v>
      </c>
      <c r="V211" s="65" t="s">
        <v>341</v>
      </c>
      <c r="W211" s="65" t="s">
        <v>341</v>
      </c>
      <c r="X211" s="65" t="s">
        <v>341</v>
      </c>
      <c r="Y211" s="65" t="s">
        <v>1359</v>
      </c>
      <c r="Z211" s="65" t="s">
        <v>1620</v>
      </c>
      <c r="AA211" s="65" t="s">
        <v>2026</v>
      </c>
      <c r="AB211" s="65" t="s">
        <v>341</v>
      </c>
      <c r="AC211" s="65" t="s">
        <v>341</v>
      </c>
      <c r="AD211" s="65" t="s">
        <v>341</v>
      </c>
      <c r="AE211" s="65" t="s">
        <v>341</v>
      </c>
      <c r="AF211" s="65" t="s">
        <v>341</v>
      </c>
      <c r="AG211" s="65" t="s">
        <v>341</v>
      </c>
      <c r="AH211" s="65" t="s">
        <v>341</v>
      </c>
      <c r="AI211" s="65" t="s">
        <v>341</v>
      </c>
      <c r="AJ211" s="65" t="s">
        <v>341</v>
      </c>
      <c r="AK211" s="65" t="s">
        <v>341</v>
      </c>
      <c r="AL211" s="65" t="s">
        <v>341</v>
      </c>
      <c r="AM211" s="65" t="s">
        <v>341</v>
      </c>
      <c r="AN211" s="65" t="s">
        <v>341</v>
      </c>
      <c r="AO211" s="65" t="s">
        <v>341</v>
      </c>
      <c r="AP211" s="65" t="s">
        <v>341</v>
      </c>
      <c r="AQ211" s="65" t="s">
        <v>341</v>
      </c>
      <c r="AR211" s="65" t="s">
        <v>341</v>
      </c>
      <c r="AS211" s="65" t="s">
        <v>341</v>
      </c>
      <c r="AT211" s="65" t="s">
        <v>341</v>
      </c>
      <c r="AU211" s="65" t="s">
        <v>341</v>
      </c>
      <c r="AV211" s="65" t="s">
        <v>341</v>
      </c>
      <c r="AW211" s="65" t="s">
        <v>341</v>
      </c>
      <c r="AX211" s="65" t="s">
        <v>341</v>
      </c>
      <c r="AY211" s="65" t="s">
        <v>341</v>
      </c>
    </row>
    <row r="212" spans="1:51" x14ac:dyDescent="0.2">
      <c r="A212" s="65" t="s">
        <v>1341</v>
      </c>
      <c r="B212" s="65" t="s">
        <v>1069</v>
      </c>
      <c r="C212" s="65" t="s">
        <v>1070</v>
      </c>
      <c r="D212" s="65" t="s">
        <v>2027</v>
      </c>
      <c r="E212" s="65" t="s">
        <v>341</v>
      </c>
      <c r="F212" s="65" t="s">
        <v>341</v>
      </c>
      <c r="G212" s="65" t="s">
        <v>1990</v>
      </c>
      <c r="H212" s="65" t="s">
        <v>341</v>
      </c>
      <c r="I212" s="65" t="s">
        <v>341</v>
      </c>
      <c r="J212" s="65" t="s">
        <v>341</v>
      </c>
      <c r="K212" s="65" t="s">
        <v>341</v>
      </c>
      <c r="L212" s="65" t="s">
        <v>341</v>
      </c>
      <c r="M212" s="65" t="s">
        <v>341</v>
      </c>
      <c r="N212" s="65" t="s">
        <v>341</v>
      </c>
      <c r="O212" s="65" t="s">
        <v>341</v>
      </c>
      <c r="P212" s="65" t="s">
        <v>341</v>
      </c>
      <c r="Q212" s="65" t="s">
        <v>341</v>
      </c>
      <c r="R212" s="65" t="s">
        <v>341</v>
      </c>
      <c r="S212" s="65" t="s">
        <v>341</v>
      </c>
      <c r="T212" s="65" t="s">
        <v>341</v>
      </c>
      <c r="U212" s="65" t="s">
        <v>341</v>
      </c>
      <c r="V212" s="65" t="s">
        <v>341</v>
      </c>
      <c r="W212" s="65" t="s">
        <v>341</v>
      </c>
      <c r="X212" s="65" t="s">
        <v>341</v>
      </c>
      <c r="Y212" s="65" t="s">
        <v>2028</v>
      </c>
      <c r="Z212" s="65" t="s">
        <v>1620</v>
      </c>
      <c r="AA212" s="65" t="s">
        <v>2029</v>
      </c>
      <c r="AB212" s="65" t="s">
        <v>341</v>
      </c>
      <c r="AC212" s="65" t="s">
        <v>341</v>
      </c>
      <c r="AD212" s="65" t="s">
        <v>341</v>
      </c>
      <c r="AE212" s="65" t="s">
        <v>341</v>
      </c>
      <c r="AF212" s="65" t="s">
        <v>341</v>
      </c>
      <c r="AG212" s="65" t="s">
        <v>341</v>
      </c>
      <c r="AH212" s="65" t="s">
        <v>341</v>
      </c>
      <c r="AI212" s="65" t="s">
        <v>341</v>
      </c>
      <c r="AJ212" s="65" t="s">
        <v>341</v>
      </c>
      <c r="AK212" s="65" t="s">
        <v>341</v>
      </c>
      <c r="AL212" s="65" t="s">
        <v>341</v>
      </c>
      <c r="AM212" s="65" t="s">
        <v>341</v>
      </c>
      <c r="AN212" s="65" t="s">
        <v>341</v>
      </c>
      <c r="AO212" s="65" t="s">
        <v>341</v>
      </c>
      <c r="AP212" s="65" t="s">
        <v>341</v>
      </c>
      <c r="AQ212" s="65" t="s">
        <v>341</v>
      </c>
      <c r="AR212" s="65" t="s">
        <v>341</v>
      </c>
      <c r="AS212" s="65" t="s">
        <v>341</v>
      </c>
      <c r="AT212" s="65" t="s">
        <v>341</v>
      </c>
      <c r="AU212" s="65" t="s">
        <v>341</v>
      </c>
      <c r="AV212" s="65" t="s">
        <v>341</v>
      </c>
      <c r="AW212" s="65" t="s">
        <v>341</v>
      </c>
      <c r="AX212" s="65" t="s">
        <v>341</v>
      </c>
      <c r="AY212" s="65" t="s">
        <v>341</v>
      </c>
    </row>
    <row r="213" spans="1:51" x14ac:dyDescent="0.2">
      <c r="A213" s="65" t="s">
        <v>1341</v>
      </c>
      <c r="B213" s="65" t="s">
        <v>1071</v>
      </c>
      <c r="C213" s="65" t="s">
        <v>1072</v>
      </c>
      <c r="D213" s="65" t="s">
        <v>2030</v>
      </c>
      <c r="E213" s="65" t="s">
        <v>341</v>
      </c>
      <c r="F213" s="65" t="s">
        <v>341</v>
      </c>
      <c r="G213" s="65" t="s">
        <v>1990</v>
      </c>
      <c r="H213" s="65" t="s">
        <v>341</v>
      </c>
      <c r="I213" s="65" t="s">
        <v>341</v>
      </c>
      <c r="J213" s="65" t="s">
        <v>341</v>
      </c>
      <c r="K213" s="65" t="s">
        <v>341</v>
      </c>
      <c r="L213" s="65" t="s">
        <v>341</v>
      </c>
      <c r="M213" s="65" t="s">
        <v>341</v>
      </c>
      <c r="N213" s="65" t="s">
        <v>341</v>
      </c>
      <c r="O213" s="65" t="s">
        <v>341</v>
      </c>
      <c r="P213" s="65" t="s">
        <v>341</v>
      </c>
      <c r="Q213" s="65" t="s">
        <v>341</v>
      </c>
      <c r="R213" s="65" t="s">
        <v>341</v>
      </c>
      <c r="S213" s="65" t="s">
        <v>341</v>
      </c>
      <c r="T213" s="65" t="s">
        <v>341</v>
      </c>
      <c r="U213" s="65" t="s">
        <v>341</v>
      </c>
      <c r="V213" s="65" t="s">
        <v>341</v>
      </c>
      <c r="W213" s="65" t="s">
        <v>341</v>
      </c>
      <c r="X213" s="65" t="s">
        <v>341</v>
      </c>
      <c r="Y213" s="65" t="s">
        <v>1999</v>
      </c>
      <c r="Z213" s="65" t="s">
        <v>1620</v>
      </c>
      <c r="AA213" s="65" t="s">
        <v>2031</v>
      </c>
      <c r="AB213" s="65" t="s">
        <v>341</v>
      </c>
      <c r="AC213" s="65" t="s">
        <v>341</v>
      </c>
      <c r="AD213" s="65" t="s">
        <v>341</v>
      </c>
      <c r="AE213" s="65" t="s">
        <v>341</v>
      </c>
      <c r="AF213" s="65" t="s">
        <v>341</v>
      </c>
      <c r="AG213" s="65" t="s">
        <v>341</v>
      </c>
      <c r="AH213" s="65" t="s">
        <v>341</v>
      </c>
      <c r="AI213" s="65" t="s">
        <v>341</v>
      </c>
      <c r="AJ213" s="65" t="s">
        <v>341</v>
      </c>
      <c r="AK213" s="65" t="s">
        <v>341</v>
      </c>
      <c r="AL213" s="65" t="s">
        <v>341</v>
      </c>
      <c r="AM213" s="65" t="s">
        <v>341</v>
      </c>
      <c r="AN213" s="65" t="s">
        <v>341</v>
      </c>
      <c r="AO213" s="65" t="s">
        <v>341</v>
      </c>
      <c r="AP213" s="65" t="s">
        <v>341</v>
      </c>
      <c r="AQ213" s="65" t="s">
        <v>341</v>
      </c>
      <c r="AR213" s="65" t="s">
        <v>341</v>
      </c>
      <c r="AS213" s="65" t="s">
        <v>341</v>
      </c>
      <c r="AT213" s="65" t="s">
        <v>341</v>
      </c>
      <c r="AU213" s="65" t="s">
        <v>341</v>
      </c>
      <c r="AV213" s="65" t="s">
        <v>341</v>
      </c>
      <c r="AW213" s="65" t="s">
        <v>341</v>
      </c>
      <c r="AX213" s="65" t="s">
        <v>341</v>
      </c>
      <c r="AY213" s="65" t="s">
        <v>341</v>
      </c>
    </row>
    <row r="214" spans="1:51" x14ac:dyDescent="0.2">
      <c r="A214" s="65" t="s">
        <v>1341</v>
      </c>
      <c r="B214" s="65" t="s">
        <v>1073</v>
      </c>
      <c r="C214" s="65" t="s">
        <v>1074</v>
      </c>
      <c r="D214" s="65" t="s">
        <v>2032</v>
      </c>
      <c r="E214" s="65" t="s">
        <v>341</v>
      </c>
      <c r="F214" s="65" t="s">
        <v>341</v>
      </c>
      <c r="G214" s="65" t="s">
        <v>1990</v>
      </c>
      <c r="H214" s="65" t="s">
        <v>341</v>
      </c>
      <c r="I214" s="65" t="s">
        <v>341</v>
      </c>
      <c r="J214" s="65" t="s">
        <v>341</v>
      </c>
      <c r="K214" s="65" t="s">
        <v>341</v>
      </c>
      <c r="L214" s="65" t="s">
        <v>341</v>
      </c>
      <c r="M214" s="65" t="s">
        <v>341</v>
      </c>
      <c r="N214" s="65" t="s">
        <v>341</v>
      </c>
      <c r="O214" s="65" t="s">
        <v>341</v>
      </c>
      <c r="P214" s="65" t="s">
        <v>341</v>
      </c>
      <c r="Q214" s="65" t="s">
        <v>341</v>
      </c>
      <c r="R214" s="65" t="s">
        <v>341</v>
      </c>
      <c r="S214" s="65" t="s">
        <v>341</v>
      </c>
      <c r="T214" s="65" t="s">
        <v>341</v>
      </c>
      <c r="U214" s="65" t="s">
        <v>341</v>
      </c>
      <c r="V214" s="65" t="s">
        <v>341</v>
      </c>
      <c r="W214" s="65" t="s">
        <v>341</v>
      </c>
      <c r="X214" s="65" t="s">
        <v>341</v>
      </c>
      <c r="Y214" s="65" t="s">
        <v>1991</v>
      </c>
      <c r="Z214" s="65" t="s">
        <v>1992</v>
      </c>
      <c r="AA214" s="65" t="s">
        <v>2033</v>
      </c>
      <c r="AB214" s="65" t="s">
        <v>341</v>
      </c>
      <c r="AC214" s="65" t="s">
        <v>341</v>
      </c>
      <c r="AD214" s="65" t="s">
        <v>341</v>
      </c>
      <c r="AE214" s="65" t="s">
        <v>341</v>
      </c>
      <c r="AF214" s="65" t="s">
        <v>341</v>
      </c>
      <c r="AG214" s="65" t="s">
        <v>341</v>
      </c>
      <c r="AH214" s="65" t="s">
        <v>341</v>
      </c>
      <c r="AI214" s="65" t="s">
        <v>341</v>
      </c>
      <c r="AJ214" s="65" t="s">
        <v>341</v>
      </c>
      <c r="AK214" s="65" t="s">
        <v>341</v>
      </c>
      <c r="AL214" s="65" t="s">
        <v>341</v>
      </c>
      <c r="AM214" s="65" t="s">
        <v>341</v>
      </c>
      <c r="AN214" s="65" t="s">
        <v>341</v>
      </c>
      <c r="AO214" s="65" t="s">
        <v>341</v>
      </c>
      <c r="AP214" s="65" t="s">
        <v>341</v>
      </c>
      <c r="AQ214" s="65" t="s">
        <v>341</v>
      </c>
      <c r="AR214" s="65" t="s">
        <v>341</v>
      </c>
      <c r="AS214" s="65" t="s">
        <v>341</v>
      </c>
      <c r="AT214" s="65" t="s">
        <v>341</v>
      </c>
      <c r="AU214" s="65" t="s">
        <v>341</v>
      </c>
      <c r="AV214" s="65" t="s">
        <v>341</v>
      </c>
      <c r="AW214" s="65" t="s">
        <v>341</v>
      </c>
      <c r="AX214" s="65" t="s">
        <v>341</v>
      </c>
      <c r="AY214" s="65" t="s">
        <v>341</v>
      </c>
    </row>
    <row r="215" spans="1:51" x14ac:dyDescent="0.2">
      <c r="A215" s="65" t="s">
        <v>1341</v>
      </c>
      <c r="B215" s="65" t="s">
        <v>1075</v>
      </c>
      <c r="C215" s="65" t="s">
        <v>1076</v>
      </c>
      <c r="D215" s="65" t="s">
        <v>2034</v>
      </c>
      <c r="E215" s="65" t="s">
        <v>341</v>
      </c>
      <c r="F215" s="65" t="s">
        <v>341</v>
      </c>
      <c r="G215" s="65" t="s">
        <v>1990</v>
      </c>
      <c r="H215" s="65" t="s">
        <v>341</v>
      </c>
      <c r="I215" s="65" t="s">
        <v>341</v>
      </c>
      <c r="J215" s="65" t="s">
        <v>341</v>
      </c>
      <c r="K215" s="65" t="s">
        <v>341</v>
      </c>
      <c r="L215" s="65" t="s">
        <v>341</v>
      </c>
      <c r="M215" s="65" t="s">
        <v>341</v>
      </c>
      <c r="N215" s="65" t="s">
        <v>341</v>
      </c>
      <c r="O215" s="65" t="s">
        <v>341</v>
      </c>
      <c r="P215" s="65" t="s">
        <v>341</v>
      </c>
      <c r="Q215" s="65" t="s">
        <v>341</v>
      </c>
      <c r="R215" s="65" t="s">
        <v>341</v>
      </c>
      <c r="S215" s="65" t="s">
        <v>341</v>
      </c>
      <c r="T215" s="65" t="s">
        <v>341</v>
      </c>
      <c r="U215" s="65" t="s">
        <v>341</v>
      </c>
      <c r="V215" s="65" t="s">
        <v>341</v>
      </c>
      <c r="W215" s="65" t="s">
        <v>341</v>
      </c>
      <c r="X215" s="65" t="s">
        <v>341</v>
      </c>
      <c r="Y215" s="65" t="s">
        <v>1999</v>
      </c>
      <c r="Z215" s="65" t="s">
        <v>1620</v>
      </c>
      <c r="AA215" s="65" t="s">
        <v>2035</v>
      </c>
      <c r="AB215" s="65" t="s">
        <v>341</v>
      </c>
      <c r="AC215" s="65" t="s">
        <v>341</v>
      </c>
      <c r="AD215" s="65" t="s">
        <v>341</v>
      </c>
      <c r="AE215" s="65" t="s">
        <v>341</v>
      </c>
      <c r="AF215" s="65" t="s">
        <v>341</v>
      </c>
      <c r="AG215" s="65" t="s">
        <v>341</v>
      </c>
      <c r="AH215" s="65" t="s">
        <v>341</v>
      </c>
      <c r="AI215" s="65" t="s">
        <v>341</v>
      </c>
      <c r="AJ215" s="65" t="s">
        <v>341</v>
      </c>
      <c r="AK215" s="65" t="s">
        <v>341</v>
      </c>
      <c r="AL215" s="65" t="s">
        <v>341</v>
      </c>
      <c r="AM215" s="65" t="s">
        <v>341</v>
      </c>
      <c r="AN215" s="65" t="s">
        <v>341</v>
      </c>
      <c r="AO215" s="65" t="s">
        <v>341</v>
      </c>
      <c r="AP215" s="65" t="s">
        <v>341</v>
      </c>
      <c r="AQ215" s="65" t="s">
        <v>341</v>
      </c>
      <c r="AR215" s="65" t="s">
        <v>341</v>
      </c>
      <c r="AS215" s="65" t="s">
        <v>341</v>
      </c>
      <c r="AT215" s="65" t="s">
        <v>341</v>
      </c>
      <c r="AU215" s="65" t="s">
        <v>341</v>
      </c>
      <c r="AV215" s="65" t="s">
        <v>341</v>
      </c>
      <c r="AW215" s="65" t="s">
        <v>341</v>
      </c>
      <c r="AX215" s="65" t="s">
        <v>341</v>
      </c>
      <c r="AY215" s="65" t="s">
        <v>341</v>
      </c>
    </row>
    <row r="216" spans="1:51" x14ac:dyDescent="0.2">
      <c r="A216" s="65" t="s">
        <v>1341</v>
      </c>
      <c r="B216" s="65" t="s">
        <v>1077</v>
      </c>
      <c r="C216" s="65" t="s">
        <v>1078</v>
      </c>
      <c r="D216" s="65" t="s">
        <v>2036</v>
      </c>
      <c r="E216" s="65" t="s">
        <v>341</v>
      </c>
      <c r="F216" s="65" t="s">
        <v>341</v>
      </c>
      <c r="G216" s="65" t="s">
        <v>1990</v>
      </c>
      <c r="H216" s="65" t="s">
        <v>341</v>
      </c>
      <c r="I216" s="65" t="s">
        <v>341</v>
      </c>
      <c r="J216" s="65" t="s">
        <v>341</v>
      </c>
      <c r="K216" s="65" t="s">
        <v>341</v>
      </c>
      <c r="L216" s="65" t="s">
        <v>341</v>
      </c>
      <c r="M216" s="65" t="s">
        <v>341</v>
      </c>
      <c r="N216" s="65" t="s">
        <v>341</v>
      </c>
      <c r="O216" s="65" t="s">
        <v>341</v>
      </c>
      <c r="P216" s="65" t="s">
        <v>341</v>
      </c>
      <c r="Q216" s="65" t="s">
        <v>341</v>
      </c>
      <c r="R216" s="65" t="s">
        <v>341</v>
      </c>
      <c r="S216" s="65" t="s">
        <v>341</v>
      </c>
      <c r="T216" s="65" t="s">
        <v>341</v>
      </c>
      <c r="U216" s="65" t="s">
        <v>341</v>
      </c>
      <c r="V216" s="65" t="s">
        <v>341</v>
      </c>
      <c r="W216" s="65" t="s">
        <v>341</v>
      </c>
      <c r="X216" s="65" t="s">
        <v>341</v>
      </c>
      <c r="Y216" s="65" t="s">
        <v>1064</v>
      </c>
      <c r="Z216" s="65" t="s">
        <v>1992</v>
      </c>
      <c r="AA216" s="65" t="s">
        <v>2037</v>
      </c>
      <c r="AB216" s="65" t="s">
        <v>341</v>
      </c>
      <c r="AC216" s="65" t="s">
        <v>341</v>
      </c>
      <c r="AD216" s="65" t="s">
        <v>341</v>
      </c>
      <c r="AE216" s="65" t="s">
        <v>341</v>
      </c>
      <c r="AF216" s="65" t="s">
        <v>341</v>
      </c>
      <c r="AG216" s="65" t="s">
        <v>341</v>
      </c>
      <c r="AH216" s="65" t="s">
        <v>341</v>
      </c>
      <c r="AI216" s="65" t="s">
        <v>341</v>
      </c>
      <c r="AJ216" s="65" t="s">
        <v>341</v>
      </c>
      <c r="AK216" s="65" t="s">
        <v>341</v>
      </c>
      <c r="AL216" s="65" t="s">
        <v>341</v>
      </c>
      <c r="AM216" s="65" t="s">
        <v>341</v>
      </c>
      <c r="AN216" s="65" t="s">
        <v>341</v>
      </c>
      <c r="AO216" s="65" t="s">
        <v>341</v>
      </c>
      <c r="AP216" s="65" t="s">
        <v>341</v>
      </c>
      <c r="AQ216" s="65" t="s">
        <v>341</v>
      </c>
      <c r="AR216" s="65" t="s">
        <v>341</v>
      </c>
      <c r="AS216" s="65" t="s">
        <v>341</v>
      </c>
      <c r="AT216" s="65" t="s">
        <v>341</v>
      </c>
      <c r="AU216" s="65" t="s">
        <v>341</v>
      </c>
      <c r="AV216" s="65" t="s">
        <v>341</v>
      </c>
      <c r="AW216" s="65" t="s">
        <v>341</v>
      </c>
      <c r="AX216" s="65" t="s">
        <v>341</v>
      </c>
      <c r="AY216" s="65" t="s">
        <v>341</v>
      </c>
    </row>
    <row r="217" spans="1:51" x14ac:dyDescent="0.2">
      <c r="A217" s="65" t="s">
        <v>1313</v>
      </c>
      <c r="B217" s="65" t="s">
        <v>669</v>
      </c>
      <c r="C217" s="65" t="s">
        <v>670</v>
      </c>
      <c r="D217" s="65" t="s">
        <v>2038</v>
      </c>
      <c r="E217" s="65" t="s">
        <v>353</v>
      </c>
      <c r="F217" s="65" t="s">
        <v>1415</v>
      </c>
      <c r="G217" s="65" t="s">
        <v>1416</v>
      </c>
      <c r="H217" s="65" t="s">
        <v>1417</v>
      </c>
      <c r="I217" s="65" t="s">
        <v>1418</v>
      </c>
      <c r="J217" s="65">
        <v>3144341774</v>
      </c>
      <c r="K217" s="65" t="s">
        <v>1531</v>
      </c>
      <c r="L217" s="65" t="s">
        <v>1532</v>
      </c>
      <c r="M217" s="65" t="s">
        <v>364</v>
      </c>
      <c r="N217" s="65" t="s">
        <v>1533</v>
      </c>
      <c r="O217" s="65" t="s">
        <v>1422</v>
      </c>
      <c r="P217" s="65" t="s">
        <v>1423</v>
      </c>
      <c r="Q217" s="65" t="s">
        <v>1424</v>
      </c>
      <c r="R217" s="65" t="s">
        <v>1425</v>
      </c>
      <c r="S217" s="65" t="s">
        <v>1426</v>
      </c>
      <c r="T217" s="65" t="s">
        <v>1427</v>
      </c>
      <c r="U217" s="65" t="s">
        <v>1428</v>
      </c>
      <c r="V217" s="65" t="s">
        <v>1429</v>
      </c>
      <c r="W217" s="65" t="s">
        <v>1430</v>
      </c>
      <c r="X217" s="65" t="s">
        <v>1431</v>
      </c>
      <c r="Y217" s="65" t="s">
        <v>1582</v>
      </c>
      <c r="Z217" s="65" t="s">
        <v>1313</v>
      </c>
      <c r="AA217" s="65" t="s">
        <v>2039</v>
      </c>
      <c r="AB217" s="65">
        <v>4</v>
      </c>
      <c r="AC217" s="65" t="s">
        <v>2040</v>
      </c>
      <c r="AD217" s="65" t="s">
        <v>2041</v>
      </c>
      <c r="AE217" s="65" t="s">
        <v>2042</v>
      </c>
      <c r="AF217" s="65" t="s">
        <v>1437</v>
      </c>
      <c r="AG217" s="65">
        <v>2</v>
      </c>
      <c r="AH217" s="65">
        <v>1</v>
      </c>
      <c r="AI217" s="65">
        <v>2</v>
      </c>
      <c r="AJ217" s="65">
        <v>2</v>
      </c>
      <c r="AK217" s="65" t="s">
        <v>202</v>
      </c>
      <c r="AL217" s="128">
        <v>44986</v>
      </c>
      <c r="AM217" s="65">
        <v>4</v>
      </c>
      <c r="AN217" s="65">
        <v>1</v>
      </c>
      <c r="AO217" s="65" t="s">
        <v>202</v>
      </c>
      <c r="AP217" s="65">
        <v>2</v>
      </c>
      <c r="AQ217" s="65" t="s">
        <v>352</v>
      </c>
      <c r="AR217" s="65" t="s">
        <v>202</v>
      </c>
      <c r="AS217" s="65">
        <v>0</v>
      </c>
      <c r="AT217" s="65">
        <v>0</v>
      </c>
      <c r="AU217" s="65" t="s">
        <v>1438</v>
      </c>
      <c r="AV217" s="65" t="s">
        <v>198</v>
      </c>
      <c r="AW217" s="65" t="s">
        <v>202</v>
      </c>
      <c r="AX217" s="65" t="s">
        <v>202</v>
      </c>
      <c r="AY217" s="65" t="s">
        <v>353</v>
      </c>
    </row>
    <row r="218" spans="1:51" x14ac:dyDescent="0.2">
      <c r="A218" s="65" t="s">
        <v>1313</v>
      </c>
      <c r="B218" s="65" t="s">
        <v>929</v>
      </c>
      <c r="C218" s="65" t="s">
        <v>930</v>
      </c>
      <c r="D218" s="65" t="s">
        <v>2043</v>
      </c>
      <c r="E218" s="65" t="s">
        <v>353</v>
      </c>
      <c r="F218" s="65" t="s">
        <v>1415</v>
      </c>
      <c r="G218" s="65" t="s">
        <v>1416</v>
      </c>
      <c r="H218" s="65" t="s">
        <v>1417</v>
      </c>
      <c r="I218" s="65" t="s">
        <v>1418</v>
      </c>
      <c r="J218" s="65">
        <v>3144341774</v>
      </c>
      <c r="K218" s="65" t="s">
        <v>1531</v>
      </c>
      <c r="L218" s="65" t="s">
        <v>1532</v>
      </c>
      <c r="M218" s="65" t="s">
        <v>364</v>
      </c>
      <c r="N218" s="65" t="s">
        <v>1533</v>
      </c>
      <c r="O218" s="65" t="s">
        <v>1422</v>
      </c>
      <c r="P218" s="65" t="s">
        <v>1423</v>
      </c>
      <c r="Q218" s="65" t="s">
        <v>1424</v>
      </c>
      <c r="R218" s="65" t="s">
        <v>1425</v>
      </c>
      <c r="S218" s="65" t="s">
        <v>1426</v>
      </c>
      <c r="T218" s="65" t="s">
        <v>1427</v>
      </c>
      <c r="U218" s="65" t="s">
        <v>1428</v>
      </c>
      <c r="V218" s="65" t="s">
        <v>1429</v>
      </c>
      <c r="W218" s="65" t="s">
        <v>1430</v>
      </c>
      <c r="X218" s="65" t="s">
        <v>1431</v>
      </c>
      <c r="Y218" s="65" t="s">
        <v>1582</v>
      </c>
      <c r="Z218" s="65" t="s">
        <v>1313</v>
      </c>
      <c r="AA218" s="65" t="s">
        <v>2044</v>
      </c>
      <c r="AB218" s="65">
        <v>3</v>
      </c>
      <c r="AC218" s="65" t="s">
        <v>1558</v>
      </c>
      <c r="AD218" s="65" t="s">
        <v>1522</v>
      </c>
      <c r="AE218" s="65" t="s">
        <v>2045</v>
      </c>
      <c r="AF218" s="65" t="s">
        <v>1446</v>
      </c>
      <c r="AG218" s="65">
        <v>2</v>
      </c>
      <c r="AH218" s="65">
        <v>1</v>
      </c>
      <c r="AI218" s="65">
        <v>2</v>
      </c>
      <c r="AJ218" s="65">
        <v>2</v>
      </c>
      <c r="AK218" s="65" t="s">
        <v>202</v>
      </c>
      <c r="AL218" s="128">
        <v>45088</v>
      </c>
      <c r="AM218" s="65">
        <v>6</v>
      </c>
      <c r="AN218" s="65">
        <v>2</v>
      </c>
      <c r="AO218" s="65" t="s">
        <v>202</v>
      </c>
      <c r="AP218" s="65">
        <v>4</v>
      </c>
      <c r="AQ218" s="65" t="s">
        <v>355</v>
      </c>
      <c r="AR218" s="65" t="s">
        <v>202</v>
      </c>
      <c r="AS218" s="65">
        <v>1</v>
      </c>
      <c r="AT218" s="65">
        <v>1</v>
      </c>
      <c r="AU218" s="65" t="s">
        <v>1438</v>
      </c>
      <c r="AV218" s="65" t="s">
        <v>1439</v>
      </c>
      <c r="AW218" s="65" t="s">
        <v>202</v>
      </c>
      <c r="AX218" s="65" t="s">
        <v>202</v>
      </c>
      <c r="AY218" s="65" t="s">
        <v>202</v>
      </c>
    </row>
    <row r="219" spans="1:51" x14ac:dyDescent="0.2">
      <c r="A219" s="65" t="s">
        <v>1313</v>
      </c>
      <c r="B219" s="65" t="s">
        <v>675</v>
      </c>
      <c r="C219" s="65" t="s">
        <v>676</v>
      </c>
      <c r="D219" s="65" t="s">
        <v>2046</v>
      </c>
      <c r="E219" s="65" t="s">
        <v>353</v>
      </c>
      <c r="F219" s="65" t="s">
        <v>1415</v>
      </c>
      <c r="G219" s="65" t="s">
        <v>1416</v>
      </c>
      <c r="H219" s="65" t="s">
        <v>1417</v>
      </c>
      <c r="I219" s="65" t="s">
        <v>1418</v>
      </c>
      <c r="J219" s="65">
        <v>3144341774</v>
      </c>
      <c r="K219" s="65" t="s">
        <v>1531</v>
      </c>
      <c r="L219" s="65" t="s">
        <v>1532</v>
      </c>
      <c r="M219" s="65" t="s">
        <v>364</v>
      </c>
      <c r="N219" s="65" t="s">
        <v>1533</v>
      </c>
      <c r="O219" s="65" t="s">
        <v>1422</v>
      </c>
      <c r="P219" s="65" t="s">
        <v>1423</v>
      </c>
      <c r="Q219" s="65" t="s">
        <v>1424</v>
      </c>
      <c r="R219" s="65" t="s">
        <v>1425</v>
      </c>
      <c r="S219" s="65" t="s">
        <v>1426</v>
      </c>
      <c r="T219" s="65" t="s">
        <v>1427</v>
      </c>
      <c r="U219" s="65" t="s">
        <v>1428</v>
      </c>
      <c r="V219" s="65" t="s">
        <v>1429</v>
      </c>
      <c r="W219" s="65" t="s">
        <v>1430</v>
      </c>
      <c r="X219" s="65" t="s">
        <v>1431</v>
      </c>
      <c r="Y219" s="65" t="s">
        <v>1441</v>
      </c>
      <c r="Z219" s="65" t="s">
        <v>1313</v>
      </c>
      <c r="AA219" s="65" t="s">
        <v>2047</v>
      </c>
      <c r="AB219" s="65">
        <v>2</v>
      </c>
      <c r="AC219" s="65" t="s">
        <v>2048</v>
      </c>
      <c r="AD219" s="65" t="s">
        <v>1593</v>
      </c>
      <c r="AE219" s="65" t="s">
        <v>2049</v>
      </c>
      <c r="AF219" s="65" t="s">
        <v>1446</v>
      </c>
      <c r="AG219" s="65">
        <v>1</v>
      </c>
      <c r="AH219" s="65">
        <v>1</v>
      </c>
      <c r="AI219" s="65">
        <v>2</v>
      </c>
      <c r="AJ219" s="65">
        <v>2</v>
      </c>
      <c r="AK219" s="65" t="s">
        <v>202</v>
      </c>
      <c r="AL219" s="129">
        <v>45280</v>
      </c>
      <c r="AM219" s="65">
        <v>6</v>
      </c>
      <c r="AN219" s="65">
        <v>2</v>
      </c>
      <c r="AO219" s="65" t="s">
        <v>202</v>
      </c>
      <c r="AP219" s="65">
        <v>1</v>
      </c>
      <c r="AQ219" s="65" t="s">
        <v>352</v>
      </c>
      <c r="AR219" s="65" t="s">
        <v>202</v>
      </c>
      <c r="AS219" s="65">
        <v>1</v>
      </c>
      <c r="AT219" s="65">
        <v>1</v>
      </c>
      <c r="AU219" s="65" t="s">
        <v>1438</v>
      </c>
      <c r="AV219" s="65" t="s">
        <v>1439</v>
      </c>
      <c r="AW219" s="65" t="s">
        <v>202</v>
      </c>
      <c r="AX219" s="65" t="s">
        <v>202</v>
      </c>
      <c r="AY219" s="65" t="s">
        <v>353</v>
      </c>
    </row>
    <row r="220" spans="1:51" x14ac:dyDescent="0.2">
      <c r="A220" s="65" t="s">
        <v>1313</v>
      </c>
      <c r="B220" s="65" t="s">
        <v>485</v>
      </c>
      <c r="C220" s="65" t="s">
        <v>486</v>
      </c>
      <c r="D220" s="65" t="s">
        <v>2050</v>
      </c>
      <c r="E220" s="65" t="s">
        <v>353</v>
      </c>
      <c r="F220" s="65" t="s">
        <v>1415</v>
      </c>
      <c r="G220" s="65" t="s">
        <v>1416</v>
      </c>
      <c r="H220" s="65" t="s">
        <v>1417</v>
      </c>
      <c r="I220" s="65" t="s">
        <v>1418</v>
      </c>
      <c r="J220" s="65">
        <v>3144341774</v>
      </c>
      <c r="K220" s="65" t="s">
        <v>2051</v>
      </c>
      <c r="L220" s="65" t="s">
        <v>2052</v>
      </c>
      <c r="M220" s="65" t="s">
        <v>363</v>
      </c>
      <c r="N220" s="65" t="s">
        <v>2053</v>
      </c>
      <c r="O220" s="65" t="s">
        <v>1422</v>
      </c>
      <c r="P220" s="65" t="s">
        <v>1423</v>
      </c>
      <c r="Q220" s="65" t="s">
        <v>1424</v>
      </c>
      <c r="R220" s="65" t="s">
        <v>1425</v>
      </c>
      <c r="S220" s="65" t="s">
        <v>1426</v>
      </c>
      <c r="T220" s="65" t="s">
        <v>1427</v>
      </c>
      <c r="U220" s="65" t="s">
        <v>1428</v>
      </c>
      <c r="V220" s="65" t="s">
        <v>1429</v>
      </c>
      <c r="W220" s="65" t="s">
        <v>1430</v>
      </c>
      <c r="X220" s="65" t="s">
        <v>1431</v>
      </c>
      <c r="Y220" s="65" t="s">
        <v>1441</v>
      </c>
      <c r="Z220" s="65" t="s">
        <v>1313</v>
      </c>
      <c r="AA220" s="65" t="s">
        <v>2054</v>
      </c>
      <c r="AB220" s="65">
        <v>3</v>
      </c>
      <c r="AC220" s="65" t="s">
        <v>2055</v>
      </c>
      <c r="AD220" s="65" t="s">
        <v>1566</v>
      </c>
      <c r="AE220" s="65" t="s">
        <v>2056</v>
      </c>
      <c r="AF220" s="65" t="s">
        <v>1446</v>
      </c>
      <c r="AG220" s="65">
        <v>1</v>
      </c>
      <c r="AH220" s="65">
        <v>0</v>
      </c>
      <c r="AI220" s="65">
        <v>2</v>
      </c>
      <c r="AJ220" s="65">
        <v>2</v>
      </c>
      <c r="AK220" s="65" t="s">
        <v>202</v>
      </c>
      <c r="AL220" s="128">
        <v>45050</v>
      </c>
      <c r="AM220" s="65">
        <v>4</v>
      </c>
      <c r="AN220" s="65">
        <v>2</v>
      </c>
      <c r="AO220" s="65" t="s">
        <v>202</v>
      </c>
      <c r="AP220" s="65">
        <v>2</v>
      </c>
      <c r="AQ220" s="65" t="s">
        <v>355</v>
      </c>
      <c r="AR220" s="65" t="s">
        <v>202</v>
      </c>
      <c r="AS220" s="65">
        <v>0</v>
      </c>
      <c r="AT220" s="65">
        <v>0</v>
      </c>
      <c r="AU220" s="65" t="s">
        <v>1438</v>
      </c>
      <c r="AV220" s="65" t="s">
        <v>1439</v>
      </c>
      <c r="AW220" s="65" t="s">
        <v>202</v>
      </c>
      <c r="AX220" s="65" t="s">
        <v>202</v>
      </c>
      <c r="AY220" s="65" t="s">
        <v>353</v>
      </c>
    </row>
    <row r="221" spans="1:51" x14ac:dyDescent="0.2">
      <c r="A221" s="65" t="s">
        <v>1313</v>
      </c>
      <c r="B221" s="65" t="s">
        <v>667</v>
      </c>
      <c r="C221" s="65" t="s">
        <v>668</v>
      </c>
      <c r="D221" s="65" t="s">
        <v>2057</v>
      </c>
      <c r="E221" s="65" t="s">
        <v>353</v>
      </c>
      <c r="F221" s="65" t="s">
        <v>1415</v>
      </c>
      <c r="G221" s="65" t="s">
        <v>1416</v>
      </c>
      <c r="H221" s="65" t="s">
        <v>1417</v>
      </c>
      <c r="I221" s="65" t="s">
        <v>1418</v>
      </c>
      <c r="J221" s="65">
        <v>3144341774</v>
      </c>
      <c r="K221" s="65" t="s">
        <v>2051</v>
      </c>
      <c r="L221" s="65" t="s">
        <v>2052</v>
      </c>
      <c r="M221" s="65" t="s">
        <v>363</v>
      </c>
      <c r="N221" s="65" t="s">
        <v>2053</v>
      </c>
      <c r="O221" s="65" t="s">
        <v>1422</v>
      </c>
      <c r="P221" s="65" t="s">
        <v>1423</v>
      </c>
      <c r="Q221" s="65" t="s">
        <v>1424</v>
      </c>
      <c r="R221" s="65" t="s">
        <v>1425</v>
      </c>
      <c r="S221" s="65" t="s">
        <v>1426</v>
      </c>
      <c r="T221" s="65" t="s">
        <v>1427</v>
      </c>
      <c r="U221" s="65" t="s">
        <v>1428</v>
      </c>
      <c r="V221" s="65" t="s">
        <v>1429</v>
      </c>
      <c r="W221" s="65" t="s">
        <v>1430</v>
      </c>
      <c r="X221" s="65" t="s">
        <v>1431</v>
      </c>
      <c r="Y221" s="65" t="s">
        <v>1441</v>
      </c>
      <c r="Z221" s="65" t="s">
        <v>1313</v>
      </c>
      <c r="AA221" s="65" t="s">
        <v>2058</v>
      </c>
      <c r="AB221" s="65">
        <v>4</v>
      </c>
      <c r="AC221" s="65" t="s">
        <v>1480</v>
      </c>
      <c r="AD221" s="65" t="s">
        <v>2059</v>
      </c>
      <c r="AE221" s="65" t="s">
        <v>2060</v>
      </c>
      <c r="AF221" s="65" t="s">
        <v>1437</v>
      </c>
      <c r="AG221" s="65">
        <v>2</v>
      </c>
      <c r="AH221" s="65">
        <v>1</v>
      </c>
      <c r="AI221" s="65">
        <v>2</v>
      </c>
      <c r="AJ221" s="65">
        <v>1</v>
      </c>
      <c r="AK221" s="65" t="s">
        <v>202</v>
      </c>
      <c r="AL221" s="128">
        <v>45008</v>
      </c>
      <c r="AM221" s="65">
        <v>6</v>
      </c>
      <c r="AN221" s="65">
        <v>1</v>
      </c>
      <c r="AO221" s="65" t="s">
        <v>202</v>
      </c>
      <c r="AP221" s="65">
        <v>4</v>
      </c>
      <c r="AQ221" s="65" t="s">
        <v>352</v>
      </c>
      <c r="AR221" s="65" t="s">
        <v>202</v>
      </c>
      <c r="AS221" s="65">
        <v>1</v>
      </c>
      <c r="AT221" s="65">
        <v>1</v>
      </c>
      <c r="AU221" s="65" t="s">
        <v>1438</v>
      </c>
      <c r="AV221" s="65" t="s">
        <v>198</v>
      </c>
      <c r="AW221" s="65" t="s">
        <v>202</v>
      </c>
      <c r="AX221" s="65" t="s">
        <v>202</v>
      </c>
      <c r="AY221" s="65" t="s">
        <v>353</v>
      </c>
    </row>
    <row r="222" spans="1:51" x14ac:dyDescent="0.2">
      <c r="A222" s="65" t="s">
        <v>1313</v>
      </c>
      <c r="B222" s="65" t="s">
        <v>479</v>
      </c>
      <c r="C222" s="65" t="s">
        <v>480</v>
      </c>
      <c r="D222" s="65" t="s">
        <v>2061</v>
      </c>
      <c r="E222" s="65" t="s">
        <v>353</v>
      </c>
      <c r="F222" s="65" t="s">
        <v>1415</v>
      </c>
      <c r="G222" s="65" t="s">
        <v>1416</v>
      </c>
      <c r="H222" s="65" t="s">
        <v>1417</v>
      </c>
      <c r="I222" s="65" t="s">
        <v>1418</v>
      </c>
      <c r="J222" s="65">
        <v>3144341774</v>
      </c>
      <c r="K222" s="65" t="s">
        <v>2051</v>
      </c>
      <c r="L222" s="65" t="s">
        <v>2052</v>
      </c>
      <c r="M222" s="65" t="s">
        <v>363</v>
      </c>
      <c r="N222" s="65" t="s">
        <v>2053</v>
      </c>
      <c r="O222" s="65" t="s">
        <v>1422</v>
      </c>
      <c r="P222" s="65" t="s">
        <v>1423</v>
      </c>
      <c r="Q222" s="65" t="s">
        <v>1424</v>
      </c>
      <c r="R222" s="65" t="s">
        <v>1425</v>
      </c>
      <c r="S222" s="65" t="s">
        <v>1426</v>
      </c>
      <c r="T222" s="65" t="s">
        <v>1427</v>
      </c>
      <c r="U222" s="65" t="s">
        <v>1428</v>
      </c>
      <c r="V222" s="65" t="s">
        <v>1429</v>
      </c>
      <c r="W222" s="65" t="s">
        <v>1430</v>
      </c>
      <c r="X222" s="65" t="s">
        <v>1431</v>
      </c>
      <c r="Y222" s="65" t="s">
        <v>1441</v>
      </c>
      <c r="Z222" s="65" t="s">
        <v>1313</v>
      </c>
      <c r="AA222" s="65" t="s">
        <v>2062</v>
      </c>
      <c r="AB222" s="65">
        <v>4</v>
      </c>
      <c r="AC222" s="65" t="s">
        <v>1558</v>
      </c>
      <c r="AD222" s="65" t="s">
        <v>2063</v>
      </c>
      <c r="AE222" s="65" t="s">
        <v>2064</v>
      </c>
      <c r="AF222" s="65" t="s">
        <v>1437</v>
      </c>
      <c r="AG222" s="65">
        <v>2</v>
      </c>
      <c r="AH222" s="65">
        <v>0</v>
      </c>
      <c r="AI222" s="65">
        <v>2</v>
      </c>
      <c r="AJ222" s="65">
        <v>1</v>
      </c>
      <c r="AK222" s="65" t="s">
        <v>202</v>
      </c>
      <c r="AL222" s="128">
        <v>45017</v>
      </c>
      <c r="AM222" s="65">
        <v>4</v>
      </c>
      <c r="AN222" s="65">
        <v>2</v>
      </c>
      <c r="AO222" s="65" t="s">
        <v>202</v>
      </c>
      <c r="AP222" s="65">
        <v>4</v>
      </c>
      <c r="AQ222" s="65" t="s">
        <v>354</v>
      </c>
      <c r="AR222" s="65" t="s">
        <v>202</v>
      </c>
      <c r="AS222" s="65">
        <v>1</v>
      </c>
      <c r="AT222" s="65">
        <v>1</v>
      </c>
      <c r="AU222" s="65" t="s">
        <v>1438</v>
      </c>
      <c r="AV222" s="65" t="s">
        <v>198</v>
      </c>
      <c r="AW222" s="65" t="s">
        <v>353</v>
      </c>
      <c r="AX222" s="65" t="s">
        <v>202</v>
      </c>
      <c r="AY222" s="65" t="s">
        <v>353</v>
      </c>
    </row>
    <row r="223" spans="1:51" x14ac:dyDescent="0.2">
      <c r="A223" s="65" t="s">
        <v>1313</v>
      </c>
      <c r="B223" s="65" t="s">
        <v>780</v>
      </c>
      <c r="C223" s="65" t="s">
        <v>781</v>
      </c>
      <c r="D223" s="65" t="s">
        <v>2065</v>
      </c>
      <c r="E223" s="65" t="s">
        <v>353</v>
      </c>
      <c r="F223" s="65" t="s">
        <v>1415</v>
      </c>
      <c r="G223" s="65" t="s">
        <v>1416</v>
      </c>
      <c r="H223" s="65" t="s">
        <v>1417</v>
      </c>
      <c r="I223" s="65" t="s">
        <v>1418</v>
      </c>
      <c r="J223" s="65">
        <v>3144341774</v>
      </c>
      <c r="K223" s="65" t="s">
        <v>2051</v>
      </c>
      <c r="L223" s="65" t="s">
        <v>2052</v>
      </c>
      <c r="M223" s="65" t="s">
        <v>363</v>
      </c>
      <c r="N223" s="65" t="s">
        <v>2053</v>
      </c>
      <c r="O223" s="65" t="s">
        <v>1422</v>
      </c>
      <c r="P223" s="65" t="s">
        <v>1423</v>
      </c>
      <c r="Q223" s="65" t="s">
        <v>1424</v>
      </c>
      <c r="R223" s="65" t="s">
        <v>1425</v>
      </c>
      <c r="S223" s="65" t="s">
        <v>1426</v>
      </c>
      <c r="T223" s="65" t="s">
        <v>1427</v>
      </c>
      <c r="U223" s="65" t="s">
        <v>1428</v>
      </c>
      <c r="V223" s="65" t="s">
        <v>1429</v>
      </c>
      <c r="W223" s="65" t="s">
        <v>1430</v>
      </c>
      <c r="X223" s="65" t="s">
        <v>1431</v>
      </c>
      <c r="Y223" s="65" t="s">
        <v>1441</v>
      </c>
      <c r="Z223" s="65" t="s">
        <v>1313</v>
      </c>
      <c r="AA223" s="65" t="s">
        <v>2066</v>
      </c>
      <c r="AB223" s="65">
        <v>4</v>
      </c>
      <c r="AC223" s="65" t="s">
        <v>1464</v>
      </c>
      <c r="AD223" s="65" t="s">
        <v>2067</v>
      </c>
      <c r="AE223" s="65" t="s">
        <v>2068</v>
      </c>
      <c r="AF223" s="65" t="s">
        <v>1437</v>
      </c>
      <c r="AG223" s="65">
        <v>1</v>
      </c>
      <c r="AH223" s="65">
        <v>2</v>
      </c>
      <c r="AI223" s="65">
        <v>2</v>
      </c>
      <c r="AJ223" s="65">
        <v>1</v>
      </c>
      <c r="AK223" s="65" t="s">
        <v>202</v>
      </c>
      <c r="AL223" s="128">
        <v>45197</v>
      </c>
      <c r="AM223" s="65">
        <v>5</v>
      </c>
      <c r="AN223" s="65">
        <v>1</v>
      </c>
      <c r="AO223" s="65" t="s">
        <v>353</v>
      </c>
      <c r="AP223" s="65">
        <v>4</v>
      </c>
      <c r="AQ223" s="65" t="s">
        <v>354</v>
      </c>
      <c r="AR223" s="65" t="s">
        <v>202</v>
      </c>
      <c r="AS223" s="65">
        <v>1</v>
      </c>
      <c r="AT223" s="65">
        <v>1</v>
      </c>
      <c r="AU223" s="65" t="s">
        <v>1438</v>
      </c>
      <c r="AV223" s="65" t="s">
        <v>198</v>
      </c>
      <c r="AW223" s="65" t="s">
        <v>353</v>
      </c>
      <c r="AX223" s="65" t="s">
        <v>202</v>
      </c>
      <c r="AY223" s="65" t="s">
        <v>353</v>
      </c>
    </row>
    <row r="224" spans="1:51" x14ac:dyDescent="0.2">
      <c r="A224" s="65" t="s">
        <v>1313</v>
      </c>
      <c r="B224" s="65" t="s">
        <v>685</v>
      </c>
      <c r="C224" s="65" t="s">
        <v>686</v>
      </c>
      <c r="D224" s="65" t="s">
        <v>2069</v>
      </c>
      <c r="E224" s="65" t="s">
        <v>353</v>
      </c>
      <c r="F224" s="65" t="s">
        <v>1415</v>
      </c>
      <c r="G224" s="65" t="s">
        <v>1416</v>
      </c>
      <c r="H224" s="65" t="s">
        <v>1417</v>
      </c>
      <c r="I224" s="65" t="s">
        <v>1418</v>
      </c>
      <c r="J224" s="65">
        <v>3144341774</v>
      </c>
      <c r="K224" s="65" t="s">
        <v>2051</v>
      </c>
      <c r="L224" s="65" t="s">
        <v>2052</v>
      </c>
      <c r="M224" s="65" t="s">
        <v>363</v>
      </c>
      <c r="N224" s="65" t="s">
        <v>2053</v>
      </c>
      <c r="O224" s="65" t="s">
        <v>1422</v>
      </c>
      <c r="P224" s="65" t="s">
        <v>1423</v>
      </c>
      <c r="Q224" s="65" t="s">
        <v>1424</v>
      </c>
      <c r="R224" s="65" t="s">
        <v>1425</v>
      </c>
      <c r="S224" s="65" t="s">
        <v>1426</v>
      </c>
      <c r="T224" s="65" t="s">
        <v>1427</v>
      </c>
      <c r="U224" s="65" t="s">
        <v>1428</v>
      </c>
      <c r="V224" s="65" t="s">
        <v>1429</v>
      </c>
      <c r="W224" s="65" t="s">
        <v>1430</v>
      </c>
      <c r="X224" s="65" t="s">
        <v>1431</v>
      </c>
      <c r="Y224" s="65" t="s">
        <v>1441</v>
      </c>
      <c r="Z224" s="65" t="s">
        <v>1313</v>
      </c>
      <c r="AA224" s="65" t="s">
        <v>2070</v>
      </c>
      <c r="AB224" s="65">
        <v>2</v>
      </c>
      <c r="AC224" s="65" t="s">
        <v>2071</v>
      </c>
      <c r="AD224" s="65" t="s">
        <v>2072</v>
      </c>
      <c r="AE224" s="65" t="s">
        <v>2073</v>
      </c>
      <c r="AF224" s="65" t="s">
        <v>1437</v>
      </c>
      <c r="AG224" s="65">
        <v>1</v>
      </c>
      <c r="AH224" s="65">
        <v>1</v>
      </c>
      <c r="AI224" s="65">
        <v>2</v>
      </c>
      <c r="AJ224" s="65">
        <v>1</v>
      </c>
      <c r="AK224" s="65" t="s">
        <v>202</v>
      </c>
      <c r="AL224" s="128">
        <v>45373</v>
      </c>
      <c r="AM224" s="65">
        <v>6</v>
      </c>
      <c r="AN224" s="65">
        <v>0</v>
      </c>
      <c r="AO224" s="65" t="s">
        <v>202</v>
      </c>
      <c r="AP224" s="65">
        <v>2</v>
      </c>
      <c r="AQ224" s="65" t="s">
        <v>355</v>
      </c>
      <c r="AR224" s="65" t="s">
        <v>202</v>
      </c>
      <c r="AS224" s="65">
        <v>1</v>
      </c>
      <c r="AT224" s="65">
        <v>1</v>
      </c>
      <c r="AU224" s="65" t="s">
        <v>1438</v>
      </c>
      <c r="AV224" s="65" t="s">
        <v>1439</v>
      </c>
      <c r="AW224" s="65" t="s">
        <v>202</v>
      </c>
      <c r="AX224" s="65" t="s">
        <v>202</v>
      </c>
      <c r="AY224" s="65" t="s">
        <v>353</v>
      </c>
    </row>
    <row r="225" spans="1:51" x14ac:dyDescent="0.2">
      <c r="A225" s="65" t="s">
        <v>1313</v>
      </c>
      <c r="B225" s="65" t="s">
        <v>489</v>
      </c>
      <c r="C225" s="65" t="s">
        <v>490</v>
      </c>
      <c r="D225" s="65" t="s">
        <v>2074</v>
      </c>
      <c r="E225" s="65" t="s">
        <v>353</v>
      </c>
      <c r="F225" s="65" t="s">
        <v>1415</v>
      </c>
      <c r="G225" s="65" t="s">
        <v>1416</v>
      </c>
      <c r="H225" s="65" t="s">
        <v>1417</v>
      </c>
      <c r="I225" s="65" t="s">
        <v>1418</v>
      </c>
      <c r="J225" s="65">
        <v>3144341774</v>
      </c>
      <c r="K225" s="65" t="s">
        <v>2051</v>
      </c>
      <c r="L225" s="65" t="s">
        <v>2052</v>
      </c>
      <c r="M225" s="65" t="s">
        <v>363</v>
      </c>
      <c r="N225" s="65" t="s">
        <v>2053</v>
      </c>
      <c r="O225" s="65" t="s">
        <v>1422</v>
      </c>
      <c r="P225" s="65" t="s">
        <v>1423</v>
      </c>
      <c r="Q225" s="65" t="s">
        <v>1424</v>
      </c>
      <c r="R225" s="65" t="s">
        <v>1425</v>
      </c>
      <c r="S225" s="65" t="s">
        <v>1426</v>
      </c>
      <c r="T225" s="65" t="s">
        <v>1427</v>
      </c>
      <c r="U225" s="65" t="s">
        <v>1428</v>
      </c>
      <c r="V225" s="65" t="s">
        <v>1429</v>
      </c>
      <c r="W225" s="65" t="s">
        <v>1430</v>
      </c>
      <c r="X225" s="65" t="s">
        <v>1431</v>
      </c>
      <c r="Y225" s="65" t="s">
        <v>1441</v>
      </c>
      <c r="Z225" s="65" t="s">
        <v>1313</v>
      </c>
      <c r="AA225" s="65" t="s">
        <v>2075</v>
      </c>
      <c r="AB225" s="65">
        <v>3</v>
      </c>
      <c r="AC225" s="65" t="s">
        <v>1489</v>
      </c>
      <c r="AD225" s="65" t="s">
        <v>1598</v>
      </c>
      <c r="AE225" s="65" t="s">
        <v>2076</v>
      </c>
      <c r="AF225" s="65" t="s">
        <v>1437</v>
      </c>
      <c r="AG225" s="65">
        <v>2</v>
      </c>
      <c r="AH225" s="65">
        <v>0</v>
      </c>
      <c r="AI225" s="65">
        <v>2</v>
      </c>
      <c r="AJ225" s="65">
        <v>2</v>
      </c>
      <c r="AK225" s="65" t="s">
        <v>202</v>
      </c>
      <c r="AL225" s="128">
        <v>45066</v>
      </c>
      <c r="AM225" s="65">
        <v>6</v>
      </c>
      <c r="AN225" s="65">
        <v>2</v>
      </c>
      <c r="AO225" s="65" t="s">
        <v>353</v>
      </c>
      <c r="AP225" s="65">
        <v>4</v>
      </c>
      <c r="AQ225" s="65" t="s">
        <v>354</v>
      </c>
      <c r="AR225" s="65" t="s">
        <v>202</v>
      </c>
      <c r="AS225" s="65">
        <v>0</v>
      </c>
      <c r="AT225" s="65">
        <v>0</v>
      </c>
      <c r="AU225" s="65" t="s">
        <v>1438</v>
      </c>
      <c r="AV225" s="65" t="s">
        <v>1439</v>
      </c>
      <c r="AW225" s="65" t="s">
        <v>353</v>
      </c>
      <c r="AX225" s="65" t="s">
        <v>202</v>
      </c>
      <c r="AY225" s="65" t="s">
        <v>353</v>
      </c>
    </row>
    <row r="226" spans="1:51" x14ac:dyDescent="0.2">
      <c r="A226" s="65" t="s">
        <v>1313</v>
      </c>
      <c r="B226" s="65" t="s">
        <v>677</v>
      </c>
      <c r="C226" s="65" t="s">
        <v>678</v>
      </c>
      <c r="D226" s="65" t="s">
        <v>2077</v>
      </c>
      <c r="E226" s="65" t="s">
        <v>353</v>
      </c>
      <c r="F226" s="65" t="s">
        <v>1415</v>
      </c>
      <c r="G226" s="65" t="s">
        <v>1416</v>
      </c>
      <c r="H226" s="65" t="s">
        <v>1417</v>
      </c>
      <c r="I226" s="65" t="s">
        <v>1418</v>
      </c>
      <c r="J226" s="65">
        <v>3144341774</v>
      </c>
      <c r="K226" s="65" t="s">
        <v>2051</v>
      </c>
      <c r="L226" s="65" t="s">
        <v>2052</v>
      </c>
      <c r="M226" s="65" t="s">
        <v>363</v>
      </c>
      <c r="N226" s="65" t="s">
        <v>2053</v>
      </c>
      <c r="O226" s="65" t="s">
        <v>1422</v>
      </c>
      <c r="P226" s="65" t="s">
        <v>1423</v>
      </c>
      <c r="Q226" s="65" t="s">
        <v>1424</v>
      </c>
      <c r="R226" s="65" t="s">
        <v>1425</v>
      </c>
      <c r="S226" s="65" t="s">
        <v>1426</v>
      </c>
      <c r="T226" s="65" t="s">
        <v>1427</v>
      </c>
      <c r="U226" s="65" t="s">
        <v>1428</v>
      </c>
      <c r="V226" s="65" t="s">
        <v>1429</v>
      </c>
      <c r="W226" s="65" t="s">
        <v>1430</v>
      </c>
      <c r="X226" s="65" t="s">
        <v>1431</v>
      </c>
      <c r="Y226" s="65" t="s">
        <v>1441</v>
      </c>
      <c r="Z226" s="65" t="s">
        <v>1313</v>
      </c>
      <c r="AA226" s="65" t="s">
        <v>2078</v>
      </c>
      <c r="AB226" s="65">
        <v>4</v>
      </c>
      <c r="AC226" s="65" t="s">
        <v>2079</v>
      </c>
      <c r="AD226" s="65" t="s">
        <v>1522</v>
      </c>
      <c r="AE226" s="65" t="s">
        <v>2080</v>
      </c>
      <c r="AF226" s="65" t="s">
        <v>1437</v>
      </c>
      <c r="AG226" s="65">
        <v>2</v>
      </c>
      <c r="AH226" s="65">
        <v>1</v>
      </c>
      <c r="AI226" s="65">
        <v>2</v>
      </c>
      <c r="AJ226" s="65">
        <v>2</v>
      </c>
      <c r="AK226" s="65" t="s">
        <v>202</v>
      </c>
      <c r="AL226" s="129">
        <v>45234</v>
      </c>
      <c r="AM226" s="65">
        <v>6</v>
      </c>
      <c r="AN226" s="65">
        <v>2</v>
      </c>
      <c r="AO226" s="65" t="s">
        <v>202</v>
      </c>
      <c r="AP226" s="65">
        <v>4</v>
      </c>
      <c r="AQ226" s="65" t="s">
        <v>355</v>
      </c>
      <c r="AR226" s="65" t="s">
        <v>202</v>
      </c>
      <c r="AS226" s="65">
        <v>0</v>
      </c>
      <c r="AT226" s="65">
        <v>0</v>
      </c>
      <c r="AU226" s="65" t="s">
        <v>1438</v>
      </c>
      <c r="AV226" s="65" t="s">
        <v>198</v>
      </c>
      <c r="AW226" s="65" t="s">
        <v>202</v>
      </c>
      <c r="AX226" s="65" t="s">
        <v>202</v>
      </c>
      <c r="AY226" s="65" t="s">
        <v>353</v>
      </c>
    </row>
    <row r="227" spans="1:51" x14ac:dyDescent="0.2">
      <c r="A227" s="65" t="s">
        <v>1313</v>
      </c>
      <c r="B227" s="65" t="s">
        <v>493</v>
      </c>
      <c r="C227" s="65" t="s">
        <v>494</v>
      </c>
      <c r="D227" s="65" t="s">
        <v>2081</v>
      </c>
      <c r="E227" s="65" t="s">
        <v>353</v>
      </c>
      <c r="F227" s="65" t="s">
        <v>1415</v>
      </c>
      <c r="G227" s="65" t="s">
        <v>1416</v>
      </c>
      <c r="H227" s="65" t="s">
        <v>1417</v>
      </c>
      <c r="I227" s="65" t="s">
        <v>1418</v>
      </c>
      <c r="J227" s="65">
        <v>3144341774</v>
      </c>
      <c r="K227" s="65" t="s">
        <v>2051</v>
      </c>
      <c r="L227" s="65" t="s">
        <v>2052</v>
      </c>
      <c r="M227" s="65" t="s">
        <v>363</v>
      </c>
      <c r="N227" s="65" t="s">
        <v>2053</v>
      </c>
      <c r="O227" s="65" t="s">
        <v>1422</v>
      </c>
      <c r="P227" s="65" t="s">
        <v>1423</v>
      </c>
      <c r="Q227" s="65" t="s">
        <v>1424</v>
      </c>
      <c r="R227" s="65" t="s">
        <v>1425</v>
      </c>
      <c r="S227" s="65" t="s">
        <v>1426</v>
      </c>
      <c r="T227" s="65" t="s">
        <v>1427</v>
      </c>
      <c r="U227" s="65" t="s">
        <v>1428</v>
      </c>
      <c r="V227" s="65" t="s">
        <v>1429</v>
      </c>
      <c r="W227" s="65" t="s">
        <v>1430</v>
      </c>
      <c r="X227" s="65" t="s">
        <v>1431</v>
      </c>
      <c r="Y227" s="65" t="s">
        <v>1441</v>
      </c>
      <c r="Z227" s="65" t="s">
        <v>1313</v>
      </c>
      <c r="AA227" s="65" t="s">
        <v>2082</v>
      </c>
      <c r="AB227" s="65">
        <v>2</v>
      </c>
      <c r="AC227" s="65" t="s">
        <v>2083</v>
      </c>
      <c r="AD227" s="65" t="s">
        <v>2084</v>
      </c>
      <c r="AE227" s="65" t="s">
        <v>2085</v>
      </c>
      <c r="AF227" s="65" t="s">
        <v>1437</v>
      </c>
      <c r="AG227" s="65">
        <v>1</v>
      </c>
      <c r="AH227" s="65">
        <v>0</v>
      </c>
      <c r="AI227" s="65">
        <v>2</v>
      </c>
      <c r="AJ227" s="65">
        <v>2</v>
      </c>
      <c r="AK227" s="65" t="s">
        <v>202</v>
      </c>
      <c r="AL227" s="128">
        <v>45503</v>
      </c>
      <c r="AM227" s="65">
        <v>6</v>
      </c>
      <c r="AN227" s="65">
        <v>1</v>
      </c>
      <c r="AO227" s="65" t="s">
        <v>202</v>
      </c>
      <c r="AP227" s="65">
        <v>2</v>
      </c>
      <c r="AQ227" s="65" t="s">
        <v>352</v>
      </c>
      <c r="AR227" s="65" t="s">
        <v>353</v>
      </c>
      <c r="AS227" s="65">
        <v>1</v>
      </c>
      <c r="AT227" s="65">
        <v>1</v>
      </c>
      <c r="AU227" s="65" t="s">
        <v>1529</v>
      </c>
      <c r="AV227" s="65" t="s">
        <v>1439</v>
      </c>
      <c r="AW227" s="65" t="s">
        <v>202</v>
      </c>
      <c r="AX227" s="65" t="s">
        <v>202</v>
      </c>
      <c r="AY227" s="65" t="s">
        <v>353</v>
      </c>
    </row>
    <row r="228" spans="1:51" x14ac:dyDescent="0.2">
      <c r="A228" s="65" t="s">
        <v>1313</v>
      </c>
      <c r="B228" s="65" t="s">
        <v>687</v>
      </c>
      <c r="C228" s="65" t="s">
        <v>688</v>
      </c>
      <c r="D228" s="65" t="s">
        <v>2086</v>
      </c>
      <c r="E228" s="65" t="s">
        <v>353</v>
      </c>
      <c r="F228" s="65" t="s">
        <v>1415</v>
      </c>
      <c r="G228" s="65" t="s">
        <v>1416</v>
      </c>
      <c r="H228" s="65" t="s">
        <v>1417</v>
      </c>
      <c r="I228" s="65" t="s">
        <v>1418</v>
      </c>
      <c r="J228" s="65">
        <v>3144341774</v>
      </c>
      <c r="K228" s="65" t="s">
        <v>2051</v>
      </c>
      <c r="L228" s="65" t="s">
        <v>2052</v>
      </c>
      <c r="M228" s="65" t="s">
        <v>363</v>
      </c>
      <c r="N228" s="65" t="s">
        <v>2053</v>
      </c>
      <c r="O228" s="65" t="s">
        <v>1422</v>
      </c>
      <c r="P228" s="65" t="s">
        <v>1423</v>
      </c>
      <c r="Q228" s="65" t="s">
        <v>1424</v>
      </c>
      <c r="R228" s="65" t="s">
        <v>1425</v>
      </c>
      <c r="S228" s="65" t="s">
        <v>1426</v>
      </c>
      <c r="T228" s="65" t="s">
        <v>1427</v>
      </c>
      <c r="U228" s="65" t="s">
        <v>1428</v>
      </c>
      <c r="V228" s="65" t="s">
        <v>1429</v>
      </c>
      <c r="W228" s="65" t="s">
        <v>1430</v>
      </c>
      <c r="X228" s="65" t="s">
        <v>1431</v>
      </c>
      <c r="Y228" s="65" t="s">
        <v>1441</v>
      </c>
      <c r="Z228" s="65" t="s">
        <v>1313</v>
      </c>
      <c r="AA228" s="65" t="s">
        <v>2087</v>
      </c>
      <c r="AB228" s="65">
        <v>4</v>
      </c>
      <c r="AC228" s="65" t="s">
        <v>2088</v>
      </c>
      <c r="AD228" s="65" t="s">
        <v>2089</v>
      </c>
      <c r="AE228" s="65" t="s">
        <v>2090</v>
      </c>
      <c r="AF228" s="65" t="s">
        <v>1437</v>
      </c>
      <c r="AG228" s="65">
        <v>2</v>
      </c>
      <c r="AH228" s="65">
        <v>1</v>
      </c>
      <c r="AI228" s="65">
        <v>2</v>
      </c>
      <c r="AJ228" s="65">
        <v>2</v>
      </c>
      <c r="AK228" s="65" t="s">
        <v>202</v>
      </c>
      <c r="AL228" s="129">
        <v>45625</v>
      </c>
      <c r="AM228" s="65">
        <v>6</v>
      </c>
      <c r="AN228" s="65">
        <v>2</v>
      </c>
      <c r="AO228" s="65" t="s">
        <v>202</v>
      </c>
      <c r="AP228" s="65">
        <v>3</v>
      </c>
      <c r="AQ228" s="65" t="s">
        <v>354</v>
      </c>
      <c r="AR228" s="65" t="s">
        <v>353</v>
      </c>
      <c r="AS228" s="65">
        <v>1</v>
      </c>
      <c r="AT228" s="65">
        <v>1</v>
      </c>
      <c r="AU228" s="65" t="s">
        <v>1438</v>
      </c>
      <c r="AV228" s="65" t="s">
        <v>198</v>
      </c>
      <c r="AW228" s="65" t="s">
        <v>353</v>
      </c>
      <c r="AX228" s="65" t="s">
        <v>202</v>
      </c>
      <c r="AY228" s="65" t="s">
        <v>353</v>
      </c>
    </row>
    <row r="229" spans="1:51" x14ac:dyDescent="0.2">
      <c r="A229" s="65" t="s">
        <v>1313</v>
      </c>
      <c r="B229" s="65" t="s">
        <v>691</v>
      </c>
      <c r="C229" s="65" t="s">
        <v>692</v>
      </c>
      <c r="D229" s="65" t="s">
        <v>2091</v>
      </c>
      <c r="E229" s="65" t="s">
        <v>353</v>
      </c>
      <c r="F229" s="65" t="s">
        <v>1415</v>
      </c>
      <c r="G229" s="65" t="s">
        <v>1416</v>
      </c>
      <c r="H229" s="65" t="s">
        <v>1417</v>
      </c>
      <c r="I229" s="65" t="s">
        <v>1418</v>
      </c>
      <c r="J229" s="65">
        <v>3144341774</v>
      </c>
      <c r="K229" s="65" t="s">
        <v>2051</v>
      </c>
      <c r="L229" s="65" t="s">
        <v>2052</v>
      </c>
      <c r="M229" s="65" t="s">
        <v>363</v>
      </c>
      <c r="N229" s="65" t="s">
        <v>2053</v>
      </c>
      <c r="O229" s="65" t="s">
        <v>1422</v>
      </c>
      <c r="P229" s="65" t="s">
        <v>1423</v>
      </c>
      <c r="Q229" s="65" t="s">
        <v>1424</v>
      </c>
      <c r="R229" s="65" t="s">
        <v>1425</v>
      </c>
      <c r="S229" s="65" t="s">
        <v>1426</v>
      </c>
      <c r="T229" s="65" t="s">
        <v>1427</v>
      </c>
      <c r="U229" s="65" t="s">
        <v>1428</v>
      </c>
      <c r="V229" s="65" t="s">
        <v>1429</v>
      </c>
      <c r="W229" s="65" t="s">
        <v>1430</v>
      </c>
      <c r="X229" s="65" t="s">
        <v>1431</v>
      </c>
      <c r="Y229" s="65" t="s">
        <v>1441</v>
      </c>
      <c r="Z229" s="65" t="s">
        <v>1313</v>
      </c>
      <c r="AA229" s="65" t="s">
        <v>2092</v>
      </c>
      <c r="AB229" s="65">
        <v>3</v>
      </c>
      <c r="AC229" s="65" t="s">
        <v>1527</v>
      </c>
      <c r="AD229" s="65" t="s">
        <v>2093</v>
      </c>
      <c r="AE229" s="65" t="s">
        <v>2094</v>
      </c>
      <c r="AF229" s="65" t="s">
        <v>1437</v>
      </c>
      <c r="AG229" s="65">
        <v>2</v>
      </c>
      <c r="AH229" s="65">
        <v>1</v>
      </c>
      <c r="AI229" s="65">
        <v>2</v>
      </c>
      <c r="AJ229" s="65">
        <v>2</v>
      </c>
      <c r="AK229" s="65" t="s">
        <v>202</v>
      </c>
      <c r="AL229" s="128">
        <v>45772</v>
      </c>
      <c r="AM229" s="65">
        <v>4</v>
      </c>
      <c r="AN229" s="65">
        <v>2</v>
      </c>
      <c r="AO229" s="65" t="s">
        <v>202</v>
      </c>
      <c r="AP229" s="65">
        <v>2</v>
      </c>
      <c r="AQ229" s="65" t="s">
        <v>354</v>
      </c>
      <c r="AR229" s="65" t="s">
        <v>353</v>
      </c>
      <c r="AS229" s="65">
        <v>1</v>
      </c>
      <c r="AT229" s="65">
        <v>1</v>
      </c>
      <c r="AU229" s="65" t="s">
        <v>1529</v>
      </c>
      <c r="AV229" s="65" t="s">
        <v>1439</v>
      </c>
      <c r="AW229" s="65" t="s">
        <v>353</v>
      </c>
      <c r="AX229" s="65" t="s">
        <v>202</v>
      </c>
      <c r="AY229" s="65" t="s">
        <v>353</v>
      </c>
    </row>
    <row r="230" spans="1:51" x14ac:dyDescent="0.2">
      <c r="A230" s="65" t="s">
        <v>1313</v>
      </c>
      <c r="B230" s="65" t="s">
        <v>471</v>
      </c>
      <c r="C230" s="65" t="s">
        <v>472</v>
      </c>
      <c r="D230" s="65" t="s">
        <v>2095</v>
      </c>
      <c r="E230" s="65" t="s">
        <v>353</v>
      </c>
      <c r="F230" s="65" t="s">
        <v>1415</v>
      </c>
      <c r="G230" s="65" t="s">
        <v>1416</v>
      </c>
      <c r="H230" s="65" t="s">
        <v>1417</v>
      </c>
      <c r="I230" s="65" t="s">
        <v>1418</v>
      </c>
      <c r="J230" s="65">
        <v>3144341774</v>
      </c>
      <c r="K230" s="65" t="s">
        <v>2051</v>
      </c>
      <c r="L230" s="65" t="s">
        <v>2052</v>
      </c>
      <c r="M230" s="65" t="s">
        <v>363</v>
      </c>
      <c r="N230" s="65" t="s">
        <v>2053</v>
      </c>
      <c r="O230" s="65" t="s">
        <v>1422</v>
      </c>
      <c r="P230" s="65" t="s">
        <v>1423</v>
      </c>
      <c r="Q230" s="65" t="s">
        <v>1424</v>
      </c>
      <c r="R230" s="65" t="s">
        <v>1425</v>
      </c>
      <c r="S230" s="65" t="s">
        <v>1426</v>
      </c>
      <c r="T230" s="65" t="s">
        <v>1427</v>
      </c>
      <c r="U230" s="65" t="s">
        <v>1428</v>
      </c>
      <c r="V230" s="65" t="s">
        <v>1429</v>
      </c>
      <c r="W230" s="65" t="s">
        <v>1430</v>
      </c>
      <c r="X230" s="65" t="s">
        <v>1431</v>
      </c>
      <c r="Y230" s="65" t="s">
        <v>1441</v>
      </c>
      <c r="Z230" s="65" t="s">
        <v>1313</v>
      </c>
      <c r="AA230" s="65" t="s">
        <v>2096</v>
      </c>
      <c r="AB230" s="65">
        <v>3</v>
      </c>
      <c r="AC230" s="65" t="s">
        <v>1558</v>
      </c>
      <c r="AD230" s="65" t="s">
        <v>1542</v>
      </c>
      <c r="AE230" s="65" t="s">
        <v>2097</v>
      </c>
      <c r="AF230" s="65" t="s">
        <v>1437</v>
      </c>
      <c r="AG230" s="65">
        <v>2</v>
      </c>
      <c r="AH230" s="65">
        <v>0</v>
      </c>
      <c r="AI230" s="65">
        <v>2</v>
      </c>
      <c r="AJ230" s="65">
        <v>1</v>
      </c>
      <c r="AK230" s="65" t="s">
        <v>202</v>
      </c>
      <c r="AL230" s="128">
        <v>45043</v>
      </c>
      <c r="AM230" s="65">
        <v>5</v>
      </c>
      <c r="AN230" s="65">
        <v>1</v>
      </c>
      <c r="AO230" s="65" t="s">
        <v>202</v>
      </c>
      <c r="AP230" s="65">
        <v>3</v>
      </c>
      <c r="AQ230" s="65" t="s">
        <v>354</v>
      </c>
      <c r="AR230" s="65" t="s">
        <v>202</v>
      </c>
      <c r="AS230" s="65">
        <v>1</v>
      </c>
      <c r="AT230" s="65">
        <v>1</v>
      </c>
      <c r="AU230" s="65" t="s">
        <v>1438</v>
      </c>
      <c r="AV230" s="65" t="s">
        <v>1439</v>
      </c>
      <c r="AW230" s="65" t="s">
        <v>353</v>
      </c>
      <c r="AX230" s="65" t="s">
        <v>202</v>
      </c>
      <c r="AY230" s="65" t="s">
        <v>353</v>
      </c>
    </row>
    <row r="231" spans="1:51" x14ac:dyDescent="0.2">
      <c r="A231" s="65" t="s">
        <v>1313</v>
      </c>
      <c r="B231" s="65" t="s">
        <v>856</v>
      </c>
      <c r="C231" s="65" t="s">
        <v>857</v>
      </c>
      <c r="D231" s="65" t="s">
        <v>2098</v>
      </c>
      <c r="E231" s="65" t="s">
        <v>353</v>
      </c>
      <c r="F231" s="65" t="s">
        <v>1415</v>
      </c>
      <c r="G231" s="65" t="s">
        <v>1416</v>
      </c>
      <c r="H231" s="65" t="s">
        <v>1417</v>
      </c>
      <c r="I231" s="65" t="s">
        <v>1418</v>
      </c>
      <c r="J231" s="65">
        <v>3144341774</v>
      </c>
      <c r="K231" s="65" t="s">
        <v>2051</v>
      </c>
      <c r="L231" s="65" t="s">
        <v>2052</v>
      </c>
      <c r="M231" s="65" t="s">
        <v>363</v>
      </c>
      <c r="N231" s="65" t="s">
        <v>2053</v>
      </c>
      <c r="O231" s="65" t="s">
        <v>1422</v>
      </c>
      <c r="P231" s="65" t="s">
        <v>1423</v>
      </c>
      <c r="Q231" s="65" t="s">
        <v>1424</v>
      </c>
      <c r="R231" s="65" t="s">
        <v>1425</v>
      </c>
      <c r="S231" s="65" t="s">
        <v>1426</v>
      </c>
      <c r="T231" s="65" t="s">
        <v>1427</v>
      </c>
      <c r="U231" s="65" t="s">
        <v>1428</v>
      </c>
      <c r="V231" s="65" t="s">
        <v>1429</v>
      </c>
      <c r="W231" s="65" t="s">
        <v>1430</v>
      </c>
      <c r="X231" s="65" t="s">
        <v>1431</v>
      </c>
      <c r="Y231" s="65" t="s">
        <v>1441</v>
      </c>
      <c r="Z231" s="65" t="s">
        <v>1313</v>
      </c>
      <c r="AA231" s="65" t="s">
        <v>2099</v>
      </c>
      <c r="AB231" s="65">
        <v>4</v>
      </c>
      <c r="AC231" s="65" t="s">
        <v>2100</v>
      </c>
      <c r="AD231" s="65" t="s">
        <v>2101</v>
      </c>
      <c r="AE231" s="65" t="s">
        <v>2102</v>
      </c>
      <c r="AF231" s="65" t="s">
        <v>1437</v>
      </c>
      <c r="AG231" s="65">
        <v>3</v>
      </c>
      <c r="AH231" s="65">
        <v>3</v>
      </c>
      <c r="AI231" s="65">
        <v>2</v>
      </c>
      <c r="AJ231" s="65">
        <v>2</v>
      </c>
      <c r="AK231" s="65" t="s">
        <v>202</v>
      </c>
      <c r="AL231" s="128">
        <v>45807</v>
      </c>
      <c r="AM231" s="65">
        <v>6</v>
      </c>
      <c r="AN231" s="65">
        <v>2</v>
      </c>
      <c r="AO231" s="65" t="s">
        <v>202</v>
      </c>
      <c r="AP231" s="65">
        <v>3</v>
      </c>
      <c r="AQ231" s="65" t="s">
        <v>354</v>
      </c>
      <c r="AR231" s="65" t="s">
        <v>353</v>
      </c>
      <c r="AS231" s="65" t="s">
        <v>202</v>
      </c>
      <c r="AT231" s="65" t="s">
        <v>202</v>
      </c>
      <c r="AU231" s="65" t="s">
        <v>1438</v>
      </c>
      <c r="AV231" s="65" t="s">
        <v>198</v>
      </c>
      <c r="AW231" s="65" t="s">
        <v>353</v>
      </c>
      <c r="AX231" s="65" t="s">
        <v>202</v>
      </c>
      <c r="AY231" s="65" t="s">
        <v>353</v>
      </c>
    </row>
    <row r="232" spans="1:51" x14ac:dyDescent="0.2">
      <c r="A232" s="65" t="s">
        <v>1313</v>
      </c>
      <c r="B232" s="65" t="s">
        <v>693</v>
      </c>
      <c r="C232" s="65" t="s">
        <v>694</v>
      </c>
      <c r="D232" s="65" t="s">
        <v>2103</v>
      </c>
      <c r="E232" s="65" t="s">
        <v>353</v>
      </c>
      <c r="F232" s="65" t="s">
        <v>1415</v>
      </c>
      <c r="G232" s="65" t="s">
        <v>1416</v>
      </c>
      <c r="H232" s="65" t="s">
        <v>1417</v>
      </c>
      <c r="I232" s="65" t="s">
        <v>1418</v>
      </c>
      <c r="J232" s="65">
        <v>3144341774</v>
      </c>
      <c r="K232" s="65" t="s">
        <v>2051</v>
      </c>
      <c r="L232" s="65" t="s">
        <v>2052</v>
      </c>
      <c r="M232" s="65" t="s">
        <v>363</v>
      </c>
      <c r="N232" s="65" t="s">
        <v>2053</v>
      </c>
      <c r="O232" s="65" t="s">
        <v>1422</v>
      </c>
      <c r="P232" s="65" t="s">
        <v>1423</v>
      </c>
      <c r="Q232" s="65" t="s">
        <v>1424</v>
      </c>
      <c r="R232" s="65" t="s">
        <v>1425</v>
      </c>
      <c r="S232" s="65" t="s">
        <v>1426</v>
      </c>
      <c r="T232" s="65" t="s">
        <v>1427</v>
      </c>
      <c r="U232" s="65" t="s">
        <v>1428</v>
      </c>
      <c r="V232" s="65" t="s">
        <v>1429</v>
      </c>
      <c r="W232" s="65" t="s">
        <v>1430</v>
      </c>
      <c r="X232" s="65" t="s">
        <v>1431</v>
      </c>
      <c r="Y232" s="65" t="s">
        <v>1441</v>
      </c>
      <c r="Z232" s="65" t="s">
        <v>1313</v>
      </c>
      <c r="AA232" s="65" t="s">
        <v>2104</v>
      </c>
      <c r="AB232" s="65">
        <v>3</v>
      </c>
      <c r="AC232" s="65" t="s">
        <v>2105</v>
      </c>
      <c r="AD232" s="65" t="s">
        <v>1588</v>
      </c>
      <c r="AE232" s="65" t="s">
        <v>2106</v>
      </c>
      <c r="AF232" s="65" t="s">
        <v>1437</v>
      </c>
      <c r="AG232" s="65">
        <v>1</v>
      </c>
      <c r="AH232" s="65">
        <v>1</v>
      </c>
      <c r="AI232" s="65">
        <v>2</v>
      </c>
      <c r="AJ232" s="65">
        <v>2</v>
      </c>
      <c r="AK232" s="65" t="s">
        <v>202</v>
      </c>
      <c r="AL232" s="128">
        <v>45808</v>
      </c>
      <c r="AM232" s="65">
        <v>6</v>
      </c>
      <c r="AN232" s="65">
        <v>1</v>
      </c>
      <c r="AO232" s="65" t="s">
        <v>202</v>
      </c>
      <c r="AP232" s="65">
        <v>3</v>
      </c>
      <c r="AQ232" s="65" t="s">
        <v>354</v>
      </c>
      <c r="AR232" s="65" t="s">
        <v>353</v>
      </c>
      <c r="AS232" s="65" t="s">
        <v>202</v>
      </c>
      <c r="AT232" s="65" t="s">
        <v>202</v>
      </c>
      <c r="AU232" s="65" t="s">
        <v>1438</v>
      </c>
      <c r="AV232" s="65" t="s">
        <v>1439</v>
      </c>
      <c r="AW232" s="65" t="s">
        <v>353</v>
      </c>
      <c r="AX232" s="65" t="s">
        <v>202</v>
      </c>
      <c r="AY232" s="65" t="s">
        <v>353</v>
      </c>
    </row>
    <row r="233" spans="1:51" x14ac:dyDescent="0.2">
      <c r="A233" s="65" t="s">
        <v>1341</v>
      </c>
      <c r="B233" s="65" t="s">
        <v>796</v>
      </c>
      <c r="C233" s="65" t="s">
        <v>797</v>
      </c>
      <c r="D233" s="65" t="s">
        <v>2107</v>
      </c>
      <c r="E233" s="65" t="s">
        <v>353</v>
      </c>
      <c r="F233" s="65" t="s">
        <v>1820</v>
      </c>
      <c r="G233" s="65" t="s">
        <v>1821</v>
      </c>
      <c r="H233" s="65" t="s">
        <v>2108</v>
      </c>
      <c r="I233" s="65" t="s">
        <v>2109</v>
      </c>
      <c r="J233" s="65">
        <v>3144343275</v>
      </c>
      <c r="K233" s="65" t="s">
        <v>2110</v>
      </c>
      <c r="L233" s="65" t="s">
        <v>2111</v>
      </c>
      <c r="M233" s="65" t="s">
        <v>362</v>
      </c>
      <c r="N233" s="65" t="s">
        <v>2112</v>
      </c>
      <c r="O233" s="65" t="s">
        <v>2113</v>
      </c>
      <c r="P233" s="65" t="s">
        <v>2114</v>
      </c>
      <c r="Q233" s="65" t="s">
        <v>2115</v>
      </c>
      <c r="R233" s="65" t="s">
        <v>2116</v>
      </c>
      <c r="S233" s="65" t="s">
        <v>2117</v>
      </c>
      <c r="T233" s="65" t="s">
        <v>2118</v>
      </c>
      <c r="U233" s="65" t="s">
        <v>2119</v>
      </c>
      <c r="V233" s="65" t="s">
        <v>2120</v>
      </c>
      <c r="W233" s="65" t="s">
        <v>2121</v>
      </c>
      <c r="X233" s="65" t="s">
        <v>2122</v>
      </c>
      <c r="Y233" s="65" t="s">
        <v>2123</v>
      </c>
      <c r="Z233" s="65" t="s">
        <v>1853</v>
      </c>
      <c r="AA233" s="65" t="s">
        <v>2124</v>
      </c>
      <c r="AB233" s="65">
        <v>2</v>
      </c>
      <c r="AC233" s="65" t="s">
        <v>1490</v>
      </c>
      <c r="AD233" s="65" t="s">
        <v>2125</v>
      </c>
      <c r="AE233" s="65" t="s">
        <v>2126</v>
      </c>
      <c r="AF233" s="65" t="s">
        <v>1437</v>
      </c>
      <c r="AG233" s="65">
        <v>2</v>
      </c>
      <c r="AH233" s="65">
        <v>2</v>
      </c>
      <c r="AI233" s="65">
        <v>3</v>
      </c>
      <c r="AJ233" s="65">
        <v>2</v>
      </c>
      <c r="AK233" s="65" t="s">
        <v>353</v>
      </c>
      <c r="AL233" s="128">
        <v>45059</v>
      </c>
      <c r="AM233" s="65">
        <v>6</v>
      </c>
      <c r="AN233" s="65">
        <v>3</v>
      </c>
      <c r="AO233" s="65" t="s">
        <v>353</v>
      </c>
      <c r="AP233" s="65">
        <v>2</v>
      </c>
      <c r="AQ233" s="65" t="s">
        <v>355</v>
      </c>
      <c r="AR233" s="65" t="s">
        <v>202</v>
      </c>
      <c r="AS233" s="65">
        <v>1</v>
      </c>
      <c r="AT233" s="65">
        <v>1</v>
      </c>
      <c r="AU233" s="65" t="s">
        <v>1438</v>
      </c>
      <c r="AV233" s="65" t="s">
        <v>1439</v>
      </c>
      <c r="AW233" s="65" t="s">
        <v>202</v>
      </c>
      <c r="AX233" s="65" t="s">
        <v>353</v>
      </c>
      <c r="AY233" s="65" t="s">
        <v>353</v>
      </c>
    </row>
    <row r="234" spans="1:51" x14ac:dyDescent="0.2">
      <c r="A234" s="65" t="s">
        <v>1341</v>
      </c>
      <c r="B234" s="65" t="s">
        <v>794</v>
      </c>
      <c r="C234" s="65" t="s">
        <v>795</v>
      </c>
      <c r="D234" s="65" t="s">
        <v>2127</v>
      </c>
      <c r="E234" s="65" t="s">
        <v>353</v>
      </c>
      <c r="F234" s="65" t="s">
        <v>1820</v>
      </c>
      <c r="G234" s="65" t="s">
        <v>1821</v>
      </c>
      <c r="H234" s="65" t="s">
        <v>2108</v>
      </c>
      <c r="I234" s="65" t="s">
        <v>2109</v>
      </c>
      <c r="J234" s="65">
        <v>3144343275</v>
      </c>
      <c r="K234" s="65" t="s">
        <v>2110</v>
      </c>
      <c r="L234" s="65" t="s">
        <v>2111</v>
      </c>
      <c r="M234" s="65" t="s">
        <v>362</v>
      </c>
      <c r="N234" s="65" t="s">
        <v>2112</v>
      </c>
      <c r="O234" s="65" t="s">
        <v>2113</v>
      </c>
      <c r="P234" s="65" t="s">
        <v>2114</v>
      </c>
      <c r="Q234" s="65" t="s">
        <v>2115</v>
      </c>
      <c r="R234" s="65" t="s">
        <v>2116</v>
      </c>
      <c r="S234" s="65" t="s">
        <v>2117</v>
      </c>
      <c r="T234" s="65" t="s">
        <v>2118</v>
      </c>
      <c r="U234" s="65" t="s">
        <v>2119</v>
      </c>
      <c r="V234" s="65" t="s">
        <v>2120</v>
      </c>
      <c r="W234" s="65" t="s">
        <v>2121</v>
      </c>
      <c r="X234" s="65" t="s">
        <v>2122</v>
      </c>
      <c r="Y234" s="65" t="s">
        <v>2123</v>
      </c>
      <c r="Z234" s="65" t="s">
        <v>1853</v>
      </c>
      <c r="AA234" s="65" t="s">
        <v>2128</v>
      </c>
      <c r="AB234" s="65">
        <v>3</v>
      </c>
      <c r="AC234" s="65" t="s">
        <v>2129</v>
      </c>
      <c r="AD234" s="65" t="s">
        <v>2130</v>
      </c>
      <c r="AE234" s="65" t="s">
        <v>2131</v>
      </c>
      <c r="AF234" s="65" t="s">
        <v>1437</v>
      </c>
      <c r="AG234" s="65">
        <v>1</v>
      </c>
      <c r="AH234" s="65">
        <v>2</v>
      </c>
      <c r="AI234" s="65">
        <v>3</v>
      </c>
      <c r="AJ234" s="65">
        <v>2</v>
      </c>
      <c r="AK234" s="65" t="s">
        <v>353</v>
      </c>
      <c r="AL234" s="128">
        <v>44960</v>
      </c>
      <c r="AM234" s="65">
        <v>6</v>
      </c>
      <c r="AN234" s="65">
        <v>2</v>
      </c>
      <c r="AO234" s="65" t="s">
        <v>353</v>
      </c>
      <c r="AP234" s="65">
        <v>2</v>
      </c>
      <c r="AQ234" s="65" t="s">
        <v>355</v>
      </c>
      <c r="AR234" s="65" t="s">
        <v>202</v>
      </c>
      <c r="AS234" s="65">
        <v>1</v>
      </c>
      <c r="AT234" s="65">
        <v>1</v>
      </c>
      <c r="AU234" s="65" t="s">
        <v>1438</v>
      </c>
      <c r="AV234" s="65" t="s">
        <v>1439</v>
      </c>
      <c r="AW234" s="65" t="s">
        <v>202</v>
      </c>
      <c r="AX234" s="65" t="s">
        <v>353</v>
      </c>
      <c r="AY234" s="65" t="s">
        <v>353</v>
      </c>
    </row>
    <row r="235" spans="1:51" x14ac:dyDescent="0.2">
      <c r="A235" s="65" t="s">
        <v>1341</v>
      </c>
      <c r="B235" s="65" t="s">
        <v>723</v>
      </c>
      <c r="C235" s="65" t="s">
        <v>724</v>
      </c>
      <c r="D235" s="65" t="s">
        <v>2132</v>
      </c>
      <c r="E235" s="65" t="s">
        <v>353</v>
      </c>
      <c r="F235" s="65" t="s">
        <v>1820</v>
      </c>
      <c r="G235" s="65" t="s">
        <v>1821</v>
      </c>
      <c r="H235" s="65" t="s">
        <v>2108</v>
      </c>
      <c r="I235" s="65" t="s">
        <v>2109</v>
      </c>
      <c r="J235" s="65">
        <v>3144343275</v>
      </c>
      <c r="K235" s="65" t="s">
        <v>2110</v>
      </c>
      <c r="L235" s="65" t="s">
        <v>2111</v>
      </c>
      <c r="M235" s="65" t="s">
        <v>362</v>
      </c>
      <c r="N235" s="65" t="s">
        <v>2112</v>
      </c>
      <c r="O235" s="65" t="s">
        <v>2113</v>
      </c>
      <c r="P235" s="65" t="s">
        <v>2114</v>
      </c>
      <c r="Q235" s="65" t="s">
        <v>2115</v>
      </c>
      <c r="R235" s="65" t="s">
        <v>2116</v>
      </c>
      <c r="S235" s="65" t="s">
        <v>2117</v>
      </c>
      <c r="T235" s="65" t="s">
        <v>2118</v>
      </c>
      <c r="U235" s="65" t="s">
        <v>2119</v>
      </c>
      <c r="V235" s="65" t="s">
        <v>2120</v>
      </c>
      <c r="W235" s="65" t="s">
        <v>2121</v>
      </c>
      <c r="X235" s="65" t="s">
        <v>2122</v>
      </c>
      <c r="Y235" s="65" t="s">
        <v>2123</v>
      </c>
      <c r="Z235" s="65" t="s">
        <v>1853</v>
      </c>
      <c r="AA235" s="65" t="s">
        <v>2133</v>
      </c>
      <c r="AB235" s="65">
        <v>4</v>
      </c>
      <c r="AC235" s="65" t="s">
        <v>2134</v>
      </c>
      <c r="AD235" s="65" t="s">
        <v>2135</v>
      </c>
      <c r="AE235" s="65" t="s">
        <v>2136</v>
      </c>
      <c r="AF235" s="65" t="s">
        <v>1437</v>
      </c>
      <c r="AG235" s="65">
        <v>2</v>
      </c>
      <c r="AH235" s="65">
        <v>1</v>
      </c>
      <c r="AI235" s="65">
        <v>2</v>
      </c>
      <c r="AJ235" s="65">
        <v>2</v>
      </c>
      <c r="AK235" s="65" t="s">
        <v>202</v>
      </c>
      <c r="AL235" s="129">
        <v>45219</v>
      </c>
      <c r="AM235" s="65">
        <v>4</v>
      </c>
      <c r="AN235" s="65">
        <v>1</v>
      </c>
      <c r="AO235" s="65" t="s">
        <v>202</v>
      </c>
      <c r="AP235" s="65">
        <v>2</v>
      </c>
      <c r="AQ235" s="65" t="s">
        <v>355</v>
      </c>
      <c r="AR235" s="65" t="s">
        <v>202</v>
      </c>
      <c r="AS235" s="65">
        <v>1</v>
      </c>
      <c r="AT235" s="65">
        <v>1</v>
      </c>
      <c r="AU235" s="65" t="s">
        <v>1438</v>
      </c>
      <c r="AV235" s="65" t="s">
        <v>198</v>
      </c>
      <c r="AW235" s="65" t="s">
        <v>202</v>
      </c>
      <c r="AX235" s="65" t="s">
        <v>353</v>
      </c>
      <c r="AY235" s="65" t="s">
        <v>353</v>
      </c>
    </row>
    <row r="236" spans="1:51" x14ac:dyDescent="0.2">
      <c r="A236" s="65" t="s">
        <v>1341</v>
      </c>
      <c r="B236" s="65" t="s">
        <v>733</v>
      </c>
      <c r="C236" s="65" t="s">
        <v>734</v>
      </c>
      <c r="D236" s="65" t="s">
        <v>2137</v>
      </c>
      <c r="E236" s="65" t="s">
        <v>353</v>
      </c>
      <c r="F236" s="65" t="s">
        <v>1820</v>
      </c>
      <c r="G236" s="65" t="s">
        <v>1821</v>
      </c>
      <c r="H236" s="65" t="s">
        <v>2108</v>
      </c>
      <c r="I236" s="65" t="s">
        <v>2109</v>
      </c>
      <c r="J236" s="65">
        <v>3144343275</v>
      </c>
      <c r="K236" s="65" t="s">
        <v>2110</v>
      </c>
      <c r="L236" s="65" t="s">
        <v>2111</v>
      </c>
      <c r="M236" s="65" t="s">
        <v>362</v>
      </c>
      <c r="N236" s="65" t="s">
        <v>2112</v>
      </c>
      <c r="O236" s="65" t="s">
        <v>2113</v>
      </c>
      <c r="P236" s="65" t="s">
        <v>2114</v>
      </c>
      <c r="Q236" s="65" t="s">
        <v>2115</v>
      </c>
      <c r="R236" s="65" t="s">
        <v>2116</v>
      </c>
      <c r="S236" s="65" t="s">
        <v>2117</v>
      </c>
      <c r="T236" s="65" t="s">
        <v>2118</v>
      </c>
      <c r="U236" s="65" t="s">
        <v>2119</v>
      </c>
      <c r="V236" s="65" t="s">
        <v>2120</v>
      </c>
      <c r="W236" s="65" t="s">
        <v>2121</v>
      </c>
      <c r="X236" s="65" t="s">
        <v>2122</v>
      </c>
      <c r="Y236" s="65" t="s">
        <v>2123</v>
      </c>
      <c r="Z236" s="65" t="s">
        <v>1853</v>
      </c>
      <c r="AA236" s="65" t="s">
        <v>2138</v>
      </c>
      <c r="AB236" s="65">
        <v>2</v>
      </c>
      <c r="AC236" s="65" t="s">
        <v>2059</v>
      </c>
      <c r="AD236" s="65" t="s">
        <v>1588</v>
      </c>
      <c r="AE236" s="65" t="s">
        <v>2139</v>
      </c>
      <c r="AF236" s="65" t="s">
        <v>1437</v>
      </c>
      <c r="AG236" s="65">
        <v>1</v>
      </c>
      <c r="AH236" s="65">
        <v>1</v>
      </c>
      <c r="AI236" s="65">
        <v>2</v>
      </c>
      <c r="AJ236" s="65">
        <v>2</v>
      </c>
      <c r="AK236" s="65" t="s">
        <v>202</v>
      </c>
      <c r="AL236" s="128">
        <v>45777</v>
      </c>
      <c r="AM236" s="65">
        <v>6</v>
      </c>
      <c r="AN236" s="65">
        <v>2</v>
      </c>
      <c r="AO236" s="65" t="s">
        <v>202</v>
      </c>
      <c r="AP236" s="65">
        <v>3</v>
      </c>
      <c r="AQ236" s="65" t="s">
        <v>352</v>
      </c>
      <c r="AR236" s="65" t="s">
        <v>353</v>
      </c>
      <c r="AS236" s="65">
        <v>0</v>
      </c>
      <c r="AT236" s="65">
        <v>0</v>
      </c>
      <c r="AU236" s="65" t="s">
        <v>1438</v>
      </c>
      <c r="AV236" s="65" t="s">
        <v>1439</v>
      </c>
      <c r="AW236" s="65" t="s">
        <v>202</v>
      </c>
      <c r="AX236" s="65" t="s">
        <v>202</v>
      </c>
      <c r="AY236" s="65" t="s">
        <v>353</v>
      </c>
    </row>
    <row r="237" spans="1:51" x14ac:dyDescent="0.2">
      <c r="A237" s="65" t="s">
        <v>1341</v>
      </c>
      <c r="B237" s="65" t="s">
        <v>711</v>
      </c>
      <c r="C237" s="65" t="s">
        <v>712</v>
      </c>
      <c r="D237" s="65" t="s">
        <v>2140</v>
      </c>
      <c r="E237" s="65" t="s">
        <v>353</v>
      </c>
      <c r="F237" s="65" t="s">
        <v>1820</v>
      </c>
      <c r="G237" s="65" t="s">
        <v>1821</v>
      </c>
      <c r="H237" s="65" t="s">
        <v>2108</v>
      </c>
      <c r="I237" s="65" t="s">
        <v>2109</v>
      </c>
      <c r="J237" s="65">
        <v>3144343275</v>
      </c>
      <c r="K237" s="65" t="s">
        <v>2110</v>
      </c>
      <c r="L237" s="65" t="s">
        <v>2111</v>
      </c>
      <c r="M237" s="65" t="s">
        <v>362</v>
      </c>
      <c r="N237" s="65" t="s">
        <v>2112</v>
      </c>
      <c r="O237" s="65" t="s">
        <v>2113</v>
      </c>
      <c r="P237" s="65" t="s">
        <v>2114</v>
      </c>
      <c r="Q237" s="65" t="s">
        <v>2115</v>
      </c>
      <c r="R237" s="65" t="s">
        <v>2116</v>
      </c>
      <c r="S237" s="65" t="s">
        <v>2117</v>
      </c>
      <c r="T237" s="65" t="s">
        <v>2118</v>
      </c>
      <c r="U237" s="65" t="s">
        <v>2119</v>
      </c>
      <c r="V237" s="65" t="s">
        <v>2120</v>
      </c>
      <c r="W237" s="65" t="s">
        <v>2121</v>
      </c>
      <c r="X237" s="65" t="s">
        <v>2122</v>
      </c>
      <c r="Y237" s="65" t="s">
        <v>2123</v>
      </c>
      <c r="Z237" s="65" t="s">
        <v>1853</v>
      </c>
      <c r="AA237" s="65" t="s">
        <v>2141</v>
      </c>
      <c r="AB237" s="65">
        <v>2</v>
      </c>
      <c r="AC237" s="65" t="s">
        <v>1588</v>
      </c>
      <c r="AD237" s="65" t="s">
        <v>2142</v>
      </c>
      <c r="AE237" s="65" t="s">
        <v>2143</v>
      </c>
      <c r="AF237" s="65" t="s">
        <v>1437</v>
      </c>
      <c r="AG237" s="65">
        <v>1</v>
      </c>
      <c r="AH237" s="65">
        <v>1</v>
      </c>
      <c r="AI237" s="65">
        <v>2</v>
      </c>
      <c r="AJ237" s="65">
        <v>2</v>
      </c>
      <c r="AK237" s="65" t="s">
        <v>353</v>
      </c>
      <c r="AL237" s="128">
        <v>45000</v>
      </c>
      <c r="AM237" s="65">
        <v>4</v>
      </c>
      <c r="AN237" s="65">
        <v>1</v>
      </c>
      <c r="AO237" s="65" t="s">
        <v>202</v>
      </c>
      <c r="AP237" s="65">
        <v>2</v>
      </c>
      <c r="AQ237" s="65" t="s">
        <v>352</v>
      </c>
      <c r="AR237" s="65" t="s">
        <v>202</v>
      </c>
      <c r="AS237" s="65">
        <v>1</v>
      </c>
      <c r="AT237" s="65">
        <v>1</v>
      </c>
      <c r="AU237" s="65" t="s">
        <v>1529</v>
      </c>
      <c r="AV237" s="65" t="s">
        <v>1439</v>
      </c>
      <c r="AW237" s="65" t="s">
        <v>202</v>
      </c>
      <c r="AX237" s="65" t="s">
        <v>202</v>
      </c>
      <c r="AY237" s="65" t="s">
        <v>353</v>
      </c>
    </row>
    <row r="238" spans="1:51" x14ac:dyDescent="0.2">
      <c r="A238" s="65" t="s">
        <v>1341</v>
      </c>
      <c r="B238" s="65" t="s">
        <v>703</v>
      </c>
      <c r="C238" s="65" t="s">
        <v>704</v>
      </c>
      <c r="D238" s="65" t="s">
        <v>2144</v>
      </c>
      <c r="E238" s="65" t="s">
        <v>353</v>
      </c>
      <c r="F238" s="65" t="s">
        <v>1820</v>
      </c>
      <c r="G238" s="65" t="s">
        <v>1821</v>
      </c>
      <c r="H238" s="65" t="s">
        <v>2108</v>
      </c>
      <c r="I238" s="65" t="s">
        <v>2109</v>
      </c>
      <c r="J238" s="65">
        <v>3144343275</v>
      </c>
      <c r="K238" s="65" t="s">
        <v>2110</v>
      </c>
      <c r="L238" s="65" t="s">
        <v>2111</v>
      </c>
      <c r="M238" s="65" t="s">
        <v>362</v>
      </c>
      <c r="N238" s="65" t="s">
        <v>2112</v>
      </c>
      <c r="O238" s="65" t="s">
        <v>2113</v>
      </c>
      <c r="P238" s="65" t="s">
        <v>2114</v>
      </c>
      <c r="Q238" s="65" t="s">
        <v>2115</v>
      </c>
      <c r="R238" s="65" t="s">
        <v>2116</v>
      </c>
      <c r="S238" s="65" t="s">
        <v>2117</v>
      </c>
      <c r="T238" s="65" t="s">
        <v>2118</v>
      </c>
      <c r="U238" s="65" t="s">
        <v>2119</v>
      </c>
      <c r="V238" s="65" t="s">
        <v>2120</v>
      </c>
      <c r="W238" s="65" t="s">
        <v>2121</v>
      </c>
      <c r="X238" s="65" t="s">
        <v>2122</v>
      </c>
      <c r="Y238" s="65" t="s">
        <v>2123</v>
      </c>
      <c r="Z238" s="65" t="s">
        <v>1853</v>
      </c>
      <c r="AA238" s="65" t="s">
        <v>2145</v>
      </c>
      <c r="AB238" s="65">
        <v>3</v>
      </c>
      <c r="AC238" s="65" t="s">
        <v>1449</v>
      </c>
      <c r="AD238" s="65" t="s">
        <v>2146</v>
      </c>
      <c r="AE238" s="65" t="s">
        <v>2147</v>
      </c>
      <c r="AF238" s="65" t="s">
        <v>1437</v>
      </c>
      <c r="AG238" s="65">
        <v>1</v>
      </c>
      <c r="AH238" s="65">
        <v>1</v>
      </c>
      <c r="AI238" s="65">
        <v>2</v>
      </c>
      <c r="AJ238" s="65">
        <v>2</v>
      </c>
      <c r="AK238" s="65" t="s">
        <v>202</v>
      </c>
      <c r="AL238" s="129">
        <v>45219</v>
      </c>
      <c r="AM238" s="65">
        <v>4</v>
      </c>
      <c r="AN238" s="65">
        <v>2</v>
      </c>
      <c r="AO238" s="65" t="s">
        <v>202</v>
      </c>
      <c r="AP238" s="65">
        <v>2</v>
      </c>
      <c r="AQ238" s="65" t="s">
        <v>352</v>
      </c>
      <c r="AR238" s="65" t="s">
        <v>202</v>
      </c>
      <c r="AS238" s="65">
        <v>1</v>
      </c>
      <c r="AT238" s="65">
        <v>1</v>
      </c>
      <c r="AU238" s="65" t="s">
        <v>1529</v>
      </c>
      <c r="AV238" s="65" t="s">
        <v>1439</v>
      </c>
      <c r="AW238" s="65" t="s">
        <v>202</v>
      </c>
      <c r="AX238" s="65" t="s">
        <v>202</v>
      </c>
      <c r="AY238" s="65" t="s">
        <v>202</v>
      </c>
    </row>
    <row r="239" spans="1:51" x14ac:dyDescent="0.2">
      <c r="A239" s="65" t="s">
        <v>1341</v>
      </c>
      <c r="B239" s="65" t="s">
        <v>707</v>
      </c>
      <c r="C239" s="65" t="s">
        <v>708</v>
      </c>
      <c r="D239" s="65" t="s">
        <v>2148</v>
      </c>
      <c r="E239" s="65" t="s">
        <v>353</v>
      </c>
      <c r="F239" s="65" t="s">
        <v>1820</v>
      </c>
      <c r="G239" s="65" t="s">
        <v>1821</v>
      </c>
      <c r="H239" s="65" t="s">
        <v>2108</v>
      </c>
      <c r="I239" s="65" t="s">
        <v>2109</v>
      </c>
      <c r="J239" s="65">
        <v>3144343275</v>
      </c>
      <c r="K239" s="65" t="s">
        <v>2110</v>
      </c>
      <c r="L239" s="65" t="s">
        <v>2111</v>
      </c>
      <c r="M239" s="65" t="s">
        <v>362</v>
      </c>
      <c r="N239" s="65" t="s">
        <v>2112</v>
      </c>
      <c r="O239" s="65" t="s">
        <v>2113</v>
      </c>
      <c r="P239" s="65" t="s">
        <v>2114</v>
      </c>
      <c r="Q239" s="65" t="s">
        <v>2115</v>
      </c>
      <c r="R239" s="65" t="s">
        <v>2116</v>
      </c>
      <c r="S239" s="65" t="s">
        <v>2117</v>
      </c>
      <c r="T239" s="65" t="s">
        <v>2118</v>
      </c>
      <c r="U239" s="65" t="s">
        <v>2119</v>
      </c>
      <c r="V239" s="65" t="s">
        <v>2120</v>
      </c>
      <c r="W239" s="65" t="s">
        <v>2121</v>
      </c>
      <c r="X239" s="65" t="s">
        <v>2122</v>
      </c>
      <c r="Y239" s="65" t="s">
        <v>2123</v>
      </c>
      <c r="Z239" s="65" t="s">
        <v>1853</v>
      </c>
      <c r="AA239" s="65" t="s">
        <v>2149</v>
      </c>
      <c r="AB239" s="65">
        <v>2</v>
      </c>
      <c r="AC239" s="65" t="s">
        <v>2150</v>
      </c>
      <c r="AD239" s="65" t="s">
        <v>2151</v>
      </c>
      <c r="AE239" s="65" t="s">
        <v>2152</v>
      </c>
      <c r="AF239" s="65" t="s">
        <v>1437</v>
      </c>
      <c r="AG239" s="65">
        <v>2</v>
      </c>
      <c r="AH239" s="65">
        <v>1</v>
      </c>
      <c r="AI239" s="65">
        <v>3</v>
      </c>
      <c r="AJ239" s="65">
        <v>2</v>
      </c>
      <c r="AK239" s="65" t="s">
        <v>353</v>
      </c>
      <c r="AL239" s="128">
        <v>44960</v>
      </c>
      <c r="AM239" s="65">
        <v>4</v>
      </c>
      <c r="AN239" s="65">
        <v>3</v>
      </c>
      <c r="AO239" s="65" t="s">
        <v>202</v>
      </c>
      <c r="AP239" s="65">
        <v>3</v>
      </c>
      <c r="AQ239" s="65" t="s">
        <v>352</v>
      </c>
      <c r="AR239" s="65" t="s">
        <v>202</v>
      </c>
      <c r="AS239" s="65">
        <v>1</v>
      </c>
      <c r="AT239" s="65">
        <v>1</v>
      </c>
      <c r="AU239" s="65" t="s">
        <v>1438</v>
      </c>
      <c r="AV239" s="65" t="s">
        <v>1439</v>
      </c>
      <c r="AW239" s="65" t="s">
        <v>202</v>
      </c>
      <c r="AX239" s="65" t="s">
        <v>353</v>
      </c>
      <c r="AY239" s="65" t="s">
        <v>353</v>
      </c>
    </row>
    <row r="240" spans="1:51" x14ac:dyDescent="0.2">
      <c r="A240" s="65" t="s">
        <v>1341</v>
      </c>
      <c r="B240" s="65" t="s">
        <v>1013</v>
      </c>
      <c r="C240" s="65" t="s">
        <v>1014</v>
      </c>
      <c r="D240" s="65" t="s">
        <v>2153</v>
      </c>
      <c r="E240" s="65" t="s">
        <v>353</v>
      </c>
      <c r="F240" s="65" t="s">
        <v>1820</v>
      </c>
      <c r="G240" s="65" t="s">
        <v>1821</v>
      </c>
      <c r="H240" s="65" t="s">
        <v>2108</v>
      </c>
      <c r="I240" s="65" t="s">
        <v>2109</v>
      </c>
      <c r="J240" s="65">
        <v>3144343275</v>
      </c>
      <c r="K240" s="65" t="s">
        <v>2110</v>
      </c>
      <c r="L240" s="65" t="s">
        <v>2111</v>
      </c>
      <c r="M240" s="65" t="s">
        <v>362</v>
      </c>
      <c r="N240" s="65" t="s">
        <v>2112</v>
      </c>
      <c r="O240" s="65" t="s">
        <v>2113</v>
      </c>
      <c r="P240" s="65" t="s">
        <v>2114</v>
      </c>
      <c r="Q240" s="65" t="s">
        <v>2115</v>
      </c>
      <c r="R240" s="65" t="s">
        <v>2116</v>
      </c>
      <c r="S240" s="65" t="s">
        <v>2117</v>
      </c>
      <c r="T240" s="65" t="s">
        <v>2118</v>
      </c>
      <c r="U240" s="65" t="s">
        <v>2119</v>
      </c>
      <c r="V240" s="65" t="s">
        <v>2120</v>
      </c>
      <c r="W240" s="65" t="s">
        <v>2121</v>
      </c>
      <c r="X240" s="65" t="s">
        <v>2122</v>
      </c>
      <c r="Y240" s="65" t="s">
        <v>2123</v>
      </c>
      <c r="Z240" s="65" t="s">
        <v>1853</v>
      </c>
      <c r="AA240" s="65" t="s">
        <v>2154</v>
      </c>
      <c r="AB240" s="65">
        <v>3</v>
      </c>
      <c r="AC240" s="65" t="s">
        <v>2155</v>
      </c>
      <c r="AD240" s="65" t="s">
        <v>2156</v>
      </c>
      <c r="AE240" s="65" t="s">
        <v>2157</v>
      </c>
      <c r="AF240" s="65" t="s">
        <v>1437</v>
      </c>
      <c r="AG240" s="65">
        <v>1</v>
      </c>
      <c r="AH240" s="65">
        <v>2</v>
      </c>
      <c r="AI240" s="65">
        <v>2</v>
      </c>
      <c r="AJ240" s="65">
        <v>2</v>
      </c>
      <c r="AK240" s="65" t="s">
        <v>353</v>
      </c>
      <c r="AL240" s="128">
        <v>45059</v>
      </c>
      <c r="AM240" s="65">
        <v>4</v>
      </c>
      <c r="AN240" s="65">
        <v>2</v>
      </c>
      <c r="AO240" s="65" t="s">
        <v>353</v>
      </c>
      <c r="AP240" s="65">
        <v>2</v>
      </c>
      <c r="AQ240" s="65" t="s">
        <v>352</v>
      </c>
      <c r="AR240" s="65" t="s">
        <v>202</v>
      </c>
      <c r="AS240" s="65">
        <v>1</v>
      </c>
      <c r="AT240" s="65">
        <v>1</v>
      </c>
      <c r="AU240" s="65" t="s">
        <v>1529</v>
      </c>
      <c r="AV240" s="65" t="s">
        <v>1439</v>
      </c>
      <c r="AW240" s="65" t="s">
        <v>202</v>
      </c>
      <c r="AX240" s="65" t="s">
        <v>202</v>
      </c>
      <c r="AY240" s="65" t="s">
        <v>202</v>
      </c>
    </row>
    <row r="241" spans="1:51" x14ac:dyDescent="0.2">
      <c r="A241" s="65" t="s">
        <v>1341</v>
      </c>
      <c r="B241" s="65" t="s">
        <v>505</v>
      </c>
      <c r="C241" s="65" t="s">
        <v>506</v>
      </c>
      <c r="D241" s="65" t="s">
        <v>2158</v>
      </c>
      <c r="E241" s="65" t="s">
        <v>353</v>
      </c>
      <c r="F241" s="65" t="s">
        <v>1820</v>
      </c>
      <c r="G241" s="65" t="s">
        <v>1821</v>
      </c>
      <c r="H241" s="65" t="s">
        <v>2108</v>
      </c>
      <c r="I241" s="65" t="s">
        <v>2109</v>
      </c>
      <c r="J241" s="65">
        <v>3144343275</v>
      </c>
      <c r="K241" s="65" t="s">
        <v>2159</v>
      </c>
      <c r="L241" s="65" t="s">
        <v>2160</v>
      </c>
      <c r="M241" s="65" t="s">
        <v>364</v>
      </c>
      <c r="N241" s="65" t="s">
        <v>2161</v>
      </c>
      <c r="O241" s="65" t="s">
        <v>2113</v>
      </c>
      <c r="P241" s="65" t="s">
        <v>2114</v>
      </c>
      <c r="Q241" s="65" t="s">
        <v>2115</v>
      </c>
      <c r="R241" s="65" t="s">
        <v>2116</v>
      </c>
      <c r="S241" s="65" t="s">
        <v>2117</v>
      </c>
      <c r="T241" s="65" t="s">
        <v>2118</v>
      </c>
      <c r="U241" s="65" t="s">
        <v>2119</v>
      </c>
      <c r="V241" s="65" t="s">
        <v>2120</v>
      </c>
      <c r="W241" s="65" t="s">
        <v>2121</v>
      </c>
      <c r="X241" s="65" t="s">
        <v>2122</v>
      </c>
      <c r="Y241" s="65" t="s">
        <v>1835</v>
      </c>
      <c r="Z241" s="65" t="s">
        <v>1827</v>
      </c>
      <c r="AA241" s="65" t="s">
        <v>2162</v>
      </c>
      <c r="AB241" s="65">
        <v>3</v>
      </c>
      <c r="AC241" s="65" t="s">
        <v>2163</v>
      </c>
      <c r="AD241" s="65" t="s">
        <v>2164</v>
      </c>
      <c r="AE241" s="65" t="s">
        <v>2165</v>
      </c>
      <c r="AF241" s="65" t="s">
        <v>1437</v>
      </c>
      <c r="AG241" s="65">
        <v>1</v>
      </c>
      <c r="AH241" s="65">
        <v>0</v>
      </c>
      <c r="AI241" s="65">
        <v>2</v>
      </c>
      <c r="AJ241" s="65">
        <v>2</v>
      </c>
      <c r="AK241" s="65" t="s">
        <v>202</v>
      </c>
      <c r="AL241" s="129">
        <v>44926</v>
      </c>
      <c r="AM241" s="65">
        <v>4</v>
      </c>
      <c r="AN241" s="65">
        <v>1</v>
      </c>
      <c r="AO241" s="65" t="s">
        <v>202</v>
      </c>
      <c r="AP241" s="65">
        <v>3</v>
      </c>
      <c r="AQ241" s="65" t="s">
        <v>355</v>
      </c>
      <c r="AR241" s="65" t="s">
        <v>202</v>
      </c>
      <c r="AS241" s="65">
        <v>1</v>
      </c>
      <c r="AT241" s="65">
        <v>1</v>
      </c>
      <c r="AU241" s="65" t="s">
        <v>1529</v>
      </c>
      <c r="AV241" s="65" t="s">
        <v>1439</v>
      </c>
      <c r="AW241" s="65" t="s">
        <v>202</v>
      </c>
      <c r="AX241" s="65" t="s">
        <v>353</v>
      </c>
      <c r="AY241" s="65" t="s">
        <v>202</v>
      </c>
    </row>
    <row r="242" spans="1:51" x14ac:dyDescent="0.2">
      <c r="A242" s="65" t="s">
        <v>1341</v>
      </c>
      <c r="B242" s="65" t="s">
        <v>810</v>
      </c>
      <c r="C242" s="65" t="s">
        <v>811</v>
      </c>
      <c r="D242" s="65" t="s">
        <v>2166</v>
      </c>
      <c r="E242" s="65" t="s">
        <v>353</v>
      </c>
      <c r="F242" s="65" t="s">
        <v>1820</v>
      </c>
      <c r="G242" s="65" t="s">
        <v>1821</v>
      </c>
      <c r="H242" s="65" t="s">
        <v>2108</v>
      </c>
      <c r="I242" s="65" t="s">
        <v>2109</v>
      </c>
      <c r="J242" s="65">
        <v>3144343275</v>
      </c>
      <c r="K242" s="65" t="s">
        <v>2159</v>
      </c>
      <c r="L242" s="65" t="s">
        <v>2160</v>
      </c>
      <c r="M242" s="65" t="s">
        <v>364</v>
      </c>
      <c r="N242" s="65" t="s">
        <v>2161</v>
      </c>
      <c r="O242" s="65" t="s">
        <v>2113</v>
      </c>
      <c r="P242" s="65" t="s">
        <v>2114</v>
      </c>
      <c r="Q242" s="65" t="s">
        <v>2115</v>
      </c>
      <c r="R242" s="65" t="s">
        <v>2116</v>
      </c>
      <c r="S242" s="65" t="s">
        <v>2117</v>
      </c>
      <c r="T242" s="65" t="s">
        <v>2118</v>
      </c>
      <c r="U242" s="65" t="s">
        <v>2119</v>
      </c>
      <c r="V242" s="65" t="s">
        <v>2120</v>
      </c>
      <c r="W242" s="65" t="s">
        <v>2121</v>
      </c>
      <c r="X242" s="65" t="s">
        <v>2122</v>
      </c>
      <c r="Y242" s="65" t="s">
        <v>1835</v>
      </c>
      <c r="Z242" s="65" t="s">
        <v>1827</v>
      </c>
      <c r="AA242" s="65" t="s">
        <v>2167</v>
      </c>
      <c r="AB242" s="65">
        <v>4</v>
      </c>
      <c r="AC242" s="65" t="s">
        <v>2040</v>
      </c>
      <c r="AD242" s="65" t="s">
        <v>1593</v>
      </c>
      <c r="AE242" s="65" t="s">
        <v>2168</v>
      </c>
      <c r="AF242" s="65" t="s">
        <v>1437</v>
      </c>
      <c r="AG242" s="65">
        <v>3</v>
      </c>
      <c r="AH242" s="65">
        <v>2</v>
      </c>
      <c r="AI242" s="65">
        <v>2</v>
      </c>
      <c r="AJ242" s="65">
        <v>2</v>
      </c>
      <c r="AK242" s="65" t="s">
        <v>202</v>
      </c>
      <c r="AL242" s="129">
        <v>45656</v>
      </c>
      <c r="AM242" s="65">
        <v>6</v>
      </c>
      <c r="AN242" s="65">
        <v>1</v>
      </c>
      <c r="AO242" s="65" t="s">
        <v>202</v>
      </c>
      <c r="AP242" s="65">
        <v>3</v>
      </c>
      <c r="AQ242" s="65" t="s">
        <v>354</v>
      </c>
      <c r="AR242" s="65" t="s">
        <v>353</v>
      </c>
      <c r="AS242" s="65">
        <v>0</v>
      </c>
      <c r="AT242" s="65">
        <v>0</v>
      </c>
      <c r="AU242" s="65" t="s">
        <v>1438</v>
      </c>
      <c r="AV242" s="65" t="s">
        <v>198</v>
      </c>
      <c r="AW242" s="65" t="s">
        <v>353</v>
      </c>
      <c r="AX242" s="65" t="s">
        <v>353</v>
      </c>
      <c r="AY242" s="65" t="s">
        <v>353</v>
      </c>
    </row>
    <row r="243" spans="1:51" x14ac:dyDescent="0.2">
      <c r="A243" s="65" t="s">
        <v>1341</v>
      </c>
      <c r="B243" s="65" t="s">
        <v>522</v>
      </c>
      <c r="C243" s="65" t="s">
        <v>523</v>
      </c>
      <c r="D243" s="65" t="s">
        <v>2169</v>
      </c>
      <c r="E243" s="65" t="s">
        <v>353</v>
      </c>
      <c r="F243" s="65" t="s">
        <v>1820</v>
      </c>
      <c r="G243" s="65" t="s">
        <v>1821</v>
      </c>
      <c r="H243" s="65" t="s">
        <v>2108</v>
      </c>
      <c r="I243" s="65" t="s">
        <v>2109</v>
      </c>
      <c r="J243" s="65">
        <v>3144343275</v>
      </c>
      <c r="K243" s="65" t="s">
        <v>2159</v>
      </c>
      <c r="L243" s="65" t="s">
        <v>2160</v>
      </c>
      <c r="M243" s="65" t="s">
        <v>364</v>
      </c>
      <c r="N243" s="65" t="s">
        <v>2161</v>
      </c>
      <c r="O243" s="65" t="s">
        <v>2113</v>
      </c>
      <c r="P243" s="65" t="s">
        <v>2114</v>
      </c>
      <c r="Q243" s="65" t="s">
        <v>2115</v>
      </c>
      <c r="R243" s="65" t="s">
        <v>2116</v>
      </c>
      <c r="S243" s="65" t="s">
        <v>2117</v>
      </c>
      <c r="T243" s="65" t="s">
        <v>2118</v>
      </c>
      <c r="U243" s="65" t="s">
        <v>2119</v>
      </c>
      <c r="V243" s="65" t="s">
        <v>2120</v>
      </c>
      <c r="W243" s="65" t="s">
        <v>2121</v>
      </c>
      <c r="X243" s="65" t="s">
        <v>2122</v>
      </c>
      <c r="Y243" s="65" t="s">
        <v>1835</v>
      </c>
      <c r="Z243" s="65" t="s">
        <v>1827</v>
      </c>
      <c r="AA243" s="65" t="s">
        <v>2170</v>
      </c>
      <c r="AB243" s="65">
        <v>3</v>
      </c>
      <c r="AC243" s="65" t="s">
        <v>2171</v>
      </c>
      <c r="AD243" s="65" t="s">
        <v>2172</v>
      </c>
      <c r="AE243" s="65" t="s">
        <v>2173</v>
      </c>
      <c r="AF243" s="65" t="s">
        <v>1437</v>
      </c>
      <c r="AG243" s="65">
        <v>2</v>
      </c>
      <c r="AH243" s="65">
        <v>0</v>
      </c>
      <c r="AI243" s="65">
        <v>2</v>
      </c>
      <c r="AJ243" s="65">
        <v>2</v>
      </c>
      <c r="AK243" s="65" t="s">
        <v>353</v>
      </c>
      <c r="AL243" s="128">
        <v>45021</v>
      </c>
      <c r="AM243" s="65">
        <v>4</v>
      </c>
      <c r="AN243" s="65">
        <v>2</v>
      </c>
      <c r="AO243" s="65" t="s">
        <v>353</v>
      </c>
      <c r="AP243" s="65">
        <v>2</v>
      </c>
      <c r="AQ243" s="65" t="s">
        <v>355</v>
      </c>
      <c r="AR243" s="65" t="s">
        <v>202</v>
      </c>
      <c r="AS243" s="65">
        <v>1</v>
      </c>
      <c r="AT243" s="65">
        <v>1</v>
      </c>
      <c r="AU243" s="65" t="s">
        <v>1438</v>
      </c>
      <c r="AV243" s="65" t="s">
        <v>1439</v>
      </c>
      <c r="AW243" s="65" t="s">
        <v>202</v>
      </c>
      <c r="AX243" s="65" t="s">
        <v>202</v>
      </c>
      <c r="AY243" s="65" t="s">
        <v>202</v>
      </c>
    </row>
    <row r="244" spans="1:51" x14ac:dyDescent="0.2">
      <c r="A244" s="65" t="s">
        <v>1341</v>
      </c>
      <c r="B244" s="65" t="s">
        <v>858</v>
      </c>
      <c r="C244" s="65" t="s">
        <v>859</v>
      </c>
      <c r="D244" s="65" t="s">
        <v>2174</v>
      </c>
      <c r="E244" s="65" t="s">
        <v>353</v>
      </c>
      <c r="F244" s="65" t="s">
        <v>1820</v>
      </c>
      <c r="G244" s="65" t="s">
        <v>1821</v>
      </c>
      <c r="H244" s="65" t="s">
        <v>2108</v>
      </c>
      <c r="I244" s="65" t="s">
        <v>2109</v>
      </c>
      <c r="J244" s="65">
        <v>3144343275</v>
      </c>
      <c r="K244" s="65" t="s">
        <v>2159</v>
      </c>
      <c r="L244" s="65" t="s">
        <v>2160</v>
      </c>
      <c r="M244" s="65" t="s">
        <v>364</v>
      </c>
      <c r="N244" s="65" t="s">
        <v>2161</v>
      </c>
      <c r="O244" s="65" t="s">
        <v>2113</v>
      </c>
      <c r="P244" s="65" t="s">
        <v>2114</v>
      </c>
      <c r="Q244" s="65" t="s">
        <v>2115</v>
      </c>
      <c r="R244" s="65" t="s">
        <v>2116</v>
      </c>
      <c r="S244" s="65" t="s">
        <v>2117</v>
      </c>
      <c r="T244" s="65" t="s">
        <v>2118</v>
      </c>
      <c r="U244" s="65" t="s">
        <v>2119</v>
      </c>
      <c r="V244" s="65" t="s">
        <v>2120</v>
      </c>
      <c r="W244" s="65" t="s">
        <v>2121</v>
      </c>
      <c r="X244" s="65" t="s">
        <v>2122</v>
      </c>
      <c r="Y244" s="65" t="s">
        <v>1835</v>
      </c>
      <c r="Z244" s="65" t="s">
        <v>1827</v>
      </c>
      <c r="AA244" s="65" t="s">
        <v>2175</v>
      </c>
      <c r="AB244" s="65">
        <v>3</v>
      </c>
      <c r="AC244" s="65" t="s">
        <v>2176</v>
      </c>
      <c r="AD244" s="65" t="s">
        <v>1465</v>
      </c>
      <c r="AE244" s="65" t="s">
        <v>2177</v>
      </c>
      <c r="AF244" s="65" t="s">
        <v>1437</v>
      </c>
      <c r="AG244" s="65">
        <v>2</v>
      </c>
      <c r="AH244" s="65">
        <v>3</v>
      </c>
      <c r="AI244" s="65">
        <v>2</v>
      </c>
      <c r="AJ244" s="65">
        <v>2</v>
      </c>
      <c r="AK244" s="65" t="s">
        <v>202</v>
      </c>
      <c r="AL244" s="129">
        <v>45576</v>
      </c>
      <c r="AM244" s="65">
        <v>6</v>
      </c>
      <c r="AN244" s="65">
        <v>1</v>
      </c>
      <c r="AO244" s="65" t="s">
        <v>202</v>
      </c>
      <c r="AP244" s="65">
        <v>5</v>
      </c>
      <c r="AQ244" s="65" t="s">
        <v>354</v>
      </c>
      <c r="AR244" s="65" t="s">
        <v>353</v>
      </c>
      <c r="AS244" s="65">
        <v>0</v>
      </c>
      <c r="AT244" s="65">
        <v>0</v>
      </c>
      <c r="AU244" s="65" t="s">
        <v>1438</v>
      </c>
      <c r="AV244" s="65" t="s">
        <v>1439</v>
      </c>
      <c r="AW244" s="65" t="s">
        <v>353</v>
      </c>
      <c r="AX244" s="65" t="s">
        <v>202</v>
      </c>
      <c r="AY244" s="65" t="s">
        <v>353</v>
      </c>
    </row>
    <row r="245" spans="1:51" x14ac:dyDescent="0.2">
      <c r="A245" s="65" t="s">
        <v>1341</v>
      </c>
      <c r="B245" s="65" t="s">
        <v>509</v>
      </c>
      <c r="C245" s="65" t="s">
        <v>510</v>
      </c>
      <c r="D245" s="65" t="s">
        <v>2178</v>
      </c>
      <c r="E245" s="65" t="s">
        <v>353</v>
      </c>
      <c r="F245" s="65" t="s">
        <v>1820</v>
      </c>
      <c r="G245" s="65" t="s">
        <v>1821</v>
      </c>
      <c r="H245" s="65" t="s">
        <v>2108</v>
      </c>
      <c r="I245" s="65" t="s">
        <v>2109</v>
      </c>
      <c r="J245" s="65">
        <v>3144343275</v>
      </c>
      <c r="K245" s="65" t="s">
        <v>2159</v>
      </c>
      <c r="L245" s="65" t="s">
        <v>2160</v>
      </c>
      <c r="M245" s="65" t="s">
        <v>364</v>
      </c>
      <c r="N245" s="65" t="s">
        <v>2161</v>
      </c>
      <c r="O245" s="65" t="s">
        <v>2113</v>
      </c>
      <c r="P245" s="65" t="s">
        <v>2114</v>
      </c>
      <c r="Q245" s="65" t="s">
        <v>2115</v>
      </c>
      <c r="R245" s="65" t="s">
        <v>2116</v>
      </c>
      <c r="S245" s="65" t="s">
        <v>2117</v>
      </c>
      <c r="T245" s="65" t="s">
        <v>2118</v>
      </c>
      <c r="U245" s="65" t="s">
        <v>2119</v>
      </c>
      <c r="V245" s="65" t="s">
        <v>2120</v>
      </c>
      <c r="W245" s="65" t="s">
        <v>2121</v>
      </c>
      <c r="X245" s="65" t="s">
        <v>2122</v>
      </c>
      <c r="Y245" s="65" t="s">
        <v>1835</v>
      </c>
      <c r="Z245" s="65" t="s">
        <v>1827</v>
      </c>
      <c r="AA245" s="65" t="s">
        <v>2179</v>
      </c>
      <c r="AB245" s="65">
        <v>4</v>
      </c>
      <c r="AC245" s="65" t="s">
        <v>2180</v>
      </c>
      <c r="AD245" s="65" t="s">
        <v>2181</v>
      </c>
      <c r="AE245" s="65" t="s">
        <v>2182</v>
      </c>
      <c r="AF245" s="65" t="s">
        <v>1437</v>
      </c>
      <c r="AG245" s="65">
        <v>1</v>
      </c>
      <c r="AH245" s="65">
        <v>0</v>
      </c>
      <c r="AI245" s="65">
        <v>2</v>
      </c>
      <c r="AJ245" s="65">
        <v>2</v>
      </c>
      <c r="AK245" s="65" t="s">
        <v>202</v>
      </c>
      <c r="AL245" s="128">
        <v>45040</v>
      </c>
      <c r="AM245" s="65">
        <v>4</v>
      </c>
      <c r="AN245" s="65">
        <v>1</v>
      </c>
      <c r="AO245" s="65" t="s">
        <v>202</v>
      </c>
      <c r="AP245" s="65">
        <v>1</v>
      </c>
      <c r="AQ245" s="65" t="s">
        <v>352</v>
      </c>
      <c r="AR245" s="65" t="s">
        <v>353</v>
      </c>
      <c r="AS245" s="65">
        <v>1</v>
      </c>
      <c r="AT245" s="65">
        <v>1</v>
      </c>
      <c r="AU245" s="65" t="s">
        <v>1529</v>
      </c>
      <c r="AV245" s="65" t="s">
        <v>198</v>
      </c>
      <c r="AW245" s="65" t="s">
        <v>202</v>
      </c>
      <c r="AX245" s="65" t="s">
        <v>202</v>
      </c>
      <c r="AY245" s="65" t="s">
        <v>202</v>
      </c>
    </row>
    <row r="246" spans="1:51" x14ac:dyDescent="0.2">
      <c r="A246" s="65" t="s">
        <v>1341</v>
      </c>
      <c r="B246" s="65" t="s">
        <v>519</v>
      </c>
      <c r="C246" s="65" t="s">
        <v>520</v>
      </c>
      <c r="D246" s="65" t="s">
        <v>2183</v>
      </c>
      <c r="E246" s="65" t="s">
        <v>353</v>
      </c>
      <c r="F246" s="65" t="s">
        <v>1820</v>
      </c>
      <c r="G246" s="65" t="s">
        <v>1821</v>
      </c>
      <c r="H246" s="65" t="s">
        <v>2108</v>
      </c>
      <c r="I246" s="65" t="s">
        <v>2109</v>
      </c>
      <c r="J246" s="65">
        <v>3144343275</v>
      </c>
      <c r="K246" s="65" t="s">
        <v>2159</v>
      </c>
      <c r="L246" s="65" t="s">
        <v>2160</v>
      </c>
      <c r="M246" s="65" t="s">
        <v>364</v>
      </c>
      <c r="N246" s="65" t="s">
        <v>2161</v>
      </c>
      <c r="O246" s="65" t="s">
        <v>2113</v>
      </c>
      <c r="P246" s="65" t="s">
        <v>2114</v>
      </c>
      <c r="Q246" s="65" t="s">
        <v>2115</v>
      </c>
      <c r="R246" s="65" t="s">
        <v>2116</v>
      </c>
      <c r="S246" s="65" t="s">
        <v>2117</v>
      </c>
      <c r="T246" s="65" t="s">
        <v>2118</v>
      </c>
      <c r="U246" s="65" t="s">
        <v>2119</v>
      </c>
      <c r="V246" s="65" t="s">
        <v>2120</v>
      </c>
      <c r="W246" s="65" t="s">
        <v>2121</v>
      </c>
      <c r="X246" s="65" t="s">
        <v>2122</v>
      </c>
      <c r="Y246" s="65" t="s">
        <v>1835</v>
      </c>
      <c r="Z246" s="65" t="s">
        <v>1827</v>
      </c>
      <c r="AA246" s="65" t="s">
        <v>2184</v>
      </c>
      <c r="AB246" s="65">
        <v>4</v>
      </c>
      <c r="AC246" s="65" t="s">
        <v>2185</v>
      </c>
      <c r="AD246" s="65" t="s">
        <v>2186</v>
      </c>
      <c r="AE246" s="65" t="s">
        <v>2187</v>
      </c>
      <c r="AF246" s="65" t="s">
        <v>1437</v>
      </c>
      <c r="AG246" s="65">
        <v>1</v>
      </c>
      <c r="AH246" s="65">
        <v>0</v>
      </c>
      <c r="AI246" s="65">
        <v>2</v>
      </c>
      <c r="AJ246" s="65">
        <v>2</v>
      </c>
      <c r="AK246" s="65" t="s">
        <v>353</v>
      </c>
      <c r="AL246" s="128">
        <v>45030</v>
      </c>
      <c r="AM246" s="65">
        <v>4</v>
      </c>
      <c r="AN246" s="65">
        <v>1</v>
      </c>
      <c r="AO246" s="65" t="s">
        <v>202</v>
      </c>
      <c r="AP246" s="65">
        <v>2</v>
      </c>
      <c r="AQ246" s="65" t="s">
        <v>355</v>
      </c>
      <c r="AR246" s="65" t="s">
        <v>353</v>
      </c>
      <c r="AS246" s="65">
        <v>1</v>
      </c>
      <c r="AT246" s="65">
        <v>1</v>
      </c>
      <c r="AU246" s="65" t="s">
        <v>1438</v>
      </c>
      <c r="AV246" s="65" t="s">
        <v>198</v>
      </c>
      <c r="AW246" s="65" t="s">
        <v>202</v>
      </c>
      <c r="AX246" s="65" t="s">
        <v>202</v>
      </c>
      <c r="AY246" s="65" t="s">
        <v>202</v>
      </c>
    </row>
    <row r="247" spans="1:51" x14ac:dyDescent="0.2">
      <c r="A247" s="65" t="s">
        <v>1341</v>
      </c>
      <c r="B247" s="65" t="s">
        <v>725</v>
      </c>
      <c r="C247" s="65" t="s">
        <v>726</v>
      </c>
      <c r="D247" s="65" t="s">
        <v>2188</v>
      </c>
      <c r="E247" s="65" t="s">
        <v>353</v>
      </c>
      <c r="F247" s="65" t="s">
        <v>1820</v>
      </c>
      <c r="G247" s="65" t="s">
        <v>1821</v>
      </c>
      <c r="H247" s="65" t="s">
        <v>2108</v>
      </c>
      <c r="I247" s="65" t="s">
        <v>2109</v>
      </c>
      <c r="J247" s="65">
        <v>3144343275</v>
      </c>
      <c r="K247" s="65" t="s">
        <v>2159</v>
      </c>
      <c r="L247" s="65" t="s">
        <v>2160</v>
      </c>
      <c r="M247" s="65" t="s">
        <v>364</v>
      </c>
      <c r="N247" s="65" t="s">
        <v>2161</v>
      </c>
      <c r="O247" s="65" t="s">
        <v>2113</v>
      </c>
      <c r="P247" s="65" t="s">
        <v>2114</v>
      </c>
      <c r="Q247" s="65" t="s">
        <v>2115</v>
      </c>
      <c r="R247" s="65" t="s">
        <v>2116</v>
      </c>
      <c r="S247" s="65" t="s">
        <v>2117</v>
      </c>
      <c r="T247" s="65" t="s">
        <v>2118</v>
      </c>
      <c r="U247" s="65" t="s">
        <v>2119</v>
      </c>
      <c r="V247" s="65" t="s">
        <v>2120</v>
      </c>
      <c r="W247" s="65" t="s">
        <v>2121</v>
      </c>
      <c r="X247" s="65" t="s">
        <v>2122</v>
      </c>
      <c r="Y247" s="65" t="s">
        <v>1835</v>
      </c>
      <c r="Z247" s="65" t="s">
        <v>1827</v>
      </c>
      <c r="AA247" s="65" t="s">
        <v>2189</v>
      </c>
      <c r="AB247" s="65">
        <v>4</v>
      </c>
      <c r="AC247" s="65" t="s">
        <v>2190</v>
      </c>
      <c r="AD247" s="65" t="s">
        <v>2191</v>
      </c>
      <c r="AE247" s="65" t="s">
        <v>2192</v>
      </c>
      <c r="AF247" s="65" t="s">
        <v>1437</v>
      </c>
      <c r="AG247" s="65">
        <v>1</v>
      </c>
      <c r="AH247" s="65">
        <v>1</v>
      </c>
      <c r="AI247" s="65">
        <v>2</v>
      </c>
      <c r="AJ247" s="65">
        <v>2</v>
      </c>
      <c r="AK247" s="65" t="s">
        <v>202</v>
      </c>
      <c r="AL247" s="128">
        <v>45469</v>
      </c>
      <c r="AM247" s="65">
        <v>6</v>
      </c>
      <c r="AN247" s="65">
        <v>1</v>
      </c>
      <c r="AO247" s="65" t="s">
        <v>202</v>
      </c>
      <c r="AP247" s="65">
        <v>5</v>
      </c>
      <c r="AQ247" s="65" t="s">
        <v>354</v>
      </c>
      <c r="AR247" s="65" t="s">
        <v>353</v>
      </c>
      <c r="AS247" s="65">
        <v>1</v>
      </c>
      <c r="AT247" s="65">
        <v>1</v>
      </c>
      <c r="AU247" s="65" t="s">
        <v>1529</v>
      </c>
      <c r="AV247" s="65" t="s">
        <v>198</v>
      </c>
      <c r="AW247" s="65" t="s">
        <v>353</v>
      </c>
      <c r="AX247" s="65" t="s">
        <v>353</v>
      </c>
      <c r="AY247" s="65" t="s">
        <v>353</v>
      </c>
    </row>
    <row r="248" spans="1:51" x14ac:dyDescent="0.2">
      <c r="A248" s="65" t="s">
        <v>1341</v>
      </c>
      <c r="B248" s="65" t="s">
        <v>806</v>
      </c>
      <c r="C248" s="65" t="s">
        <v>807</v>
      </c>
      <c r="D248" s="65" t="s">
        <v>2193</v>
      </c>
      <c r="E248" s="65" t="s">
        <v>353</v>
      </c>
      <c r="F248" s="65" t="s">
        <v>1820</v>
      </c>
      <c r="G248" s="65" t="s">
        <v>1821</v>
      </c>
      <c r="H248" s="65" t="s">
        <v>2108</v>
      </c>
      <c r="I248" s="65" t="s">
        <v>2109</v>
      </c>
      <c r="J248" s="65">
        <v>3144343275</v>
      </c>
      <c r="K248" s="65" t="s">
        <v>2194</v>
      </c>
      <c r="L248" s="65" t="s">
        <v>2195</v>
      </c>
      <c r="M248" s="65" t="s">
        <v>365</v>
      </c>
      <c r="N248" s="65" t="s">
        <v>2196</v>
      </c>
      <c r="O248" s="65" t="s">
        <v>2113</v>
      </c>
      <c r="P248" s="65" t="s">
        <v>2114</v>
      </c>
      <c r="Q248" s="65" t="s">
        <v>2115</v>
      </c>
      <c r="R248" s="65" t="s">
        <v>2116</v>
      </c>
      <c r="S248" s="65" t="s">
        <v>2117</v>
      </c>
      <c r="T248" s="65" t="s">
        <v>2118</v>
      </c>
      <c r="U248" s="65" t="s">
        <v>2119</v>
      </c>
      <c r="V248" s="65" t="s">
        <v>2120</v>
      </c>
      <c r="W248" s="65" t="s">
        <v>2121</v>
      </c>
      <c r="X248" s="65" t="s">
        <v>2122</v>
      </c>
      <c r="Y248" s="65" t="s">
        <v>1835</v>
      </c>
      <c r="Z248" s="65" t="s">
        <v>1827</v>
      </c>
      <c r="AA248" s="65" t="s">
        <v>2197</v>
      </c>
      <c r="AB248" s="65">
        <v>3</v>
      </c>
      <c r="AC248" s="65" t="s">
        <v>2089</v>
      </c>
      <c r="AD248" s="65" t="s">
        <v>2059</v>
      </c>
      <c r="AE248" s="65" t="s">
        <v>2198</v>
      </c>
      <c r="AF248" s="65" t="s">
        <v>1437</v>
      </c>
      <c r="AG248" s="65">
        <v>1</v>
      </c>
      <c r="AH248" s="65">
        <v>2</v>
      </c>
      <c r="AI248" s="65">
        <v>2</v>
      </c>
      <c r="AJ248" s="65">
        <v>2</v>
      </c>
      <c r="AK248" s="65" t="s">
        <v>202</v>
      </c>
      <c r="AL248" s="129">
        <v>45595</v>
      </c>
      <c r="AM248" s="65">
        <v>6</v>
      </c>
      <c r="AN248" s="65">
        <v>1</v>
      </c>
      <c r="AO248" s="65" t="s">
        <v>202</v>
      </c>
      <c r="AP248" s="65">
        <v>5</v>
      </c>
      <c r="AQ248" s="65" t="s">
        <v>354</v>
      </c>
      <c r="AR248" s="65" t="s">
        <v>353</v>
      </c>
      <c r="AS248" s="65">
        <v>0</v>
      </c>
      <c r="AT248" s="65">
        <v>0</v>
      </c>
      <c r="AU248" s="65" t="s">
        <v>1438</v>
      </c>
      <c r="AV248" s="65" t="s">
        <v>1439</v>
      </c>
      <c r="AW248" s="65" t="s">
        <v>353</v>
      </c>
      <c r="AX248" s="65" t="s">
        <v>202</v>
      </c>
      <c r="AY248" s="65" t="s">
        <v>353</v>
      </c>
    </row>
    <row r="249" spans="1:51" x14ac:dyDescent="0.2">
      <c r="A249" s="65" t="s">
        <v>1341</v>
      </c>
      <c r="B249" s="65" t="s">
        <v>731</v>
      </c>
      <c r="C249" s="65" t="s">
        <v>732</v>
      </c>
      <c r="D249" s="65" t="s">
        <v>2199</v>
      </c>
      <c r="E249" s="65" t="s">
        <v>353</v>
      </c>
      <c r="F249" s="65" t="s">
        <v>1820</v>
      </c>
      <c r="G249" s="65" t="s">
        <v>1821</v>
      </c>
      <c r="H249" s="65" t="s">
        <v>2108</v>
      </c>
      <c r="I249" s="65" t="s">
        <v>2109</v>
      </c>
      <c r="J249" s="65">
        <v>3144343275</v>
      </c>
      <c r="K249" s="65" t="s">
        <v>2200</v>
      </c>
      <c r="L249" s="65" t="s">
        <v>2201</v>
      </c>
      <c r="M249" s="65" t="s">
        <v>363</v>
      </c>
      <c r="N249" s="65" t="s">
        <v>2202</v>
      </c>
      <c r="O249" s="65" t="s">
        <v>2113</v>
      </c>
      <c r="P249" s="65" t="s">
        <v>2114</v>
      </c>
      <c r="Q249" s="65" t="s">
        <v>2115</v>
      </c>
      <c r="R249" s="65" t="s">
        <v>2116</v>
      </c>
      <c r="S249" s="65" t="s">
        <v>2117</v>
      </c>
      <c r="T249" s="65" t="s">
        <v>2118</v>
      </c>
      <c r="U249" s="65" t="s">
        <v>2119</v>
      </c>
      <c r="V249" s="65" t="s">
        <v>2120</v>
      </c>
      <c r="W249" s="65" t="s">
        <v>2121</v>
      </c>
      <c r="X249" s="65" t="s">
        <v>2122</v>
      </c>
      <c r="Y249" s="65" t="s">
        <v>1860</v>
      </c>
      <c r="Z249" s="65" t="s">
        <v>1827</v>
      </c>
      <c r="AA249" s="65" t="s">
        <v>2203</v>
      </c>
      <c r="AB249" s="65">
        <v>2</v>
      </c>
      <c r="AC249" s="65" t="s">
        <v>1570</v>
      </c>
      <c r="AD249" s="65" t="s">
        <v>2072</v>
      </c>
      <c r="AE249" s="65" t="s">
        <v>2204</v>
      </c>
      <c r="AF249" s="65" t="s">
        <v>1437</v>
      </c>
      <c r="AG249" s="65">
        <v>0</v>
      </c>
      <c r="AH249" s="65">
        <v>1</v>
      </c>
      <c r="AI249" s="65">
        <v>2</v>
      </c>
      <c r="AJ249" s="65">
        <v>2</v>
      </c>
      <c r="AK249" s="65" t="s">
        <v>202</v>
      </c>
      <c r="AL249" s="128">
        <v>45747</v>
      </c>
      <c r="AM249" s="65">
        <v>6</v>
      </c>
      <c r="AN249" s="65">
        <v>4</v>
      </c>
      <c r="AO249" s="65" t="s">
        <v>202</v>
      </c>
      <c r="AP249" s="65">
        <v>3</v>
      </c>
      <c r="AQ249" s="65" t="s">
        <v>352</v>
      </c>
      <c r="AR249" s="65" t="s">
        <v>353</v>
      </c>
      <c r="AS249" s="65">
        <v>0</v>
      </c>
      <c r="AT249" s="65">
        <v>0</v>
      </c>
      <c r="AU249" s="65" t="s">
        <v>1438</v>
      </c>
      <c r="AV249" s="65" t="s">
        <v>1439</v>
      </c>
      <c r="AW249" s="65" t="s">
        <v>202</v>
      </c>
      <c r="AX249" s="65" t="s">
        <v>202</v>
      </c>
      <c r="AY249" s="65" t="s">
        <v>353</v>
      </c>
    </row>
    <row r="250" spans="1:51" x14ac:dyDescent="0.2">
      <c r="A250" s="65" t="s">
        <v>1341</v>
      </c>
      <c r="B250" s="65" t="s">
        <v>798</v>
      </c>
      <c r="C250" s="65" t="s">
        <v>799</v>
      </c>
      <c r="D250" s="65" t="s">
        <v>2205</v>
      </c>
      <c r="E250" s="65" t="s">
        <v>353</v>
      </c>
      <c r="F250" s="65" t="s">
        <v>1820</v>
      </c>
      <c r="G250" s="65" t="s">
        <v>1821</v>
      </c>
      <c r="H250" s="65" t="s">
        <v>2108</v>
      </c>
      <c r="I250" s="65" t="s">
        <v>2109</v>
      </c>
      <c r="J250" s="65">
        <v>3144343275</v>
      </c>
      <c r="K250" s="65" t="s">
        <v>2206</v>
      </c>
      <c r="L250" s="65" t="s">
        <v>2207</v>
      </c>
      <c r="M250" s="65" t="s">
        <v>361</v>
      </c>
      <c r="N250" s="65" t="s">
        <v>2208</v>
      </c>
      <c r="O250" s="65" t="s">
        <v>2113</v>
      </c>
      <c r="P250" s="65" t="s">
        <v>2114</v>
      </c>
      <c r="Q250" s="65" t="s">
        <v>2115</v>
      </c>
      <c r="R250" s="65" t="s">
        <v>2116</v>
      </c>
      <c r="S250" s="65" t="s">
        <v>2117</v>
      </c>
      <c r="T250" s="65" t="s">
        <v>2118</v>
      </c>
      <c r="U250" s="65" t="s">
        <v>2119</v>
      </c>
      <c r="V250" s="65" t="s">
        <v>2120</v>
      </c>
      <c r="W250" s="65" t="s">
        <v>2121</v>
      </c>
      <c r="X250" s="65" t="s">
        <v>2122</v>
      </c>
      <c r="Y250" s="65" t="s">
        <v>1835</v>
      </c>
      <c r="Z250" s="65" t="s">
        <v>1827</v>
      </c>
      <c r="AA250" s="65" t="s">
        <v>2209</v>
      </c>
      <c r="AB250" s="65">
        <v>4</v>
      </c>
      <c r="AC250" s="65" t="s">
        <v>2210</v>
      </c>
      <c r="AD250" s="65" t="s">
        <v>2211</v>
      </c>
      <c r="AE250" s="65" t="s">
        <v>2212</v>
      </c>
      <c r="AF250" s="65" t="s">
        <v>1437</v>
      </c>
      <c r="AG250" s="65">
        <v>3</v>
      </c>
      <c r="AH250" s="65">
        <v>2</v>
      </c>
      <c r="AI250" s="65">
        <v>2</v>
      </c>
      <c r="AJ250" s="65">
        <v>2</v>
      </c>
      <c r="AK250" s="65" t="s">
        <v>202</v>
      </c>
      <c r="AL250" s="128">
        <v>45373</v>
      </c>
      <c r="AM250" s="65">
        <v>6</v>
      </c>
      <c r="AN250" s="65">
        <v>2</v>
      </c>
      <c r="AO250" s="65" t="s">
        <v>202</v>
      </c>
      <c r="AP250" s="65">
        <v>4</v>
      </c>
      <c r="AQ250" s="65" t="s">
        <v>354</v>
      </c>
      <c r="AR250" s="65" t="s">
        <v>202</v>
      </c>
      <c r="AS250" s="65">
        <v>1</v>
      </c>
      <c r="AT250" s="65">
        <v>1</v>
      </c>
      <c r="AU250" s="65" t="s">
        <v>1529</v>
      </c>
      <c r="AV250" s="65" t="s">
        <v>198</v>
      </c>
      <c r="AW250" s="65" t="s">
        <v>353</v>
      </c>
      <c r="AX250" s="65" t="s">
        <v>202</v>
      </c>
      <c r="AY250" s="65" t="s">
        <v>353</v>
      </c>
    </row>
    <row r="251" spans="1:51" x14ac:dyDescent="0.2">
      <c r="A251" s="65" t="s">
        <v>1341</v>
      </c>
      <c r="B251" s="65" t="s">
        <v>503</v>
      </c>
      <c r="C251" s="65" t="s">
        <v>504</v>
      </c>
      <c r="D251" s="65" t="s">
        <v>2213</v>
      </c>
      <c r="E251" s="65" t="s">
        <v>353</v>
      </c>
      <c r="F251" s="65" t="s">
        <v>1820</v>
      </c>
      <c r="G251" s="65" t="s">
        <v>1821</v>
      </c>
      <c r="H251" s="65" t="s">
        <v>2108</v>
      </c>
      <c r="I251" s="65" t="s">
        <v>2109</v>
      </c>
      <c r="J251" s="65">
        <v>3144343275</v>
      </c>
      <c r="K251" s="65" t="s">
        <v>2206</v>
      </c>
      <c r="L251" s="65" t="s">
        <v>2207</v>
      </c>
      <c r="M251" s="65" t="s">
        <v>361</v>
      </c>
      <c r="N251" s="65" t="s">
        <v>2208</v>
      </c>
      <c r="O251" s="65" t="s">
        <v>2113</v>
      </c>
      <c r="P251" s="65" t="s">
        <v>2114</v>
      </c>
      <c r="Q251" s="65" t="s">
        <v>2115</v>
      </c>
      <c r="R251" s="65" t="s">
        <v>2116</v>
      </c>
      <c r="S251" s="65" t="s">
        <v>2117</v>
      </c>
      <c r="T251" s="65" t="s">
        <v>2118</v>
      </c>
      <c r="U251" s="65" t="s">
        <v>2119</v>
      </c>
      <c r="V251" s="65" t="s">
        <v>2120</v>
      </c>
      <c r="W251" s="65" t="s">
        <v>2121</v>
      </c>
      <c r="X251" s="65" t="s">
        <v>2122</v>
      </c>
      <c r="Y251" s="65" t="s">
        <v>1835</v>
      </c>
      <c r="Z251" s="65" t="s">
        <v>1827</v>
      </c>
      <c r="AA251" s="65" t="s">
        <v>2214</v>
      </c>
      <c r="AB251" s="65">
        <v>4</v>
      </c>
      <c r="AC251" s="65" t="s">
        <v>2190</v>
      </c>
      <c r="AD251" s="65" t="s">
        <v>2083</v>
      </c>
      <c r="AE251" s="65" t="s">
        <v>2215</v>
      </c>
      <c r="AF251" s="65" t="s">
        <v>1437</v>
      </c>
      <c r="AG251" s="65">
        <v>1</v>
      </c>
      <c r="AH251" s="65">
        <v>0</v>
      </c>
      <c r="AI251" s="65">
        <v>2</v>
      </c>
      <c r="AJ251" s="65">
        <v>2</v>
      </c>
      <c r="AK251" s="65" t="s">
        <v>202</v>
      </c>
      <c r="AL251" s="128">
        <v>45021</v>
      </c>
      <c r="AM251" s="65">
        <v>4</v>
      </c>
      <c r="AN251" s="65">
        <v>1</v>
      </c>
      <c r="AO251" s="65" t="s">
        <v>202</v>
      </c>
      <c r="AP251" s="65">
        <v>2</v>
      </c>
      <c r="AQ251" s="65" t="s">
        <v>354</v>
      </c>
      <c r="AR251" s="65" t="s">
        <v>353</v>
      </c>
      <c r="AS251" s="65">
        <v>1</v>
      </c>
      <c r="AT251" s="65">
        <v>1</v>
      </c>
      <c r="AU251" s="65" t="s">
        <v>1438</v>
      </c>
      <c r="AV251" s="65" t="s">
        <v>198</v>
      </c>
      <c r="AW251" s="65" t="s">
        <v>353</v>
      </c>
      <c r="AX251" s="65" t="s">
        <v>353</v>
      </c>
      <c r="AY251" s="65" t="s">
        <v>202</v>
      </c>
    </row>
    <row r="252" spans="1:51" x14ac:dyDescent="0.2">
      <c r="A252" s="65" t="s">
        <v>1341</v>
      </c>
      <c r="B252" s="65" t="s">
        <v>729</v>
      </c>
      <c r="C252" s="65" t="s">
        <v>730</v>
      </c>
      <c r="D252" s="65" t="s">
        <v>2216</v>
      </c>
      <c r="E252" s="65" t="s">
        <v>353</v>
      </c>
      <c r="F252" s="65" t="s">
        <v>1820</v>
      </c>
      <c r="G252" s="65" t="s">
        <v>1821</v>
      </c>
      <c r="H252" s="65" t="s">
        <v>2108</v>
      </c>
      <c r="I252" s="65" t="s">
        <v>2109</v>
      </c>
      <c r="J252" s="65">
        <v>3144343275</v>
      </c>
      <c r="K252" s="65" t="s">
        <v>2206</v>
      </c>
      <c r="L252" s="65" t="s">
        <v>2207</v>
      </c>
      <c r="M252" s="65" t="s">
        <v>361</v>
      </c>
      <c r="N252" s="65" t="s">
        <v>2208</v>
      </c>
      <c r="O252" s="65" t="s">
        <v>2113</v>
      </c>
      <c r="P252" s="65" t="s">
        <v>2114</v>
      </c>
      <c r="Q252" s="65" t="s">
        <v>2115</v>
      </c>
      <c r="R252" s="65" t="s">
        <v>2116</v>
      </c>
      <c r="S252" s="65" t="s">
        <v>2117</v>
      </c>
      <c r="T252" s="65" t="s">
        <v>2118</v>
      </c>
      <c r="U252" s="65" t="s">
        <v>2119</v>
      </c>
      <c r="V252" s="65" t="s">
        <v>2120</v>
      </c>
      <c r="W252" s="65" t="s">
        <v>2121</v>
      </c>
      <c r="X252" s="65" t="s">
        <v>2122</v>
      </c>
      <c r="Y252" s="65" t="s">
        <v>1835</v>
      </c>
      <c r="Z252" s="65" t="s">
        <v>1827</v>
      </c>
      <c r="AA252" s="65" t="s">
        <v>2217</v>
      </c>
      <c r="AB252" s="65">
        <v>4</v>
      </c>
      <c r="AC252" s="65" t="s">
        <v>2218</v>
      </c>
      <c r="AD252" s="65" t="s">
        <v>2219</v>
      </c>
      <c r="AE252" s="65" t="s">
        <v>2220</v>
      </c>
      <c r="AF252" s="65" t="s">
        <v>1437</v>
      </c>
      <c r="AG252" s="65">
        <v>2</v>
      </c>
      <c r="AH252" s="65">
        <v>1</v>
      </c>
      <c r="AI252" s="65">
        <v>2</v>
      </c>
      <c r="AJ252" s="65">
        <v>1</v>
      </c>
      <c r="AK252" s="65" t="s">
        <v>202</v>
      </c>
      <c r="AL252" s="129">
        <v>45642</v>
      </c>
      <c r="AM252" s="65">
        <v>6</v>
      </c>
      <c r="AN252" s="65">
        <v>1</v>
      </c>
      <c r="AO252" s="65" t="s">
        <v>202</v>
      </c>
      <c r="AP252" s="65">
        <v>4</v>
      </c>
      <c r="AQ252" s="65" t="s">
        <v>354</v>
      </c>
      <c r="AR252" s="65" t="s">
        <v>353</v>
      </c>
      <c r="AS252" s="65">
        <v>0</v>
      </c>
      <c r="AT252" s="65">
        <v>0</v>
      </c>
      <c r="AU252" s="65" t="s">
        <v>1438</v>
      </c>
      <c r="AV252" s="65" t="s">
        <v>198</v>
      </c>
      <c r="AW252" s="65" t="s">
        <v>353</v>
      </c>
      <c r="AX252" s="65" t="s">
        <v>353</v>
      </c>
      <c r="AY252" s="65" t="s">
        <v>353</v>
      </c>
    </row>
    <row r="253" spans="1:51" x14ac:dyDescent="0.2">
      <c r="A253" s="65" t="s">
        <v>1341</v>
      </c>
      <c r="B253" s="65" t="s">
        <v>543</v>
      </c>
      <c r="C253" s="65" t="s">
        <v>544</v>
      </c>
      <c r="D253" s="65" t="s">
        <v>2221</v>
      </c>
      <c r="E253" s="65" t="s">
        <v>353</v>
      </c>
      <c r="F253" s="65" t="s">
        <v>1820</v>
      </c>
      <c r="G253" s="65" t="s">
        <v>1821</v>
      </c>
      <c r="H253" s="65" t="s">
        <v>2108</v>
      </c>
      <c r="I253" s="65" t="s">
        <v>2109</v>
      </c>
      <c r="J253" s="65">
        <v>3144343275</v>
      </c>
      <c r="K253" s="65" t="s">
        <v>2206</v>
      </c>
      <c r="L253" s="65" t="s">
        <v>2207</v>
      </c>
      <c r="M253" s="65" t="s">
        <v>361</v>
      </c>
      <c r="N253" s="65" t="s">
        <v>2208</v>
      </c>
      <c r="O253" s="65" t="s">
        <v>2113</v>
      </c>
      <c r="P253" s="65" t="s">
        <v>2114</v>
      </c>
      <c r="Q253" s="65" t="s">
        <v>2115</v>
      </c>
      <c r="R253" s="65" t="s">
        <v>2116</v>
      </c>
      <c r="S253" s="65" t="s">
        <v>2117</v>
      </c>
      <c r="T253" s="65" t="s">
        <v>2118</v>
      </c>
      <c r="U253" s="65" t="s">
        <v>2119</v>
      </c>
      <c r="V253" s="65" t="s">
        <v>2120</v>
      </c>
      <c r="W253" s="65" t="s">
        <v>2121</v>
      </c>
      <c r="X253" s="65" t="s">
        <v>2122</v>
      </c>
      <c r="Y253" s="65" t="s">
        <v>1835</v>
      </c>
      <c r="Z253" s="65" t="s">
        <v>1827</v>
      </c>
      <c r="AA253" s="65" t="s">
        <v>2222</v>
      </c>
      <c r="AB253" s="65">
        <v>4</v>
      </c>
      <c r="AC253" s="65" t="s">
        <v>2223</v>
      </c>
      <c r="AD253" s="65" t="s">
        <v>2224</v>
      </c>
      <c r="AE253" s="65" t="s">
        <v>2225</v>
      </c>
      <c r="AF253" s="65" t="s">
        <v>1437</v>
      </c>
      <c r="AG253" s="65">
        <v>1</v>
      </c>
      <c r="AH253" s="65">
        <v>0</v>
      </c>
      <c r="AI253" s="65">
        <v>2</v>
      </c>
      <c r="AJ253" s="65">
        <v>2</v>
      </c>
      <c r="AK253" s="65" t="s">
        <v>202</v>
      </c>
      <c r="AL253" s="128">
        <v>45014</v>
      </c>
      <c r="AM253" s="65">
        <v>6</v>
      </c>
      <c r="AN253" s="65">
        <v>2</v>
      </c>
      <c r="AO253" s="65" t="s">
        <v>353</v>
      </c>
      <c r="AP253" s="65">
        <v>2</v>
      </c>
      <c r="AQ253" s="65" t="s">
        <v>354</v>
      </c>
      <c r="AR253" s="65" t="s">
        <v>202</v>
      </c>
      <c r="AS253" s="65">
        <v>1</v>
      </c>
      <c r="AT253" s="65">
        <v>1</v>
      </c>
      <c r="AU253" s="65" t="s">
        <v>1438</v>
      </c>
      <c r="AV253" s="65" t="s">
        <v>198</v>
      </c>
      <c r="AW253" s="65" t="s">
        <v>353</v>
      </c>
      <c r="AX253" s="65" t="s">
        <v>353</v>
      </c>
      <c r="AY253" s="65" t="s">
        <v>353</v>
      </c>
    </row>
    <row r="254" spans="1:51" x14ac:dyDescent="0.2">
      <c r="A254" s="65" t="s">
        <v>1341</v>
      </c>
      <c r="B254" s="65" t="s">
        <v>531</v>
      </c>
      <c r="C254" s="65" t="s">
        <v>532</v>
      </c>
      <c r="D254" s="65" t="s">
        <v>2226</v>
      </c>
      <c r="E254" s="65" t="s">
        <v>353</v>
      </c>
      <c r="F254" s="65" t="s">
        <v>1820</v>
      </c>
      <c r="G254" s="65" t="s">
        <v>1821</v>
      </c>
      <c r="H254" s="65" t="s">
        <v>2108</v>
      </c>
      <c r="I254" s="65" t="s">
        <v>2109</v>
      </c>
      <c r="J254" s="65">
        <v>3144343275</v>
      </c>
      <c r="K254" s="65" t="s">
        <v>2206</v>
      </c>
      <c r="L254" s="65" t="s">
        <v>2207</v>
      </c>
      <c r="M254" s="65" t="s">
        <v>361</v>
      </c>
      <c r="N254" s="65" t="s">
        <v>2208</v>
      </c>
      <c r="O254" s="65" t="s">
        <v>2113</v>
      </c>
      <c r="P254" s="65" t="s">
        <v>2114</v>
      </c>
      <c r="Q254" s="65" t="s">
        <v>2115</v>
      </c>
      <c r="R254" s="65" t="s">
        <v>2116</v>
      </c>
      <c r="S254" s="65" t="s">
        <v>2117</v>
      </c>
      <c r="T254" s="65" t="s">
        <v>2118</v>
      </c>
      <c r="U254" s="65" t="s">
        <v>2119</v>
      </c>
      <c r="V254" s="65" t="s">
        <v>2120</v>
      </c>
      <c r="W254" s="65" t="s">
        <v>2121</v>
      </c>
      <c r="X254" s="65" t="s">
        <v>2122</v>
      </c>
      <c r="Y254" s="65" t="s">
        <v>1835</v>
      </c>
      <c r="Z254" s="65" t="s">
        <v>1827</v>
      </c>
      <c r="AA254" s="65" t="s">
        <v>2227</v>
      </c>
      <c r="AB254" s="65">
        <v>4</v>
      </c>
      <c r="AC254" s="65" t="s">
        <v>2228</v>
      </c>
      <c r="AD254" s="65" t="s">
        <v>2229</v>
      </c>
      <c r="AE254" s="65" t="s">
        <v>2230</v>
      </c>
      <c r="AF254" s="65" t="s">
        <v>1437</v>
      </c>
      <c r="AG254" s="65">
        <v>2</v>
      </c>
      <c r="AH254" s="65">
        <v>0</v>
      </c>
      <c r="AI254" s="65">
        <v>3</v>
      </c>
      <c r="AJ254" s="65">
        <v>2</v>
      </c>
      <c r="AK254" s="65" t="s">
        <v>202</v>
      </c>
      <c r="AL254" s="128">
        <v>44970</v>
      </c>
      <c r="AM254" s="65">
        <v>4</v>
      </c>
      <c r="AN254" s="65">
        <v>1</v>
      </c>
      <c r="AO254" s="65" t="s">
        <v>202</v>
      </c>
      <c r="AP254" s="65">
        <v>4</v>
      </c>
      <c r="AQ254" s="65" t="s">
        <v>354</v>
      </c>
      <c r="AR254" s="65" t="s">
        <v>353</v>
      </c>
      <c r="AS254" s="65">
        <v>1</v>
      </c>
      <c r="AT254" s="65">
        <v>1</v>
      </c>
      <c r="AU254" s="65" t="s">
        <v>1438</v>
      </c>
      <c r="AV254" s="65" t="s">
        <v>198</v>
      </c>
      <c r="AW254" s="65" t="s">
        <v>353</v>
      </c>
      <c r="AX254" s="65" t="s">
        <v>353</v>
      </c>
      <c r="AY254" s="65" t="s">
        <v>353</v>
      </c>
    </row>
    <row r="255" spans="1:51" x14ac:dyDescent="0.2">
      <c r="A255" s="65" t="s">
        <v>1341</v>
      </c>
      <c r="B255" s="65" t="s">
        <v>554</v>
      </c>
      <c r="C255" s="65" t="s">
        <v>555</v>
      </c>
      <c r="D255" s="65" t="s">
        <v>2231</v>
      </c>
      <c r="E255" s="65" t="s">
        <v>353</v>
      </c>
      <c r="F255" s="65" t="s">
        <v>1820</v>
      </c>
      <c r="G255" s="65" t="s">
        <v>1821</v>
      </c>
      <c r="H255" s="65" t="s">
        <v>2108</v>
      </c>
      <c r="I255" s="65" t="s">
        <v>2109</v>
      </c>
      <c r="J255" s="65">
        <v>3144343275</v>
      </c>
      <c r="K255" s="65" t="s">
        <v>2206</v>
      </c>
      <c r="L255" s="65" t="s">
        <v>2207</v>
      </c>
      <c r="M255" s="65" t="s">
        <v>361</v>
      </c>
      <c r="N255" s="65" t="s">
        <v>2208</v>
      </c>
      <c r="O255" s="65" t="s">
        <v>2113</v>
      </c>
      <c r="P255" s="65" t="s">
        <v>2114</v>
      </c>
      <c r="Q255" s="65" t="s">
        <v>2115</v>
      </c>
      <c r="R255" s="65" t="s">
        <v>2116</v>
      </c>
      <c r="S255" s="65" t="s">
        <v>2117</v>
      </c>
      <c r="T255" s="65" t="s">
        <v>2118</v>
      </c>
      <c r="U255" s="65" t="s">
        <v>2119</v>
      </c>
      <c r="V255" s="65" t="s">
        <v>2120</v>
      </c>
      <c r="W255" s="65" t="s">
        <v>2121</v>
      </c>
      <c r="X255" s="65" t="s">
        <v>2122</v>
      </c>
      <c r="Y255" s="65" t="s">
        <v>1835</v>
      </c>
      <c r="Z255" s="65" t="s">
        <v>1827</v>
      </c>
      <c r="AA255" s="65" t="s">
        <v>2232</v>
      </c>
      <c r="AB255" s="65">
        <v>4</v>
      </c>
      <c r="AC255" s="65" t="s">
        <v>2233</v>
      </c>
      <c r="AD255" s="65" t="s">
        <v>2186</v>
      </c>
      <c r="AE255" s="65" t="s">
        <v>2234</v>
      </c>
      <c r="AF255" s="65" t="s">
        <v>1437</v>
      </c>
      <c r="AG255" s="65">
        <v>2</v>
      </c>
      <c r="AH255" s="65">
        <v>0</v>
      </c>
      <c r="AI255" s="65">
        <v>3</v>
      </c>
      <c r="AJ255" s="65">
        <v>2</v>
      </c>
      <c r="AK255" s="65" t="s">
        <v>353</v>
      </c>
      <c r="AL255" s="129">
        <v>44923</v>
      </c>
      <c r="AM255" s="65">
        <v>6</v>
      </c>
      <c r="AN255" s="65">
        <v>2</v>
      </c>
      <c r="AO255" s="65" t="s">
        <v>202</v>
      </c>
      <c r="AP255" s="65">
        <v>2</v>
      </c>
      <c r="AQ255" s="65" t="s">
        <v>355</v>
      </c>
      <c r="AR255" s="65" t="s">
        <v>202</v>
      </c>
      <c r="AS255" s="65">
        <v>1</v>
      </c>
      <c r="AT255" s="65">
        <v>1</v>
      </c>
      <c r="AU255" s="65" t="s">
        <v>1438</v>
      </c>
      <c r="AV255" s="65" t="s">
        <v>198</v>
      </c>
      <c r="AW255" s="65" t="s">
        <v>202</v>
      </c>
      <c r="AX255" s="65" t="s">
        <v>353</v>
      </c>
      <c r="AY255" s="65" t="s">
        <v>353</v>
      </c>
    </row>
    <row r="256" spans="1:51" x14ac:dyDescent="0.2">
      <c r="A256" s="65" t="s">
        <v>1341</v>
      </c>
      <c r="B256" s="65" t="s">
        <v>557</v>
      </c>
      <c r="C256" s="65" t="s">
        <v>558</v>
      </c>
      <c r="D256" s="65" t="s">
        <v>2235</v>
      </c>
      <c r="E256" s="65" t="s">
        <v>353</v>
      </c>
      <c r="F256" s="65" t="s">
        <v>1820</v>
      </c>
      <c r="G256" s="65" t="s">
        <v>1821</v>
      </c>
      <c r="H256" s="65" t="s">
        <v>2108</v>
      </c>
      <c r="I256" s="65" t="s">
        <v>2109</v>
      </c>
      <c r="J256" s="65">
        <v>3144343275</v>
      </c>
      <c r="K256" s="65" t="s">
        <v>2206</v>
      </c>
      <c r="L256" s="65" t="s">
        <v>2207</v>
      </c>
      <c r="M256" s="65" t="s">
        <v>361</v>
      </c>
      <c r="N256" s="65" t="s">
        <v>2208</v>
      </c>
      <c r="O256" s="65" t="s">
        <v>2113</v>
      </c>
      <c r="P256" s="65" t="s">
        <v>2114</v>
      </c>
      <c r="Q256" s="65" t="s">
        <v>2115</v>
      </c>
      <c r="R256" s="65" t="s">
        <v>2116</v>
      </c>
      <c r="S256" s="65" t="s">
        <v>2117</v>
      </c>
      <c r="T256" s="65" t="s">
        <v>2118</v>
      </c>
      <c r="U256" s="65" t="s">
        <v>2119</v>
      </c>
      <c r="V256" s="65" t="s">
        <v>2120</v>
      </c>
      <c r="W256" s="65" t="s">
        <v>2121</v>
      </c>
      <c r="X256" s="65" t="s">
        <v>2122</v>
      </c>
      <c r="Y256" s="65" t="s">
        <v>1835</v>
      </c>
      <c r="Z256" s="65" t="s">
        <v>1827</v>
      </c>
      <c r="AA256" s="65" t="s">
        <v>2236</v>
      </c>
      <c r="AB256" s="65">
        <v>4</v>
      </c>
      <c r="AC256" s="65" t="s">
        <v>2237</v>
      </c>
      <c r="AD256" s="65" t="s">
        <v>2238</v>
      </c>
      <c r="AE256" s="65" t="s">
        <v>2239</v>
      </c>
      <c r="AF256" s="65" t="s">
        <v>1437</v>
      </c>
      <c r="AG256" s="65">
        <v>1</v>
      </c>
      <c r="AH256" s="65">
        <v>0</v>
      </c>
      <c r="AI256" s="65">
        <v>2</v>
      </c>
      <c r="AJ256" s="65">
        <v>2</v>
      </c>
      <c r="AK256" s="65" t="s">
        <v>202</v>
      </c>
      <c r="AL256" s="129">
        <v>44918</v>
      </c>
      <c r="AM256" s="65">
        <v>4</v>
      </c>
      <c r="AN256" s="65">
        <v>0</v>
      </c>
      <c r="AO256" s="65" t="s">
        <v>202</v>
      </c>
      <c r="AP256" s="65">
        <v>2</v>
      </c>
      <c r="AQ256" s="65" t="s">
        <v>355</v>
      </c>
      <c r="AR256" s="65" t="s">
        <v>202</v>
      </c>
      <c r="AS256" s="65">
        <v>1</v>
      </c>
      <c r="AT256" s="65">
        <v>1</v>
      </c>
      <c r="AU256" s="65" t="s">
        <v>1438</v>
      </c>
      <c r="AV256" s="65" t="s">
        <v>198</v>
      </c>
      <c r="AW256" s="65" t="s">
        <v>202</v>
      </c>
      <c r="AX256" s="65" t="s">
        <v>202</v>
      </c>
      <c r="AY256" s="65" t="s">
        <v>353</v>
      </c>
    </row>
    <row r="257" spans="1:51" x14ac:dyDescent="0.2">
      <c r="A257" s="65" t="s">
        <v>1341</v>
      </c>
      <c r="B257" s="65" t="s">
        <v>540</v>
      </c>
      <c r="C257" s="65" t="s">
        <v>541</v>
      </c>
      <c r="D257" s="65" t="s">
        <v>2240</v>
      </c>
      <c r="E257" s="65" t="s">
        <v>353</v>
      </c>
      <c r="F257" s="65" t="s">
        <v>1820</v>
      </c>
      <c r="G257" s="65" t="s">
        <v>1821</v>
      </c>
      <c r="H257" s="65" t="s">
        <v>2108</v>
      </c>
      <c r="I257" s="65" t="s">
        <v>2109</v>
      </c>
      <c r="J257" s="65">
        <v>3144343275</v>
      </c>
      <c r="K257" s="65" t="s">
        <v>2206</v>
      </c>
      <c r="L257" s="65" t="s">
        <v>2207</v>
      </c>
      <c r="M257" s="65" t="s">
        <v>361</v>
      </c>
      <c r="N257" s="65" t="s">
        <v>2208</v>
      </c>
      <c r="O257" s="65" t="s">
        <v>2113</v>
      </c>
      <c r="P257" s="65" t="s">
        <v>2114</v>
      </c>
      <c r="Q257" s="65" t="s">
        <v>2115</v>
      </c>
      <c r="R257" s="65" t="s">
        <v>2116</v>
      </c>
      <c r="S257" s="65" t="s">
        <v>2117</v>
      </c>
      <c r="T257" s="65" t="s">
        <v>2118</v>
      </c>
      <c r="U257" s="65" t="s">
        <v>2119</v>
      </c>
      <c r="V257" s="65" t="s">
        <v>2120</v>
      </c>
      <c r="W257" s="65" t="s">
        <v>2121</v>
      </c>
      <c r="X257" s="65" t="s">
        <v>2122</v>
      </c>
      <c r="Y257" s="65" t="s">
        <v>1835</v>
      </c>
      <c r="Z257" s="65" t="s">
        <v>1827</v>
      </c>
      <c r="AA257" s="65" t="s">
        <v>2241</v>
      </c>
      <c r="AB257" s="65">
        <v>4</v>
      </c>
      <c r="AC257" s="65" t="s">
        <v>2242</v>
      </c>
      <c r="AD257" s="65" t="s">
        <v>1548</v>
      </c>
      <c r="AE257" s="65" t="s">
        <v>2243</v>
      </c>
      <c r="AF257" s="65" t="s">
        <v>1437</v>
      </c>
      <c r="AG257" s="65">
        <v>2</v>
      </c>
      <c r="AH257" s="65">
        <v>0</v>
      </c>
      <c r="AI257" s="65">
        <v>3</v>
      </c>
      <c r="AJ257" s="65">
        <v>2</v>
      </c>
      <c r="AK257" s="65" t="s">
        <v>353</v>
      </c>
      <c r="AL257" s="129">
        <v>44918</v>
      </c>
      <c r="AM257" s="65">
        <v>4</v>
      </c>
      <c r="AN257" s="65">
        <v>1</v>
      </c>
      <c r="AO257" s="65" t="s">
        <v>202</v>
      </c>
      <c r="AP257" s="65">
        <v>3</v>
      </c>
      <c r="AQ257" s="65" t="s">
        <v>352</v>
      </c>
      <c r="AR257" s="65" t="s">
        <v>202</v>
      </c>
      <c r="AS257" s="65">
        <v>1</v>
      </c>
      <c r="AT257" s="65">
        <v>1</v>
      </c>
      <c r="AU257" s="65" t="s">
        <v>1438</v>
      </c>
      <c r="AV257" s="65" t="s">
        <v>198</v>
      </c>
      <c r="AW257" s="65" t="s">
        <v>202</v>
      </c>
      <c r="AX257" s="65" t="s">
        <v>202</v>
      </c>
      <c r="AY257" s="65" t="s">
        <v>353</v>
      </c>
    </row>
    <row r="258" spans="1:51" x14ac:dyDescent="0.2">
      <c r="A258" s="65" t="s">
        <v>1341</v>
      </c>
      <c r="B258" s="65" t="s">
        <v>575</v>
      </c>
      <c r="C258" s="65" t="s">
        <v>576</v>
      </c>
      <c r="D258" s="65" t="s">
        <v>2244</v>
      </c>
      <c r="E258" s="65" t="s">
        <v>353</v>
      </c>
      <c r="F258" s="65" t="s">
        <v>1820</v>
      </c>
      <c r="G258" s="65" t="s">
        <v>1821</v>
      </c>
      <c r="H258" s="65" t="s">
        <v>2108</v>
      </c>
      <c r="I258" s="65" t="s">
        <v>2109</v>
      </c>
      <c r="J258" s="65">
        <v>3144343275</v>
      </c>
      <c r="K258" s="65" t="s">
        <v>2206</v>
      </c>
      <c r="L258" s="65" t="s">
        <v>2207</v>
      </c>
      <c r="M258" s="65" t="s">
        <v>361</v>
      </c>
      <c r="N258" s="65" t="s">
        <v>2208</v>
      </c>
      <c r="O258" s="65" t="s">
        <v>2113</v>
      </c>
      <c r="P258" s="65" t="s">
        <v>2114</v>
      </c>
      <c r="Q258" s="65" t="s">
        <v>2115</v>
      </c>
      <c r="R258" s="65" t="s">
        <v>2116</v>
      </c>
      <c r="S258" s="65" t="s">
        <v>2117</v>
      </c>
      <c r="T258" s="65" t="s">
        <v>2118</v>
      </c>
      <c r="U258" s="65" t="s">
        <v>2119</v>
      </c>
      <c r="V258" s="65" t="s">
        <v>2120</v>
      </c>
      <c r="W258" s="65" t="s">
        <v>2121</v>
      </c>
      <c r="X258" s="65" t="s">
        <v>2122</v>
      </c>
      <c r="Y258" s="65" t="s">
        <v>1835</v>
      </c>
      <c r="Z258" s="65" t="s">
        <v>1827</v>
      </c>
      <c r="AA258" s="65" t="s">
        <v>2245</v>
      </c>
      <c r="AB258" s="65">
        <v>4</v>
      </c>
      <c r="AC258" s="65" t="s">
        <v>1598</v>
      </c>
      <c r="AD258" s="65" t="s">
        <v>2246</v>
      </c>
      <c r="AE258" s="65" t="s">
        <v>2247</v>
      </c>
      <c r="AF258" s="65" t="s">
        <v>1437</v>
      </c>
      <c r="AG258" s="65">
        <v>1</v>
      </c>
      <c r="AH258" s="65">
        <v>0</v>
      </c>
      <c r="AI258" s="65">
        <v>2</v>
      </c>
      <c r="AJ258" s="65">
        <v>2</v>
      </c>
      <c r="AK258" s="65" t="s">
        <v>202</v>
      </c>
      <c r="AL258" s="128">
        <v>45021</v>
      </c>
      <c r="AM258" s="65">
        <v>4</v>
      </c>
      <c r="AN258" s="65">
        <v>2</v>
      </c>
      <c r="AO258" s="65" t="s">
        <v>202</v>
      </c>
      <c r="AP258" s="65">
        <v>2</v>
      </c>
      <c r="AQ258" s="65" t="s">
        <v>352</v>
      </c>
      <c r="AR258" s="65" t="s">
        <v>202</v>
      </c>
      <c r="AS258" s="65">
        <v>1</v>
      </c>
      <c r="AT258" s="65">
        <v>1</v>
      </c>
      <c r="AU258" s="65" t="s">
        <v>1438</v>
      </c>
      <c r="AV258" s="65" t="s">
        <v>198</v>
      </c>
      <c r="AW258" s="65" t="s">
        <v>202</v>
      </c>
      <c r="AX258" s="65" t="s">
        <v>202</v>
      </c>
      <c r="AY258" s="65" t="s">
        <v>353</v>
      </c>
    </row>
    <row r="259" spans="1:51" x14ac:dyDescent="0.2">
      <c r="A259" s="65" t="s">
        <v>1341</v>
      </c>
      <c r="B259" s="65" t="s">
        <v>513</v>
      </c>
      <c r="C259" s="65" t="s">
        <v>514</v>
      </c>
      <c r="D259" s="65" t="s">
        <v>2248</v>
      </c>
      <c r="E259" s="65" t="s">
        <v>353</v>
      </c>
      <c r="F259" s="65" t="s">
        <v>1820</v>
      </c>
      <c r="G259" s="65" t="s">
        <v>1821</v>
      </c>
      <c r="H259" s="65" t="s">
        <v>2108</v>
      </c>
      <c r="I259" s="65" t="s">
        <v>2109</v>
      </c>
      <c r="J259" s="65">
        <v>3144343275</v>
      </c>
      <c r="K259" s="65" t="s">
        <v>2206</v>
      </c>
      <c r="L259" s="65" t="s">
        <v>2207</v>
      </c>
      <c r="M259" s="65" t="s">
        <v>361</v>
      </c>
      <c r="N259" s="65" t="s">
        <v>2208</v>
      </c>
      <c r="O259" s="65" t="s">
        <v>2113</v>
      </c>
      <c r="P259" s="65" t="s">
        <v>2114</v>
      </c>
      <c r="Q259" s="65" t="s">
        <v>2115</v>
      </c>
      <c r="R259" s="65" t="s">
        <v>2116</v>
      </c>
      <c r="S259" s="65" t="s">
        <v>2117</v>
      </c>
      <c r="T259" s="65" t="s">
        <v>2118</v>
      </c>
      <c r="U259" s="65" t="s">
        <v>2119</v>
      </c>
      <c r="V259" s="65" t="s">
        <v>2120</v>
      </c>
      <c r="W259" s="65" t="s">
        <v>2121</v>
      </c>
      <c r="X259" s="65" t="s">
        <v>2122</v>
      </c>
      <c r="Y259" s="65" t="s">
        <v>1835</v>
      </c>
      <c r="Z259" s="65" t="s">
        <v>1827</v>
      </c>
      <c r="AA259" s="65" t="s">
        <v>2249</v>
      </c>
      <c r="AB259" s="65">
        <v>5</v>
      </c>
      <c r="AC259" s="65" t="s">
        <v>2250</v>
      </c>
      <c r="AD259" s="65" t="s">
        <v>2251</v>
      </c>
      <c r="AE259" s="65" t="s">
        <v>2252</v>
      </c>
      <c r="AF259" s="65" t="s">
        <v>2253</v>
      </c>
      <c r="AG259" s="65">
        <v>1</v>
      </c>
      <c r="AH259" s="65">
        <v>0</v>
      </c>
      <c r="AI259" s="65">
        <v>2</v>
      </c>
      <c r="AJ259" s="65">
        <v>2</v>
      </c>
      <c r="AK259" s="65" t="s">
        <v>202</v>
      </c>
      <c r="AL259" s="128">
        <v>45045</v>
      </c>
      <c r="AM259" s="65">
        <v>4</v>
      </c>
      <c r="AN259" s="65">
        <v>2</v>
      </c>
      <c r="AO259" s="65" t="s">
        <v>353</v>
      </c>
      <c r="AP259" s="65">
        <v>2</v>
      </c>
      <c r="AQ259" s="65" t="s">
        <v>352</v>
      </c>
      <c r="AR259" s="65" t="s">
        <v>202</v>
      </c>
      <c r="AS259" s="65">
        <v>1</v>
      </c>
      <c r="AT259" s="65">
        <v>1</v>
      </c>
      <c r="AU259" s="65" t="s">
        <v>1438</v>
      </c>
      <c r="AV259" s="65" t="s">
        <v>198</v>
      </c>
      <c r="AW259" s="65" t="s">
        <v>202</v>
      </c>
      <c r="AX259" s="65" t="s">
        <v>202</v>
      </c>
      <c r="AY259" s="65" t="s">
        <v>202</v>
      </c>
    </row>
    <row r="260" spans="1:51" x14ac:dyDescent="0.2">
      <c r="A260" s="65" t="s">
        <v>1341</v>
      </c>
      <c r="B260" s="65" t="s">
        <v>717</v>
      </c>
      <c r="C260" s="65" t="s">
        <v>718</v>
      </c>
      <c r="D260" s="65" t="s">
        <v>2254</v>
      </c>
      <c r="E260" s="65" t="s">
        <v>353</v>
      </c>
      <c r="F260" s="65" t="s">
        <v>1820</v>
      </c>
      <c r="G260" s="65" t="s">
        <v>1821</v>
      </c>
      <c r="H260" s="65" t="s">
        <v>2108</v>
      </c>
      <c r="I260" s="65" t="s">
        <v>2109</v>
      </c>
      <c r="J260" s="65">
        <v>3144343275</v>
      </c>
      <c r="K260" s="65" t="s">
        <v>2206</v>
      </c>
      <c r="L260" s="65" t="s">
        <v>2207</v>
      </c>
      <c r="M260" s="65" t="s">
        <v>361</v>
      </c>
      <c r="N260" s="65" t="s">
        <v>2208</v>
      </c>
      <c r="O260" s="65" t="s">
        <v>2113</v>
      </c>
      <c r="P260" s="65" t="s">
        <v>2114</v>
      </c>
      <c r="Q260" s="65" t="s">
        <v>2115</v>
      </c>
      <c r="R260" s="65" t="s">
        <v>2116</v>
      </c>
      <c r="S260" s="65" t="s">
        <v>2117</v>
      </c>
      <c r="T260" s="65" t="s">
        <v>2118</v>
      </c>
      <c r="U260" s="65" t="s">
        <v>2119</v>
      </c>
      <c r="V260" s="65" t="s">
        <v>2120</v>
      </c>
      <c r="W260" s="65" t="s">
        <v>2121</v>
      </c>
      <c r="X260" s="65" t="s">
        <v>2122</v>
      </c>
      <c r="Y260" s="65" t="s">
        <v>1835</v>
      </c>
      <c r="Z260" s="65" t="s">
        <v>1827</v>
      </c>
      <c r="AA260" s="65" t="s">
        <v>2255</v>
      </c>
      <c r="AB260" s="65">
        <v>6</v>
      </c>
      <c r="AC260" s="65" t="s">
        <v>2256</v>
      </c>
      <c r="AD260" s="65" t="s">
        <v>2257</v>
      </c>
      <c r="AE260" s="65" t="s">
        <v>2258</v>
      </c>
      <c r="AF260" s="65" t="s">
        <v>2253</v>
      </c>
      <c r="AG260" s="65">
        <v>1</v>
      </c>
      <c r="AH260" s="65">
        <v>1</v>
      </c>
      <c r="AI260" s="65">
        <v>3</v>
      </c>
      <c r="AJ260" s="65">
        <v>2</v>
      </c>
      <c r="AK260" s="65" t="s">
        <v>353</v>
      </c>
      <c r="AL260" s="129">
        <v>44926</v>
      </c>
      <c r="AM260" s="65">
        <v>4</v>
      </c>
      <c r="AN260" s="65">
        <v>1</v>
      </c>
      <c r="AO260" s="65" t="s">
        <v>202</v>
      </c>
      <c r="AP260" s="65">
        <v>2</v>
      </c>
      <c r="AQ260" s="65" t="s">
        <v>354</v>
      </c>
      <c r="AR260" s="65" t="s">
        <v>202</v>
      </c>
      <c r="AS260" s="65">
        <v>1</v>
      </c>
      <c r="AT260" s="65">
        <v>1</v>
      </c>
      <c r="AU260" s="65" t="s">
        <v>1438</v>
      </c>
      <c r="AV260" s="65" t="s">
        <v>198</v>
      </c>
      <c r="AW260" s="65" t="s">
        <v>353</v>
      </c>
      <c r="AX260" s="65" t="s">
        <v>202</v>
      </c>
      <c r="AY260" s="65" t="s">
        <v>353</v>
      </c>
    </row>
    <row r="261" spans="1:51" x14ac:dyDescent="0.2">
      <c r="A261" s="65" t="s">
        <v>1341</v>
      </c>
      <c r="B261" s="65" t="s">
        <v>534</v>
      </c>
      <c r="C261" s="65" t="s">
        <v>535</v>
      </c>
      <c r="D261" s="65" t="s">
        <v>2259</v>
      </c>
      <c r="E261" s="65" t="s">
        <v>353</v>
      </c>
      <c r="F261" s="65" t="s">
        <v>1820</v>
      </c>
      <c r="G261" s="65" t="s">
        <v>1821</v>
      </c>
      <c r="H261" s="65" t="s">
        <v>2108</v>
      </c>
      <c r="I261" s="65" t="s">
        <v>2109</v>
      </c>
      <c r="J261" s="65">
        <v>3144343275</v>
      </c>
      <c r="K261" s="65" t="s">
        <v>2260</v>
      </c>
      <c r="L261" s="65" t="s">
        <v>2261</v>
      </c>
      <c r="M261" s="65" t="s">
        <v>358</v>
      </c>
      <c r="N261" s="65" t="s">
        <v>2262</v>
      </c>
      <c r="O261" s="65" t="s">
        <v>2113</v>
      </c>
      <c r="P261" s="65" t="s">
        <v>2114</v>
      </c>
      <c r="Q261" s="65" t="s">
        <v>2115</v>
      </c>
      <c r="R261" s="65" t="s">
        <v>2116</v>
      </c>
      <c r="S261" s="65" t="s">
        <v>2117</v>
      </c>
      <c r="T261" s="65" t="s">
        <v>2118</v>
      </c>
      <c r="U261" s="65" t="s">
        <v>2119</v>
      </c>
      <c r="V261" s="65" t="s">
        <v>2120</v>
      </c>
      <c r="W261" s="65" t="s">
        <v>2121</v>
      </c>
      <c r="X261" s="65" t="s">
        <v>2122</v>
      </c>
      <c r="Y261" s="65" t="s">
        <v>2123</v>
      </c>
      <c r="Z261" s="65" t="s">
        <v>1853</v>
      </c>
      <c r="AA261" s="65" t="s">
        <v>2263</v>
      </c>
      <c r="AB261" s="65">
        <v>2</v>
      </c>
      <c r="AC261" s="65" t="s">
        <v>1542</v>
      </c>
      <c r="AD261" s="65" t="s">
        <v>2264</v>
      </c>
      <c r="AE261" s="65" t="s">
        <v>2265</v>
      </c>
      <c r="AF261" s="65" t="s">
        <v>1437</v>
      </c>
      <c r="AG261" s="65">
        <v>1</v>
      </c>
      <c r="AH261" s="65">
        <v>0</v>
      </c>
      <c r="AI261" s="65">
        <v>2</v>
      </c>
      <c r="AJ261" s="65">
        <v>2</v>
      </c>
      <c r="AK261" s="65" t="s">
        <v>353</v>
      </c>
      <c r="AL261" s="128">
        <v>44960</v>
      </c>
      <c r="AM261" s="65">
        <v>4</v>
      </c>
      <c r="AN261" s="65">
        <v>1</v>
      </c>
      <c r="AO261" s="65" t="s">
        <v>202</v>
      </c>
      <c r="AP261" s="65">
        <v>2</v>
      </c>
      <c r="AQ261" s="65" t="s">
        <v>355</v>
      </c>
      <c r="AR261" s="65" t="s">
        <v>202</v>
      </c>
      <c r="AS261" s="65">
        <v>1</v>
      </c>
      <c r="AT261" s="65">
        <v>1</v>
      </c>
      <c r="AU261" s="65" t="s">
        <v>1529</v>
      </c>
      <c r="AV261" s="65" t="s">
        <v>1439</v>
      </c>
      <c r="AW261" s="65" t="s">
        <v>202</v>
      </c>
      <c r="AX261" s="65" t="s">
        <v>353</v>
      </c>
      <c r="AY261" s="65" t="s">
        <v>353</v>
      </c>
    </row>
    <row r="262" spans="1:51" x14ac:dyDescent="0.2">
      <c r="A262" s="65" t="s">
        <v>1341</v>
      </c>
      <c r="B262" s="65" t="s">
        <v>528</v>
      </c>
      <c r="C262" s="65" t="s">
        <v>529</v>
      </c>
      <c r="D262" s="65" t="s">
        <v>2266</v>
      </c>
      <c r="E262" s="65" t="s">
        <v>353</v>
      </c>
      <c r="F262" s="65" t="s">
        <v>1820</v>
      </c>
      <c r="G262" s="65" t="s">
        <v>1821</v>
      </c>
      <c r="H262" s="65" t="s">
        <v>2108</v>
      </c>
      <c r="I262" s="65" t="s">
        <v>2109</v>
      </c>
      <c r="J262" s="65">
        <v>3144343275</v>
      </c>
      <c r="K262" s="65" t="s">
        <v>2260</v>
      </c>
      <c r="L262" s="65" t="s">
        <v>2261</v>
      </c>
      <c r="M262" s="65" t="s">
        <v>358</v>
      </c>
      <c r="N262" s="65" t="s">
        <v>2262</v>
      </c>
      <c r="O262" s="65" t="s">
        <v>2113</v>
      </c>
      <c r="P262" s="65" t="s">
        <v>2114</v>
      </c>
      <c r="Q262" s="65" t="s">
        <v>2115</v>
      </c>
      <c r="R262" s="65" t="s">
        <v>2116</v>
      </c>
      <c r="S262" s="65" t="s">
        <v>2117</v>
      </c>
      <c r="T262" s="65" t="s">
        <v>2118</v>
      </c>
      <c r="U262" s="65" t="s">
        <v>2119</v>
      </c>
      <c r="V262" s="65" t="s">
        <v>2120</v>
      </c>
      <c r="W262" s="65" t="s">
        <v>2121</v>
      </c>
      <c r="X262" s="65" t="s">
        <v>2122</v>
      </c>
      <c r="Y262" s="65" t="s">
        <v>2123</v>
      </c>
      <c r="Z262" s="65" t="s">
        <v>1853</v>
      </c>
      <c r="AA262" s="65" t="s">
        <v>2267</v>
      </c>
      <c r="AB262" s="65">
        <v>6</v>
      </c>
      <c r="AC262" s="65" t="s">
        <v>2268</v>
      </c>
      <c r="AD262" s="65" t="s">
        <v>2269</v>
      </c>
      <c r="AE262" s="65" t="s">
        <v>2270</v>
      </c>
      <c r="AF262" s="65" t="s">
        <v>1437</v>
      </c>
      <c r="AG262" s="65">
        <v>1</v>
      </c>
      <c r="AH262" s="65">
        <v>0</v>
      </c>
      <c r="AI262" s="65">
        <v>2</v>
      </c>
      <c r="AJ262" s="65">
        <v>2</v>
      </c>
      <c r="AK262" s="65" t="s">
        <v>202</v>
      </c>
      <c r="AL262" s="128">
        <v>45020</v>
      </c>
      <c r="AM262" s="65">
        <v>4</v>
      </c>
      <c r="AN262" s="65">
        <v>1</v>
      </c>
      <c r="AO262" s="65" t="s">
        <v>202</v>
      </c>
      <c r="AP262" s="65">
        <v>2</v>
      </c>
      <c r="AQ262" s="65" t="s">
        <v>355</v>
      </c>
      <c r="AR262" s="65" t="s">
        <v>353</v>
      </c>
      <c r="AS262" s="65">
        <v>1</v>
      </c>
      <c r="AT262" s="65">
        <v>1</v>
      </c>
      <c r="AU262" s="65" t="s">
        <v>1529</v>
      </c>
      <c r="AV262" s="65" t="s">
        <v>198</v>
      </c>
      <c r="AW262" s="65" t="s">
        <v>202</v>
      </c>
      <c r="AX262" s="65" t="s">
        <v>353</v>
      </c>
      <c r="AY262" s="65" t="s">
        <v>353</v>
      </c>
    </row>
    <row r="263" spans="1:51" x14ac:dyDescent="0.2">
      <c r="A263" s="65" t="s">
        <v>1341</v>
      </c>
      <c r="B263" s="65" t="s">
        <v>570</v>
      </c>
      <c r="C263" s="65" t="s">
        <v>571</v>
      </c>
      <c r="D263" s="65" t="s">
        <v>2271</v>
      </c>
      <c r="E263" s="65" t="s">
        <v>353</v>
      </c>
      <c r="F263" s="65" t="s">
        <v>1820</v>
      </c>
      <c r="G263" s="65" t="s">
        <v>1821</v>
      </c>
      <c r="H263" s="65" t="s">
        <v>2108</v>
      </c>
      <c r="I263" s="65" t="s">
        <v>2109</v>
      </c>
      <c r="J263" s="65">
        <v>3144343275</v>
      </c>
      <c r="K263" s="65" t="s">
        <v>2260</v>
      </c>
      <c r="L263" s="65" t="s">
        <v>2261</v>
      </c>
      <c r="M263" s="65" t="s">
        <v>358</v>
      </c>
      <c r="N263" s="65" t="s">
        <v>2262</v>
      </c>
      <c r="O263" s="65" t="s">
        <v>2113</v>
      </c>
      <c r="P263" s="65" t="s">
        <v>2114</v>
      </c>
      <c r="Q263" s="65" t="s">
        <v>2115</v>
      </c>
      <c r="R263" s="65" t="s">
        <v>2116</v>
      </c>
      <c r="S263" s="65" t="s">
        <v>2117</v>
      </c>
      <c r="T263" s="65" t="s">
        <v>2118</v>
      </c>
      <c r="U263" s="65" t="s">
        <v>2119</v>
      </c>
      <c r="V263" s="65" t="s">
        <v>2120</v>
      </c>
      <c r="W263" s="65" t="s">
        <v>2121</v>
      </c>
      <c r="X263" s="65" t="s">
        <v>2122</v>
      </c>
      <c r="Y263" s="65" t="s">
        <v>2123</v>
      </c>
      <c r="Z263" s="65" t="s">
        <v>1853</v>
      </c>
      <c r="AA263" s="65" t="s">
        <v>2272</v>
      </c>
      <c r="AB263" s="65">
        <v>5</v>
      </c>
      <c r="AC263" s="65" t="s">
        <v>2273</v>
      </c>
      <c r="AD263" s="65" t="s">
        <v>2274</v>
      </c>
      <c r="AE263" s="65" t="s">
        <v>2275</v>
      </c>
      <c r="AF263" s="65" t="s">
        <v>1437</v>
      </c>
      <c r="AG263" s="65">
        <v>1</v>
      </c>
      <c r="AH263" s="65">
        <v>0</v>
      </c>
      <c r="AI263" s="65">
        <v>1</v>
      </c>
      <c r="AJ263" s="65">
        <v>1</v>
      </c>
      <c r="AK263" s="65" t="s">
        <v>202</v>
      </c>
      <c r="AL263" s="128">
        <v>44960</v>
      </c>
      <c r="AM263" s="65">
        <v>4</v>
      </c>
      <c r="AN263" s="65">
        <v>0</v>
      </c>
      <c r="AO263" s="65" t="s">
        <v>202</v>
      </c>
      <c r="AP263" s="65">
        <v>2</v>
      </c>
      <c r="AQ263" s="65" t="s">
        <v>352</v>
      </c>
      <c r="AR263" s="65" t="s">
        <v>353</v>
      </c>
      <c r="AS263" s="65">
        <v>1</v>
      </c>
      <c r="AT263" s="65">
        <v>1</v>
      </c>
      <c r="AU263" s="65" t="s">
        <v>1529</v>
      </c>
      <c r="AV263" s="65" t="s">
        <v>198</v>
      </c>
      <c r="AW263" s="65" t="s">
        <v>202</v>
      </c>
      <c r="AX263" s="65" t="s">
        <v>202</v>
      </c>
      <c r="AY263" s="65" t="s">
        <v>353</v>
      </c>
    </row>
    <row r="264" spans="1:51" x14ac:dyDescent="0.2">
      <c r="A264" s="65" t="s">
        <v>1341</v>
      </c>
      <c r="B264" s="65" t="s">
        <v>537</v>
      </c>
      <c r="C264" s="65" t="s">
        <v>538</v>
      </c>
      <c r="D264" s="65" t="s">
        <v>2276</v>
      </c>
      <c r="E264" s="65" t="s">
        <v>353</v>
      </c>
      <c r="F264" s="65" t="s">
        <v>1820</v>
      </c>
      <c r="G264" s="65" t="s">
        <v>1821</v>
      </c>
      <c r="H264" s="65" t="s">
        <v>2108</v>
      </c>
      <c r="I264" s="65" t="s">
        <v>2109</v>
      </c>
      <c r="J264" s="65">
        <v>3144343275</v>
      </c>
      <c r="K264" s="65" t="s">
        <v>2260</v>
      </c>
      <c r="L264" s="65" t="s">
        <v>2261</v>
      </c>
      <c r="M264" s="65" t="s">
        <v>358</v>
      </c>
      <c r="N264" s="65" t="s">
        <v>2262</v>
      </c>
      <c r="O264" s="65" t="s">
        <v>2113</v>
      </c>
      <c r="P264" s="65" t="s">
        <v>2114</v>
      </c>
      <c r="Q264" s="65" t="s">
        <v>2115</v>
      </c>
      <c r="R264" s="65" t="s">
        <v>2116</v>
      </c>
      <c r="S264" s="65" t="s">
        <v>2117</v>
      </c>
      <c r="T264" s="65" t="s">
        <v>2118</v>
      </c>
      <c r="U264" s="65" t="s">
        <v>2119</v>
      </c>
      <c r="V264" s="65" t="s">
        <v>2120</v>
      </c>
      <c r="W264" s="65" t="s">
        <v>2121</v>
      </c>
      <c r="X264" s="65" t="s">
        <v>2122</v>
      </c>
      <c r="Y264" s="65" t="s">
        <v>2123</v>
      </c>
      <c r="Z264" s="65" t="s">
        <v>1853</v>
      </c>
      <c r="AA264" s="65" t="s">
        <v>2277</v>
      </c>
      <c r="AB264" s="65">
        <v>5</v>
      </c>
      <c r="AC264" s="65" t="s">
        <v>2223</v>
      </c>
      <c r="AD264" s="65" t="s">
        <v>2278</v>
      </c>
      <c r="AE264" s="65" t="s">
        <v>2279</v>
      </c>
      <c r="AF264" s="65" t="s">
        <v>1437</v>
      </c>
      <c r="AG264" s="65">
        <v>2</v>
      </c>
      <c r="AH264" s="65">
        <v>0</v>
      </c>
      <c r="AI264" s="65">
        <v>2</v>
      </c>
      <c r="AJ264" s="65">
        <v>2</v>
      </c>
      <c r="AK264" s="65" t="s">
        <v>353</v>
      </c>
      <c r="AL264" s="128">
        <v>45059</v>
      </c>
      <c r="AM264" s="65">
        <v>4</v>
      </c>
      <c r="AN264" s="65">
        <v>1</v>
      </c>
      <c r="AO264" s="65" t="s">
        <v>202</v>
      </c>
      <c r="AP264" s="65">
        <v>2</v>
      </c>
      <c r="AQ264" s="65" t="s">
        <v>352</v>
      </c>
      <c r="AR264" s="65" t="s">
        <v>202</v>
      </c>
      <c r="AS264" s="65">
        <v>1</v>
      </c>
      <c r="AT264" s="65">
        <v>1</v>
      </c>
      <c r="AU264" s="65" t="s">
        <v>1438</v>
      </c>
      <c r="AV264" s="65" t="s">
        <v>198</v>
      </c>
      <c r="AW264" s="65" t="s">
        <v>202</v>
      </c>
      <c r="AX264" s="65" t="s">
        <v>202</v>
      </c>
      <c r="AY264" s="65" t="s">
        <v>353</v>
      </c>
    </row>
    <row r="265" spans="1:51" x14ac:dyDescent="0.2">
      <c r="A265" s="65" t="s">
        <v>1341</v>
      </c>
      <c r="B265" s="65" t="s">
        <v>549</v>
      </c>
      <c r="C265" s="65" t="s">
        <v>550</v>
      </c>
      <c r="D265" s="65" t="s">
        <v>2280</v>
      </c>
      <c r="E265" s="65" t="s">
        <v>353</v>
      </c>
      <c r="F265" s="65" t="s">
        <v>1820</v>
      </c>
      <c r="G265" s="65" t="s">
        <v>1821</v>
      </c>
      <c r="H265" s="65" t="s">
        <v>2108</v>
      </c>
      <c r="I265" s="65" t="s">
        <v>2109</v>
      </c>
      <c r="J265" s="65">
        <v>3144343275</v>
      </c>
      <c r="K265" s="65" t="s">
        <v>2260</v>
      </c>
      <c r="L265" s="65" t="s">
        <v>2261</v>
      </c>
      <c r="M265" s="65" t="s">
        <v>358</v>
      </c>
      <c r="N265" s="65" t="s">
        <v>2262</v>
      </c>
      <c r="O265" s="65" t="s">
        <v>2113</v>
      </c>
      <c r="P265" s="65" t="s">
        <v>2114</v>
      </c>
      <c r="Q265" s="65" t="s">
        <v>2115</v>
      </c>
      <c r="R265" s="65" t="s">
        <v>2116</v>
      </c>
      <c r="S265" s="65" t="s">
        <v>2117</v>
      </c>
      <c r="T265" s="65" t="s">
        <v>2118</v>
      </c>
      <c r="U265" s="65" t="s">
        <v>2119</v>
      </c>
      <c r="V265" s="65" t="s">
        <v>2120</v>
      </c>
      <c r="W265" s="65" t="s">
        <v>2121</v>
      </c>
      <c r="X265" s="65" t="s">
        <v>2122</v>
      </c>
      <c r="Y265" s="65" t="s">
        <v>2123</v>
      </c>
      <c r="Z265" s="65" t="s">
        <v>1853</v>
      </c>
      <c r="AA265" s="65" t="s">
        <v>2281</v>
      </c>
      <c r="AB265" s="65">
        <v>6</v>
      </c>
      <c r="AC265" s="65" t="s">
        <v>2282</v>
      </c>
      <c r="AD265" s="65" t="s">
        <v>2283</v>
      </c>
      <c r="AE265" s="65" t="s">
        <v>2284</v>
      </c>
      <c r="AF265" s="65" t="s">
        <v>1437</v>
      </c>
      <c r="AG265" s="65">
        <v>1</v>
      </c>
      <c r="AH265" s="65">
        <v>0</v>
      </c>
      <c r="AI265" s="65">
        <v>2</v>
      </c>
      <c r="AJ265" s="65">
        <v>2</v>
      </c>
      <c r="AK265" s="65" t="s">
        <v>202</v>
      </c>
      <c r="AL265" s="128">
        <v>44985</v>
      </c>
      <c r="AM265" s="65">
        <v>4</v>
      </c>
      <c r="AN265" s="65">
        <v>1</v>
      </c>
      <c r="AO265" s="65" t="s">
        <v>202</v>
      </c>
      <c r="AP265" s="65">
        <v>3</v>
      </c>
      <c r="AQ265" s="65" t="s">
        <v>355</v>
      </c>
      <c r="AR265" s="65" t="s">
        <v>353</v>
      </c>
      <c r="AS265" s="65">
        <v>1</v>
      </c>
      <c r="AT265" s="65">
        <v>1</v>
      </c>
      <c r="AU265" s="65" t="s">
        <v>1529</v>
      </c>
      <c r="AV265" s="65" t="s">
        <v>198</v>
      </c>
      <c r="AW265" s="65" t="s">
        <v>202</v>
      </c>
      <c r="AX265" s="65" t="s">
        <v>353</v>
      </c>
      <c r="AY265" s="65" t="s">
        <v>353</v>
      </c>
    </row>
    <row r="266" spans="1:51" x14ac:dyDescent="0.2">
      <c r="A266" s="65" t="s">
        <v>1341</v>
      </c>
      <c r="B266" s="65" t="s">
        <v>709</v>
      </c>
      <c r="C266" s="65" t="s">
        <v>710</v>
      </c>
      <c r="D266" s="65" t="s">
        <v>2285</v>
      </c>
      <c r="E266" s="65" t="s">
        <v>353</v>
      </c>
      <c r="F266" s="65" t="s">
        <v>1820</v>
      </c>
      <c r="G266" s="65" t="s">
        <v>1821</v>
      </c>
      <c r="H266" s="65" t="s">
        <v>2108</v>
      </c>
      <c r="I266" s="65" t="s">
        <v>2109</v>
      </c>
      <c r="J266" s="65">
        <v>3144343275</v>
      </c>
      <c r="K266" s="65" t="s">
        <v>2286</v>
      </c>
      <c r="L266" s="65" t="s">
        <v>2287</v>
      </c>
      <c r="M266" s="65" t="s">
        <v>360</v>
      </c>
      <c r="N266" s="65" t="s">
        <v>2288</v>
      </c>
      <c r="O266" s="65" t="s">
        <v>2113</v>
      </c>
      <c r="P266" s="65" t="s">
        <v>2114</v>
      </c>
      <c r="Q266" s="65" t="s">
        <v>2115</v>
      </c>
      <c r="R266" s="65" t="s">
        <v>2116</v>
      </c>
      <c r="S266" s="65" t="s">
        <v>2117</v>
      </c>
      <c r="T266" s="65" t="s">
        <v>2118</v>
      </c>
      <c r="U266" s="65" t="s">
        <v>2119</v>
      </c>
      <c r="V266" s="65" t="s">
        <v>2120</v>
      </c>
      <c r="W266" s="65" t="s">
        <v>2121</v>
      </c>
      <c r="X266" s="65" t="s">
        <v>2122</v>
      </c>
      <c r="Y266" s="65" t="s">
        <v>2289</v>
      </c>
      <c r="Z266" s="65" t="s">
        <v>1823</v>
      </c>
      <c r="AA266" s="65" t="s">
        <v>2290</v>
      </c>
      <c r="AB266" s="65">
        <v>3</v>
      </c>
      <c r="AC266" s="65" t="s">
        <v>2055</v>
      </c>
      <c r="AD266" s="65" t="s">
        <v>1527</v>
      </c>
      <c r="AE266" s="65" t="s">
        <v>2291</v>
      </c>
      <c r="AF266" s="65" t="s">
        <v>1437</v>
      </c>
      <c r="AG266" s="65">
        <v>2</v>
      </c>
      <c r="AH266" s="65">
        <v>1</v>
      </c>
      <c r="AI266" s="65">
        <v>3</v>
      </c>
      <c r="AJ266" s="65">
        <v>2</v>
      </c>
      <c r="AK266" s="65" t="s">
        <v>202</v>
      </c>
      <c r="AL266" s="128">
        <v>44985</v>
      </c>
      <c r="AM266" s="65">
        <v>4</v>
      </c>
      <c r="AN266" s="65">
        <v>2</v>
      </c>
      <c r="AO266" s="65" t="s">
        <v>202</v>
      </c>
      <c r="AP266" s="65">
        <v>2</v>
      </c>
      <c r="AQ266" s="65" t="s">
        <v>352</v>
      </c>
      <c r="AR266" s="65" t="s">
        <v>202</v>
      </c>
      <c r="AS266" s="65">
        <v>1</v>
      </c>
      <c r="AT266" s="65">
        <v>1</v>
      </c>
      <c r="AU266" s="65" t="s">
        <v>1529</v>
      </c>
      <c r="AV266" s="65" t="s">
        <v>1439</v>
      </c>
      <c r="AW266" s="65" t="s">
        <v>202</v>
      </c>
      <c r="AX266" s="65" t="s">
        <v>202</v>
      </c>
      <c r="AY266" s="65" t="s">
        <v>353</v>
      </c>
    </row>
    <row r="267" spans="1:51" x14ac:dyDescent="0.2">
      <c r="A267" s="65" t="s">
        <v>1341</v>
      </c>
      <c r="B267" s="65" t="s">
        <v>705</v>
      </c>
      <c r="C267" s="65" t="s">
        <v>706</v>
      </c>
      <c r="D267" s="65" t="s">
        <v>2292</v>
      </c>
      <c r="E267" s="65" t="s">
        <v>353</v>
      </c>
      <c r="F267" s="65" t="s">
        <v>1820</v>
      </c>
      <c r="G267" s="65" t="s">
        <v>1821</v>
      </c>
      <c r="H267" s="65" t="s">
        <v>2108</v>
      </c>
      <c r="I267" s="65" t="s">
        <v>2109</v>
      </c>
      <c r="J267" s="65">
        <v>3144343275</v>
      </c>
      <c r="K267" s="65" t="s">
        <v>2286</v>
      </c>
      <c r="L267" s="65" t="s">
        <v>2287</v>
      </c>
      <c r="M267" s="65" t="s">
        <v>360</v>
      </c>
      <c r="N267" s="65" t="s">
        <v>2288</v>
      </c>
      <c r="O267" s="65" t="s">
        <v>2113</v>
      </c>
      <c r="P267" s="65" t="s">
        <v>2114</v>
      </c>
      <c r="Q267" s="65" t="s">
        <v>2115</v>
      </c>
      <c r="R267" s="65" t="s">
        <v>2116</v>
      </c>
      <c r="S267" s="65" t="s">
        <v>2117</v>
      </c>
      <c r="T267" s="65" t="s">
        <v>2118</v>
      </c>
      <c r="U267" s="65" t="s">
        <v>2119</v>
      </c>
      <c r="V267" s="65" t="s">
        <v>2120</v>
      </c>
      <c r="W267" s="65" t="s">
        <v>2121</v>
      </c>
      <c r="X267" s="65" t="s">
        <v>2122</v>
      </c>
      <c r="Y267" s="65" t="s">
        <v>1822</v>
      </c>
      <c r="Z267" s="65" t="s">
        <v>1823</v>
      </c>
      <c r="AA267" s="65" t="s">
        <v>2293</v>
      </c>
      <c r="AB267" s="65">
        <v>3</v>
      </c>
      <c r="AC267" s="65" t="s">
        <v>2294</v>
      </c>
      <c r="AD267" s="65" t="s">
        <v>2295</v>
      </c>
      <c r="AE267" s="65" t="s">
        <v>2296</v>
      </c>
      <c r="AF267" s="65" t="s">
        <v>1437</v>
      </c>
      <c r="AG267" s="65">
        <v>1</v>
      </c>
      <c r="AH267" s="65">
        <v>1</v>
      </c>
      <c r="AI267" s="65">
        <v>3</v>
      </c>
      <c r="AJ267" s="65">
        <v>2</v>
      </c>
      <c r="AK267" s="65" t="s">
        <v>353</v>
      </c>
      <c r="AL267" s="128">
        <v>44951</v>
      </c>
      <c r="AM267" s="65">
        <v>4</v>
      </c>
      <c r="AN267" s="65">
        <v>2</v>
      </c>
      <c r="AO267" s="65" t="s">
        <v>202</v>
      </c>
      <c r="AP267" s="65">
        <v>2</v>
      </c>
      <c r="AQ267" s="65" t="s">
        <v>355</v>
      </c>
      <c r="AR267" s="65" t="s">
        <v>202</v>
      </c>
      <c r="AS267" s="65">
        <v>1</v>
      </c>
      <c r="AT267" s="65">
        <v>1</v>
      </c>
      <c r="AU267" s="65" t="s">
        <v>1438</v>
      </c>
      <c r="AV267" s="65" t="s">
        <v>1439</v>
      </c>
      <c r="AW267" s="65" t="s">
        <v>202</v>
      </c>
      <c r="AX267" s="65" t="s">
        <v>202</v>
      </c>
      <c r="AY267" s="65" t="s">
        <v>353</v>
      </c>
    </row>
    <row r="268" spans="1:51" x14ac:dyDescent="0.2">
      <c r="A268" s="65" t="s">
        <v>1341</v>
      </c>
      <c r="B268" s="65" t="s">
        <v>561</v>
      </c>
      <c r="C268" s="65" t="s">
        <v>562</v>
      </c>
      <c r="D268" s="65" t="s">
        <v>2297</v>
      </c>
      <c r="E268" s="65" t="s">
        <v>353</v>
      </c>
      <c r="F268" s="65" t="s">
        <v>1820</v>
      </c>
      <c r="G268" s="65" t="s">
        <v>1821</v>
      </c>
      <c r="H268" s="65" t="s">
        <v>2108</v>
      </c>
      <c r="I268" s="65" t="s">
        <v>2109</v>
      </c>
      <c r="J268" s="65">
        <v>3144343275</v>
      </c>
      <c r="K268" s="65" t="s">
        <v>2286</v>
      </c>
      <c r="L268" s="65" t="s">
        <v>2287</v>
      </c>
      <c r="M268" s="65" t="s">
        <v>360</v>
      </c>
      <c r="N268" s="65" t="s">
        <v>2288</v>
      </c>
      <c r="O268" s="65" t="s">
        <v>2113</v>
      </c>
      <c r="P268" s="65" t="s">
        <v>2114</v>
      </c>
      <c r="Q268" s="65" t="s">
        <v>2115</v>
      </c>
      <c r="R268" s="65" t="s">
        <v>2116</v>
      </c>
      <c r="S268" s="65" t="s">
        <v>2117</v>
      </c>
      <c r="T268" s="65" t="s">
        <v>2118</v>
      </c>
      <c r="U268" s="65" t="s">
        <v>2119</v>
      </c>
      <c r="V268" s="65" t="s">
        <v>2120</v>
      </c>
      <c r="W268" s="65" t="s">
        <v>2121</v>
      </c>
      <c r="X268" s="65" t="s">
        <v>2122</v>
      </c>
      <c r="Y268" s="65" t="s">
        <v>1822</v>
      </c>
      <c r="Z268" s="65" t="s">
        <v>1823</v>
      </c>
      <c r="AA268" s="65" t="s">
        <v>2298</v>
      </c>
      <c r="AB268" s="65">
        <v>2</v>
      </c>
      <c r="AC268" s="65" t="s">
        <v>2299</v>
      </c>
      <c r="AD268" s="65" t="s">
        <v>2300</v>
      </c>
      <c r="AE268" s="65" t="s">
        <v>2301</v>
      </c>
      <c r="AF268" s="65" t="s">
        <v>1437</v>
      </c>
      <c r="AG268" s="65">
        <v>1</v>
      </c>
      <c r="AH268" s="65">
        <v>0</v>
      </c>
      <c r="AI268" s="65">
        <v>2</v>
      </c>
      <c r="AJ268" s="65">
        <v>1</v>
      </c>
      <c r="AK268" s="65" t="s">
        <v>353</v>
      </c>
      <c r="AL268" s="128">
        <v>44982</v>
      </c>
      <c r="AM268" s="65">
        <v>4</v>
      </c>
      <c r="AN268" s="65">
        <v>2</v>
      </c>
      <c r="AO268" s="65" t="s">
        <v>353</v>
      </c>
      <c r="AP268" s="65">
        <v>2</v>
      </c>
      <c r="AQ268" s="65" t="s">
        <v>352</v>
      </c>
      <c r="AR268" s="65" t="s">
        <v>202</v>
      </c>
      <c r="AS268" s="65">
        <v>1</v>
      </c>
      <c r="AT268" s="65">
        <v>1</v>
      </c>
      <c r="AU268" s="65" t="s">
        <v>1438</v>
      </c>
      <c r="AV268" s="65" t="s">
        <v>1439</v>
      </c>
      <c r="AW268" s="65" t="s">
        <v>202</v>
      </c>
      <c r="AX268" s="65" t="s">
        <v>202</v>
      </c>
      <c r="AY268" s="65" t="s">
        <v>353</v>
      </c>
    </row>
    <row r="269" spans="1:51" x14ac:dyDescent="0.2">
      <c r="A269" s="65" t="s">
        <v>1341</v>
      </c>
      <c r="B269" s="65" t="s">
        <v>546</v>
      </c>
      <c r="C269" s="65" t="s">
        <v>547</v>
      </c>
      <c r="D269" s="65" t="s">
        <v>2302</v>
      </c>
      <c r="E269" s="65" t="s">
        <v>353</v>
      </c>
      <c r="F269" s="65" t="s">
        <v>1820</v>
      </c>
      <c r="G269" s="65" t="s">
        <v>1821</v>
      </c>
      <c r="H269" s="65" t="s">
        <v>2108</v>
      </c>
      <c r="I269" s="65" t="s">
        <v>2109</v>
      </c>
      <c r="J269" s="65">
        <v>3144343275</v>
      </c>
      <c r="K269" s="65" t="s">
        <v>2286</v>
      </c>
      <c r="L269" s="65" t="s">
        <v>2287</v>
      </c>
      <c r="M269" s="65" t="s">
        <v>360</v>
      </c>
      <c r="N269" s="65" t="s">
        <v>2288</v>
      </c>
      <c r="O269" s="65" t="s">
        <v>2113</v>
      </c>
      <c r="P269" s="65" t="s">
        <v>2114</v>
      </c>
      <c r="Q269" s="65" t="s">
        <v>2115</v>
      </c>
      <c r="R269" s="65" t="s">
        <v>2116</v>
      </c>
      <c r="S269" s="65" t="s">
        <v>2117</v>
      </c>
      <c r="T269" s="65" t="s">
        <v>2118</v>
      </c>
      <c r="U269" s="65" t="s">
        <v>2119</v>
      </c>
      <c r="V269" s="65" t="s">
        <v>2120</v>
      </c>
      <c r="W269" s="65" t="s">
        <v>2121</v>
      </c>
      <c r="X269" s="65" t="s">
        <v>2122</v>
      </c>
      <c r="Y269" s="65" t="s">
        <v>1822</v>
      </c>
      <c r="Z269" s="65" t="s">
        <v>1823</v>
      </c>
      <c r="AA269" s="65" t="s">
        <v>2303</v>
      </c>
      <c r="AB269" s="65">
        <v>2</v>
      </c>
      <c r="AC269" s="65" t="s">
        <v>2071</v>
      </c>
      <c r="AD269" s="65" t="s">
        <v>2304</v>
      </c>
      <c r="AE269" s="65" t="s">
        <v>2305</v>
      </c>
      <c r="AF269" s="65" t="s">
        <v>1437</v>
      </c>
      <c r="AG269" s="65">
        <v>1</v>
      </c>
      <c r="AH269" s="65">
        <v>0</v>
      </c>
      <c r="AI269" s="65">
        <v>2</v>
      </c>
      <c r="AJ269" s="65">
        <v>1</v>
      </c>
      <c r="AK269" s="65" t="s">
        <v>202</v>
      </c>
      <c r="AL269" s="128">
        <v>45015</v>
      </c>
      <c r="AM269" s="65">
        <v>4</v>
      </c>
      <c r="AN269" s="65">
        <v>2</v>
      </c>
      <c r="AO269" s="65" t="s">
        <v>202</v>
      </c>
      <c r="AP269" s="65">
        <v>2</v>
      </c>
      <c r="AQ269" s="65" t="s">
        <v>355</v>
      </c>
      <c r="AR269" s="65" t="s">
        <v>202</v>
      </c>
      <c r="AS269" s="65">
        <v>1</v>
      </c>
      <c r="AT269" s="65">
        <v>1</v>
      </c>
      <c r="AU269" s="65" t="s">
        <v>1529</v>
      </c>
      <c r="AV269" s="65" t="s">
        <v>1439</v>
      </c>
      <c r="AW269" s="65" t="s">
        <v>202</v>
      </c>
      <c r="AX269" s="65" t="s">
        <v>202</v>
      </c>
      <c r="AY269" s="65" t="s">
        <v>353</v>
      </c>
    </row>
    <row r="270" spans="1:51" x14ac:dyDescent="0.2">
      <c r="A270" s="65" t="s">
        <v>1341</v>
      </c>
      <c r="B270" s="65" t="s">
        <v>713</v>
      </c>
      <c r="C270" s="65" t="s">
        <v>714</v>
      </c>
      <c r="D270" s="65" t="s">
        <v>2306</v>
      </c>
      <c r="E270" s="65" t="s">
        <v>353</v>
      </c>
      <c r="F270" s="65" t="s">
        <v>1820</v>
      </c>
      <c r="G270" s="65" t="s">
        <v>1821</v>
      </c>
      <c r="H270" s="65" t="s">
        <v>2108</v>
      </c>
      <c r="I270" s="65" t="s">
        <v>2109</v>
      </c>
      <c r="J270" s="65">
        <v>3144343275</v>
      </c>
      <c r="K270" s="65" t="s">
        <v>2286</v>
      </c>
      <c r="L270" s="65" t="s">
        <v>2287</v>
      </c>
      <c r="M270" s="65" t="s">
        <v>360</v>
      </c>
      <c r="N270" s="65" t="s">
        <v>2288</v>
      </c>
      <c r="O270" s="65" t="s">
        <v>2113</v>
      </c>
      <c r="P270" s="65" t="s">
        <v>2114</v>
      </c>
      <c r="Q270" s="65" t="s">
        <v>2115</v>
      </c>
      <c r="R270" s="65" t="s">
        <v>2116</v>
      </c>
      <c r="S270" s="65" t="s">
        <v>2117</v>
      </c>
      <c r="T270" s="65" t="s">
        <v>2118</v>
      </c>
      <c r="U270" s="65" t="s">
        <v>2119</v>
      </c>
      <c r="V270" s="65" t="s">
        <v>2120</v>
      </c>
      <c r="W270" s="65" t="s">
        <v>2121</v>
      </c>
      <c r="X270" s="65" t="s">
        <v>2122</v>
      </c>
      <c r="Y270" s="65" t="s">
        <v>1822</v>
      </c>
      <c r="Z270" s="65" t="s">
        <v>1823</v>
      </c>
      <c r="AA270" s="65" t="s">
        <v>2307</v>
      </c>
      <c r="AB270" s="65">
        <v>3</v>
      </c>
      <c r="AC270" s="65" t="s">
        <v>2308</v>
      </c>
      <c r="AD270" s="65" t="s">
        <v>2309</v>
      </c>
      <c r="AE270" s="65" t="s">
        <v>2310</v>
      </c>
      <c r="AF270" s="65" t="s">
        <v>1437</v>
      </c>
      <c r="AG270" s="65">
        <v>2</v>
      </c>
      <c r="AH270" s="65">
        <v>1</v>
      </c>
      <c r="AI270" s="65">
        <v>2</v>
      </c>
      <c r="AJ270" s="65">
        <v>2</v>
      </c>
      <c r="AK270" s="65" t="s">
        <v>353</v>
      </c>
      <c r="AL270" s="128">
        <v>45033</v>
      </c>
      <c r="AM270" s="65">
        <v>4</v>
      </c>
      <c r="AN270" s="65">
        <v>2</v>
      </c>
      <c r="AO270" s="65" t="s">
        <v>202</v>
      </c>
      <c r="AP270" s="65">
        <v>2</v>
      </c>
      <c r="AQ270" s="65" t="s">
        <v>352</v>
      </c>
      <c r="AR270" s="65" t="s">
        <v>202</v>
      </c>
      <c r="AS270" s="65">
        <v>1</v>
      </c>
      <c r="AT270" s="65">
        <v>1</v>
      </c>
      <c r="AU270" s="65" t="s">
        <v>1438</v>
      </c>
      <c r="AV270" s="65" t="s">
        <v>1439</v>
      </c>
      <c r="AW270" s="65" t="s">
        <v>202</v>
      </c>
      <c r="AX270" s="65" t="s">
        <v>202</v>
      </c>
      <c r="AY270" s="65" t="s">
        <v>353</v>
      </c>
    </row>
    <row r="271" spans="1:51" x14ac:dyDescent="0.2">
      <c r="A271" s="65" t="s">
        <v>1341</v>
      </c>
      <c r="B271" s="65" t="s">
        <v>699</v>
      </c>
      <c r="C271" s="65" t="s">
        <v>700</v>
      </c>
      <c r="D271" s="65" t="s">
        <v>2311</v>
      </c>
      <c r="E271" s="65" t="s">
        <v>353</v>
      </c>
      <c r="F271" s="65" t="s">
        <v>1820</v>
      </c>
      <c r="G271" s="65" t="s">
        <v>1821</v>
      </c>
      <c r="H271" s="65" t="s">
        <v>2108</v>
      </c>
      <c r="I271" s="65" t="s">
        <v>2109</v>
      </c>
      <c r="J271" s="65">
        <v>3144343275</v>
      </c>
      <c r="K271" s="65" t="s">
        <v>2286</v>
      </c>
      <c r="L271" s="65" t="s">
        <v>2287</v>
      </c>
      <c r="M271" s="65" t="s">
        <v>360</v>
      </c>
      <c r="N271" s="65" t="s">
        <v>2288</v>
      </c>
      <c r="O271" s="65" t="s">
        <v>2113</v>
      </c>
      <c r="P271" s="65" t="s">
        <v>2114</v>
      </c>
      <c r="Q271" s="65" t="s">
        <v>2115</v>
      </c>
      <c r="R271" s="65" t="s">
        <v>2116</v>
      </c>
      <c r="S271" s="65" t="s">
        <v>2117</v>
      </c>
      <c r="T271" s="65" t="s">
        <v>2118</v>
      </c>
      <c r="U271" s="65" t="s">
        <v>2119</v>
      </c>
      <c r="V271" s="65" t="s">
        <v>2120</v>
      </c>
      <c r="W271" s="65" t="s">
        <v>2121</v>
      </c>
      <c r="X271" s="65" t="s">
        <v>2122</v>
      </c>
      <c r="Y271" s="65" t="s">
        <v>1822</v>
      </c>
      <c r="Z271" s="65" t="s">
        <v>1823</v>
      </c>
      <c r="AA271" s="65" t="s">
        <v>2312</v>
      </c>
      <c r="AB271" s="65">
        <v>2</v>
      </c>
      <c r="AC271" s="65" t="s">
        <v>2313</v>
      </c>
      <c r="AD271" s="65" t="s">
        <v>2314</v>
      </c>
      <c r="AE271" s="65" t="s">
        <v>2315</v>
      </c>
      <c r="AF271" s="65" t="s">
        <v>1437</v>
      </c>
      <c r="AG271" s="65">
        <v>2</v>
      </c>
      <c r="AH271" s="65">
        <v>1</v>
      </c>
      <c r="AI271" s="65">
        <v>2</v>
      </c>
      <c r="AJ271" s="65">
        <v>1</v>
      </c>
      <c r="AK271" s="65" t="s">
        <v>202</v>
      </c>
      <c r="AL271" s="128">
        <v>45056</v>
      </c>
      <c r="AM271" s="65">
        <v>4</v>
      </c>
      <c r="AN271" s="65">
        <v>1</v>
      </c>
      <c r="AO271" s="65" t="s">
        <v>202</v>
      </c>
      <c r="AP271" s="65">
        <v>2</v>
      </c>
      <c r="AQ271" s="65" t="s">
        <v>352</v>
      </c>
      <c r="AR271" s="65" t="s">
        <v>202</v>
      </c>
      <c r="AS271" s="65">
        <v>1</v>
      </c>
      <c r="AT271" s="65">
        <v>1</v>
      </c>
      <c r="AU271" s="65" t="s">
        <v>1529</v>
      </c>
      <c r="AV271" s="65" t="s">
        <v>1439</v>
      </c>
      <c r="AW271" s="65" t="s">
        <v>202</v>
      </c>
      <c r="AX271" s="65" t="s">
        <v>202</v>
      </c>
      <c r="AY271" s="65" t="s">
        <v>202</v>
      </c>
    </row>
    <row r="272" spans="1:51" x14ac:dyDescent="0.2">
      <c r="A272" s="65" t="s">
        <v>1341</v>
      </c>
      <c r="B272" s="65" t="s">
        <v>715</v>
      </c>
      <c r="C272" s="65" t="s">
        <v>716</v>
      </c>
      <c r="D272" s="65" t="s">
        <v>2316</v>
      </c>
      <c r="E272" s="65" t="s">
        <v>353</v>
      </c>
      <c r="F272" s="65" t="s">
        <v>1820</v>
      </c>
      <c r="G272" s="65" t="s">
        <v>1821</v>
      </c>
      <c r="H272" s="65" t="s">
        <v>2108</v>
      </c>
      <c r="I272" s="65" t="s">
        <v>2109</v>
      </c>
      <c r="J272" s="65">
        <v>3144343275</v>
      </c>
      <c r="K272" s="65" t="s">
        <v>2286</v>
      </c>
      <c r="L272" s="65" t="s">
        <v>2287</v>
      </c>
      <c r="M272" s="65" t="s">
        <v>360</v>
      </c>
      <c r="N272" s="65" t="s">
        <v>2288</v>
      </c>
      <c r="O272" s="65" t="s">
        <v>2113</v>
      </c>
      <c r="P272" s="65" t="s">
        <v>2114</v>
      </c>
      <c r="Q272" s="65" t="s">
        <v>2115</v>
      </c>
      <c r="R272" s="65" t="s">
        <v>2116</v>
      </c>
      <c r="S272" s="65" t="s">
        <v>2117</v>
      </c>
      <c r="T272" s="65" t="s">
        <v>2118</v>
      </c>
      <c r="U272" s="65" t="s">
        <v>2119</v>
      </c>
      <c r="V272" s="65" t="s">
        <v>2120</v>
      </c>
      <c r="W272" s="65" t="s">
        <v>2121</v>
      </c>
      <c r="X272" s="65" t="s">
        <v>2122</v>
      </c>
      <c r="Y272" s="65" t="s">
        <v>1822</v>
      </c>
      <c r="Z272" s="65" t="s">
        <v>1823</v>
      </c>
      <c r="AA272" s="65" t="s">
        <v>2317</v>
      </c>
      <c r="AB272" s="65">
        <v>2</v>
      </c>
      <c r="AC272" s="65" t="s">
        <v>2318</v>
      </c>
      <c r="AD272" s="65" t="s">
        <v>2319</v>
      </c>
      <c r="AE272" s="65" t="s">
        <v>2320</v>
      </c>
      <c r="AF272" s="65" t="s">
        <v>1437</v>
      </c>
      <c r="AG272" s="65">
        <v>2</v>
      </c>
      <c r="AH272" s="65">
        <v>1</v>
      </c>
      <c r="AI272" s="65">
        <v>2</v>
      </c>
      <c r="AJ272" s="65">
        <v>2</v>
      </c>
      <c r="AK272" s="65" t="s">
        <v>202</v>
      </c>
      <c r="AL272" s="128">
        <v>45021</v>
      </c>
      <c r="AM272" s="65">
        <v>4</v>
      </c>
      <c r="AN272" s="65">
        <v>2</v>
      </c>
      <c r="AO272" s="65" t="s">
        <v>202</v>
      </c>
      <c r="AP272" s="65">
        <v>2</v>
      </c>
      <c r="AQ272" s="65" t="s">
        <v>352</v>
      </c>
      <c r="AR272" s="65" t="s">
        <v>202</v>
      </c>
      <c r="AS272" s="65">
        <v>1</v>
      </c>
      <c r="AT272" s="65">
        <v>1</v>
      </c>
      <c r="AU272" s="65" t="s">
        <v>1438</v>
      </c>
      <c r="AV272" s="65" t="s">
        <v>1439</v>
      </c>
      <c r="AW272" s="65" t="s">
        <v>202</v>
      </c>
      <c r="AX272" s="65" t="s">
        <v>202</v>
      </c>
      <c r="AY272" s="65" t="s">
        <v>353</v>
      </c>
    </row>
    <row r="273" spans="1:51" x14ac:dyDescent="0.2">
      <c r="A273" s="65" t="s">
        <v>1341</v>
      </c>
      <c r="B273" s="65" t="s">
        <v>568</v>
      </c>
      <c r="C273" s="65" t="s">
        <v>569</v>
      </c>
      <c r="D273" s="65" t="s">
        <v>2321</v>
      </c>
      <c r="E273" s="65" t="s">
        <v>353</v>
      </c>
      <c r="F273" s="65" t="s">
        <v>1820</v>
      </c>
      <c r="G273" s="65" t="s">
        <v>1821</v>
      </c>
      <c r="H273" s="65" t="s">
        <v>2108</v>
      </c>
      <c r="I273" s="65" t="s">
        <v>2109</v>
      </c>
      <c r="J273" s="65">
        <v>3144343275</v>
      </c>
      <c r="K273" s="65" t="s">
        <v>2286</v>
      </c>
      <c r="L273" s="65" t="s">
        <v>2287</v>
      </c>
      <c r="M273" s="65" t="s">
        <v>360</v>
      </c>
      <c r="N273" s="65" t="s">
        <v>2288</v>
      </c>
      <c r="O273" s="65" t="s">
        <v>2113</v>
      </c>
      <c r="P273" s="65" t="s">
        <v>2114</v>
      </c>
      <c r="Q273" s="65" t="s">
        <v>2115</v>
      </c>
      <c r="R273" s="65" t="s">
        <v>2116</v>
      </c>
      <c r="S273" s="65" t="s">
        <v>2117</v>
      </c>
      <c r="T273" s="65" t="s">
        <v>2118</v>
      </c>
      <c r="U273" s="65" t="s">
        <v>2119</v>
      </c>
      <c r="V273" s="65" t="s">
        <v>2120</v>
      </c>
      <c r="W273" s="65" t="s">
        <v>2121</v>
      </c>
      <c r="X273" s="65" t="s">
        <v>2122</v>
      </c>
      <c r="Y273" s="65" t="s">
        <v>1822</v>
      </c>
      <c r="Z273" s="65" t="s">
        <v>1823</v>
      </c>
      <c r="AA273" s="65" t="s">
        <v>2322</v>
      </c>
      <c r="AB273" s="65">
        <v>2</v>
      </c>
      <c r="AC273" s="65" t="s">
        <v>2323</v>
      </c>
      <c r="AD273" s="65" t="s">
        <v>2072</v>
      </c>
      <c r="AE273" s="65" t="s">
        <v>2324</v>
      </c>
      <c r="AF273" s="65" t="s">
        <v>1437</v>
      </c>
      <c r="AG273" s="65">
        <v>2</v>
      </c>
      <c r="AH273" s="65">
        <v>0</v>
      </c>
      <c r="AI273" s="65">
        <v>2</v>
      </c>
      <c r="AJ273" s="65">
        <v>1</v>
      </c>
      <c r="AK273" s="65" t="s">
        <v>202</v>
      </c>
      <c r="AL273" s="128">
        <v>45014</v>
      </c>
      <c r="AM273" s="65">
        <v>4</v>
      </c>
      <c r="AN273" s="65">
        <v>2</v>
      </c>
      <c r="AO273" s="65" t="s">
        <v>202</v>
      </c>
      <c r="AP273" s="65">
        <v>2</v>
      </c>
      <c r="AQ273" s="65" t="s">
        <v>352</v>
      </c>
      <c r="AR273" s="65" t="s">
        <v>202</v>
      </c>
      <c r="AS273" s="65">
        <v>1</v>
      </c>
      <c r="AT273" s="65">
        <v>1</v>
      </c>
      <c r="AU273" s="65" t="s">
        <v>1438</v>
      </c>
      <c r="AV273" s="65" t="s">
        <v>1439</v>
      </c>
      <c r="AW273" s="65" t="s">
        <v>202</v>
      </c>
      <c r="AX273" s="65" t="s">
        <v>202</v>
      </c>
      <c r="AY273" s="65" t="s">
        <v>353</v>
      </c>
    </row>
    <row r="274" spans="1:51" x14ac:dyDescent="0.2">
      <c r="A274" s="65" t="s">
        <v>1341</v>
      </c>
      <c r="B274" s="65" t="s">
        <v>552</v>
      </c>
      <c r="C274" s="65" t="s">
        <v>553</v>
      </c>
      <c r="D274" s="65" t="s">
        <v>2325</v>
      </c>
      <c r="E274" s="65" t="s">
        <v>353</v>
      </c>
      <c r="F274" s="65" t="s">
        <v>1820</v>
      </c>
      <c r="G274" s="65" t="s">
        <v>1821</v>
      </c>
      <c r="H274" s="65" t="s">
        <v>2108</v>
      </c>
      <c r="I274" s="65" t="s">
        <v>2109</v>
      </c>
      <c r="J274" s="65">
        <v>3144343275</v>
      </c>
      <c r="K274" s="65" t="s">
        <v>2159</v>
      </c>
      <c r="L274" s="65" t="s">
        <v>2160</v>
      </c>
      <c r="M274" s="65" t="s">
        <v>364</v>
      </c>
      <c r="N274" s="65" t="s">
        <v>2161</v>
      </c>
      <c r="O274" s="65" t="s">
        <v>2113</v>
      </c>
      <c r="P274" s="65" t="s">
        <v>2114</v>
      </c>
      <c r="Q274" s="65" t="s">
        <v>2115</v>
      </c>
      <c r="R274" s="65" t="s">
        <v>2116</v>
      </c>
      <c r="S274" s="65" t="s">
        <v>2117</v>
      </c>
      <c r="T274" s="65" t="s">
        <v>2118</v>
      </c>
      <c r="U274" s="65" t="s">
        <v>2119</v>
      </c>
      <c r="V274" s="65" t="s">
        <v>2120</v>
      </c>
      <c r="W274" s="65" t="s">
        <v>2121</v>
      </c>
      <c r="X274" s="65" t="s">
        <v>2122</v>
      </c>
      <c r="Y274" s="65" t="s">
        <v>1835</v>
      </c>
      <c r="Z274" s="65" t="s">
        <v>1827</v>
      </c>
      <c r="AA274" s="65" t="s">
        <v>2326</v>
      </c>
      <c r="AB274" s="65">
        <v>3</v>
      </c>
      <c r="AC274" s="65" t="s">
        <v>2299</v>
      </c>
      <c r="AD274" s="65" t="s">
        <v>2309</v>
      </c>
      <c r="AE274" s="65" t="s">
        <v>2327</v>
      </c>
      <c r="AF274" s="65" t="s">
        <v>1437</v>
      </c>
      <c r="AG274" s="65">
        <v>1</v>
      </c>
      <c r="AH274" s="65">
        <v>0</v>
      </c>
      <c r="AI274" s="65">
        <v>2</v>
      </c>
      <c r="AJ274" s="65">
        <v>2</v>
      </c>
      <c r="AK274" s="65" t="s">
        <v>353</v>
      </c>
      <c r="AL274" s="128">
        <v>45021</v>
      </c>
      <c r="AM274" s="65">
        <v>4</v>
      </c>
      <c r="AN274" s="65">
        <v>2</v>
      </c>
      <c r="AO274" s="65" t="s">
        <v>202</v>
      </c>
      <c r="AP274" s="65">
        <v>4</v>
      </c>
      <c r="AQ274" s="65" t="s">
        <v>354</v>
      </c>
      <c r="AR274" s="65" t="s">
        <v>202</v>
      </c>
      <c r="AS274" s="65">
        <v>1</v>
      </c>
      <c r="AT274" s="65">
        <v>1</v>
      </c>
      <c r="AU274" s="65" t="s">
        <v>1438</v>
      </c>
      <c r="AV274" s="65" t="s">
        <v>1439</v>
      </c>
      <c r="AW274" s="65" t="s">
        <v>353</v>
      </c>
      <c r="AX274" s="65" t="s">
        <v>353</v>
      </c>
      <c r="AY274" s="65" t="s">
        <v>353</v>
      </c>
    </row>
    <row r="275" spans="1:51" x14ac:dyDescent="0.2">
      <c r="A275" s="65" t="s">
        <v>1341</v>
      </c>
      <c r="B275" s="65" t="s">
        <v>495</v>
      </c>
      <c r="C275" s="65" t="s">
        <v>496</v>
      </c>
      <c r="D275" s="65" t="s">
        <v>2328</v>
      </c>
      <c r="E275" s="65" t="s">
        <v>353</v>
      </c>
      <c r="F275" s="65" t="s">
        <v>1820</v>
      </c>
      <c r="G275" s="65" t="s">
        <v>1821</v>
      </c>
      <c r="H275" s="65" t="s">
        <v>2108</v>
      </c>
      <c r="I275" s="65" t="s">
        <v>2109</v>
      </c>
      <c r="J275" s="65">
        <v>3144343275</v>
      </c>
      <c r="K275" s="65" t="s">
        <v>2159</v>
      </c>
      <c r="L275" s="65" t="s">
        <v>2160</v>
      </c>
      <c r="M275" s="65" t="s">
        <v>364</v>
      </c>
      <c r="N275" s="65" t="s">
        <v>2161</v>
      </c>
      <c r="O275" s="65" t="s">
        <v>2113</v>
      </c>
      <c r="P275" s="65" t="s">
        <v>2114</v>
      </c>
      <c r="Q275" s="65" t="s">
        <v>2115</v>
      </c>
      <c r="R275" s="65" t="s">
        <v>2116</v>
      </c>
      <c r="S275" s="65" t="s">
        <v>2117</v>
      </c>
      <c r="T275" s="65" t="s">
        <v>2118</v>
      </c>
      <c r="U275" s="65" t="s">
        <v>2119</v>
      </c>
      <c r="V275" s="65" t="s">
        <v>2120</v>
      </c>
      <c r="W275" s="65" t="s">
        <v>2121</v>
      </c>
      <c r="X275" s="65" t="s">
        <v>2122</v>
      </c>
      <c r="Y275" s="65" t="s">
        <v>1835</v>
      </c>
      <c r="Z275" s="65" t="s">
        <v>1827</v>
      </c>
      <c r="AA275" s="65" t="s">
        <v>2329</v>
      </c>
      <c r="AB275" s="65">
        <v>2</v>
      </c>
      <c r="AC275" s="65" t="s">
        <v>2330</v>
      </c>
      <c r="AD275" s="65" t="s">
        <v>2331</v>
      </c>
      <c r="AE275" s="65" t="s">
        <v>2332</v>
      </c>
      <c r="AF275" s="65" t="s">
        <v>1437</v>
      </c>
      <c r="AG275" s="65">
        <v>1</v>
      </c>
      <c r="AH275" s="65">
        <v>0</v>
      </c>
      <c r="AI275" s="65">
        <v>3</v>
      </c>
      <c r="AJ275" s="65">
        <v>2</v>
      </c>
      <c r="AK275" s="65" t="s">
        <v>353</v>
      </c>
      <c r="AL275" s="128">
        <v>44970</v>
      </c>
      <c r="AM275" s="65">
        <v>4</v>
      </c>
      <c r="AN275" s="65">
        <v>1</v>
      </c>
      <c r="AO275" s="65" t="s">
        <v>202</v>
      </c>
      <c r="AP275" s="65">
        <v>2</v>
      </c>
      <c r="AQ275" s="65" t="s">
        <v>355</v>
      </c>
      <c r="AR275" s="65" t="s">
        <v>202</v>
      </c>
      <c r="AS275" s="65">
        <v>1</v>
      </c>
      <c r="AT275" s="65">
        <v>1</v>
      </c>
      <c r="AU275" s="65" t="s">
        <v>1438</v>
      </c>
      <c r="AV275" s="65" t="s">
        <v>1439</v>
      </c>
      <c r="AW275" s="65" t="s">
        <v>202</v>
      </c>
      <c r="AX275" s="65" t="s">
        <v>353</v>
      </c>
      <c r="AY275" s="65" t="s">
        <v>202</v>
      </c>
    </row>
    <row r="276" spans="1:51" x14ac:dyDescent="0.2">
      <c r="A276" s="65" t="s">
        <v>1341</v>
      </c>
      <c r="B276" s="65" t="s">
        <v>497</v>
      </c>
      <c r="C276" s="65" t="s">
        <v>498</v>
      </c>
      <c r="D276" s="65" t="s">
        <v>2333</v>
      </c>
      <c r="E276" s="65" t="s">
        <v>353</v>
      </c>
      <c r="F276" s="65" t="s">
        <v>1820</v>
      </c>
      <c r="G276" s="65" t="s">
        <v>1821</v>
      </c>
      <c r="H276" s="65" t="s">
        <v>2108</v>
      </c>
      <c r="I276" s="65" t="s">
        <v>2109</v>
      </c>
      <c r="J276" s="65">
        <v>3144343275</v>
      </c>
      <c r="K276" s="65" t="s">
        <v>2159</v>
      </c>
      <c r="L276" s="65" t="s">
        <v>2160</v>
      </c>
      <c r="M276" s="65" t="s">
        <v>364</v>
      </c>
      <c r="N276" s="65" t="s">
        <v>2161</v>
      </c>
      <c r="O276" s="65" t="s">
        <v>2113</v>
      </c>
      <c r="P276" s="65" t="s">
        <v>2114</v>
      </c>
      <c r="Q276" s="65" t="s">
        <v>2115</v>
      </c>
      <c r="R276" s="65" t="s">
        <v>2116</v>
      </c>
      <c r="S276" s="65" t="s">
        <v>2117</v>
      </c>
      <c r="T276" s="65" t="s">
        <v>2118</v>
      </c>
      <c r="U276" s="65" t="s">
        <v>2119</v>
      </c>
      <c r="V276" s="65" t="s">
        <v>2120</v>
      </c>
      <c r="W276" s="65" t="s">
        <v>2121</v>
      </c>
      <c r="X276" s="65" t="s">
        <v>2122</v>
      </c>
      <c r="Y276" s="65" t="s">
        <v>1835</v>
      </c>
      <c r="Z276" s="65" t="s">
        <v>1827</v>
      </c>
      <c r="AA276" s="65" t="s">
        <v>2334</v>
      </c>
      <c r="AB276" s="65">
        <v>3</v>
      </c>
      <c r="AC276" s="65" t="s">
        <v>2335</v>
      </c>
      <c r="AD276" s="65" t="s">
        <v>2313</v>
      </c>
      <c r="AE276" s="65" t="s">
        <v>2336</v>
      </c>
      <c r="AF276" s="65" t="s">
        <v>1437</v>
      </c>
      <c r="AG276" s="65">
        <v>2</v>
      </c>
      <c r="AH276" s="65">
        <v>0</v>
      </c>
      <c r="AI276" s="65">
        <v>2</v>
      </c>
      <c r="AJ276" s="65">
        <v>2</v>
      </c>
      <c r="AK276" s="65" t="s">
        <v>202</v>
      </c>
      <c r="AL276" s="128">
        <v>45029</v>
      </c>
      <c r="AM276" s="65">
        <v>4</v>
      </c>
      <c r="AN276" s="65">
        <v>1</v>
      </c>
      <c r="AO276" s="65" t="s">
        <v>353</v>
      </c>
      <c r="AP276" s="65">
        <v>2</v>
      </c>
      <c r="AQ276" s="65" t="s">
        <v>355</v>
      </c>
      <c r="AR276" s="65" t="s">
        <v>202</v>
      </c>
      <c r="AS276" s="65">
        <v>1</v>
      </c>
      <c r="AT276" s="65">
        <v>1</v>
      </c>
      <c r="AU276" s="65" t="s">
        <v>1438</v>
      </c>
      <c r="AV276" s="65" t="s">
        <v>1439</v>
      </c>
      <c r="AW276" s="65" t="s">
        <v>202</v>
      </c>
      <c r="AX276" s="65" t="s">
        <v>202</v>
      </c>
      <c r="AY276" s="65" t="s">
        <v>202</v>
      </c>
    </row>
    <row r="277" spans="1:51" x14ac:dyDescent="0.2">
      <c r="A277" s="65" t="s">
        <v>1341</v>
      </c>
      <c r="B277" s="65" t="s">
        <v>559</v>
      </c>
      <c r="C277" s="65" t="s">
        <v>560</v>
      </c>
      <c r="D277" s="65" t="s">
        <v>2337</v>
      </c>
      <c r="E277" s="65" t="s">
        <v>353</v>
      </c>
      <c r="F277" s="65" t="s">
        <v>1820</v>
      </c>
      <c r="G277" s="65" t="s">
        <v>1821</v>
      </c>
      <c r="H277" s="65" t="s">
        <v>2108</v>
      </c>
      <c r="I277" s="65" t="s">
        <v>2109</v>
      </c>
      <c r="J277" s="65">
        <v>3144343275</v>
      </c>
      <c r="K277" s="65" t="s">
        <v>2159</v>
      </c>
      <c r="L277" s="65" t="s">
        <v>2160</v>
      </c>
      <c r="M277" s="65" t="s">
        <v>364</v>
      </c>
      <c r="N277" s="65" t="s">
        <v>2161</v>
      </c>
      <c r="O277" s="65" t="s">
        <v>2113</v>
      </c>
      <c r="P277" s="65" t="s">
        <v>2114</v>
      </c>
      <c r="Q277" s="65" t="s">
        <v>2115</v>
      </c>
      <c r="R277" s="65" t="s">
        <v>2116</v>
      </c>
      <c r="S277" s="65" t="s">
        <v>2117</v>
      </c>
      <c r="T277" s="65" t="s">
        <v>2118</v>
      </c>
      <c r="U277" s="65" t="s">
        <v>2119</v>
      </c>
      <c r="V277" s="65" t="s">
        <v>2120</v>
      </c>
      <c r="W277" s="65" t="s">
        <v>2121</v>
      </c>
      <c r="X277" s="65" t="s">
        <v>2122</v>
      </c>
      <c r="Y277" s="65" t="s">
        <v>1835</v>
      </c>
      <c r="Z277" s="65" t="s">
        <v>1827</v>
      </c>
      <c r="AA277" s="65" t="s">
        <v>2338</v>
      </c>
      <c r="AB277" s="65">
        <v>3</v>
      </c>
      <c r="AC277" s="65" t="s">
        <v>2339</v>
      </c>
      <c r="AD277" s="65" t="s">
        <v>2340</v>
      </c>
      <c r="AE277" s="65" t="s">
        <v>2341</v>
      </c>
      <c r="AF277" s="65" t="s">
        <v>1437</v>
      </c>
      <c r="AG277" s="65">
        <v>1</v>
      </c>
      <c r="AH277" s="65">
        <v>0</v>
      </c>
      <c r="AI277" s="65">
        <v>2</v>
      </c>
      <c r="AJ277" s="65">
        <v>2</v>
      </c>
      <c r="AK277" s="65" t="s">
        <v>202</v>
      </c>
      <c r="AL277" s="129">
        <v>44923</v>
      </c>
      <c r="AM277" s="65">
        <v>4</v>
      </c>
      <c r="AN277" s="65">
        <v>1</v>
      </c>
      <c r="AO277" s="65" t="s">
        <v>202</v>
      </c>
      <c r="AP277" s="65">
        <v>2</v>
      </c>
      <c r="AQ277" s="65" t="s">
        <v>352</v>
      </c>
      <c r="AR277" s="65" t="s">
        <v>202</v>
      </c>
      <c r="AS277" s="65">
        <v>1</v>
      </c>
      <c r="AT277" s="65">
        <v>1</v>
      </c>
      <c r="AU277" s="65" t="s">
        <v>1438</v>
      </c>
      <c r="AV277" s="65" t="s">
        <v>1439</v>
      </c>
      <c r="AW277" s="65" t="s">
        <v>202</v>
      </c>
      <c r="AX277" s="65" t="s">
        <v>202</v>
      </c>
      <c r="AY277" s="65" t="s">
        <v>353</v>
      </c>
    </row>
    <row r="278" spans="1:51" x14ac:dyDescent="0.2">
      <c r="A278" s="65" t="s">
        <v>1341</v>
      </c>
      <c r="B278" s="65" t="s">
        <v>507</v>
      </c>
      <c r="C278" s="65" t="s">
        <v>508</v>
      </c>
      <c r="D278" s="65" t="s">
        <v>2342</v>
      </c>
      <c r="E278" s="65" t="s">
        <v>353</v>
      </c>
      <c r="F278" s="65" t="s">
        <v>1820</v>
      </c>
      <c r="G278" s="65" t="s">
        <v>1821</v>
      </c>
      <c r="H278" s="65" t="s">
        <v>2108</v>
      </c>
      <c r="I278" s="65" t="s">
        <v>2109</v>
      </c>
      <c r="J278" s="65">
        <v>3144343275</v>
      </c>
      <c r="K278" s="65" t="s">
        <v>2159</v>
      </c>
      <c r="L278" s="65" t="s">
        <v>2160</v>
      </c>
      <c r="M278" s="65" t="s">
        <v>364</v>
      </c>
      <c r="N278" s="65" t="s">
        <v>2161</v>
      </c>
      <c r="O278" s="65" t="s">
        <v>2113</v>
      </c>
      <c r="P278" s="65" t="s">
        <v>2114</v>
      </c>
      <c r="Q278" s="65" t="s">
        <v>2115</v>
      </c>
      <c r="R278" s="65" t="s">
        <v>2116</v>
      </c>
      <c r="S278" s="65" t="s">
        <v>2117</v>
      </c>
      <c r="T278" s="65" t="s">
        <v>2118</v>
      </c>
      <c r="U278" s="65" t="s">
        <v>2119</v>
      </c>
      <c r="V278" s="65" t="s">
        <v>2120</v>
      </c>
      <c r="W278" s="65" t="s">
        <v>2121</v>
      </c>
      <c r="X278" s="65" t="s">
        <v>2122</v>
      </c>
      <c r="Y278" s="65" t="s">
        <v>1835</v>
      </c>
      <c r="Z278" s="65" t="s">
        <v>1827</v>
      </c>
      <c r="AA278" s="65" t="s">
        <v>2343</v>
      </c>
      <c r="AB278" s="65">
        <v>3</v>
      </c>
      <c r="AC278" s="65" t="s">
        <v>2344</v>
      </c>
      <c r="AD278" s="65" t="s">
        <v>1494</v>
      </c>
      <c r="AE278" s="65" t="s">
        <v>2345</v>
      </c>
      <c r="AF278" s="65" t="s">
        <v>2346</v>
      </c>
      <c r="AG278" s="65">
        <v>1</v>
      </c>
      <c r="AH278" s="65">
        <v>0</v>
      </c>
      <c r="AI278" s="65">
        <v>2</v>
      </c>
      <c r="AJ278" s="65">
        <v>1</v>
      </c>
      <c r="AK278" s="65" t="s">
        <v>202</v>
      </c>
      <c r="AL278" s="128">
        <v>45014</v>
      </c>
      <c r="AM278" s="65">
        <v>4</v>
      </c>
      <c r="AN278" s="65">
        <v>1</v>
      </c>
      <c r="AO278" s="65" t="s">
        <v>353</v>
      </c>
      <c r="AP278" s="65">
        <v>2</v>
      </c>
      <c r="AQ278" s="65" t="s">
        <v>352</v>
      </c>
      <c r="AR278" s="65" t="s">
        <v>202</v>
      </c>
      <c r="AS278" s="65">
        <v>1</v>
      </c>
      <c r="AT278" s="65">
        <v>1</v>
      </c>
      <c r="AU278" s="65" t="s">
        <v>1438</v>
      </c>
      <c r="AV278" s="65" t="s">
        <v>1439</v>
      </c>
      <c r="AW278" s="65" t="s">
        <v>202</v>
      </c>
      <c r="AX278" s="65" t="s">
        <v>202</v>
      </c>
      <c r="AY278" s="65" t="s">
        <v>202</v>
      </c>
    </row>
    <row r="279" spans="1:51" x14ac:dyDescent="0.2">
      <c r="A279" s="65" t="s">
        <v>1341</v>
      </c>
      <c r="B279" s="65" t="s">
        <v>501</v>
      </c>
      <c r="C279" s="65" t="s">
        <v>502</v>
      </c>
      <c r="D279" s="65" t="s">
        <v>2347</v>
      </c>
      <c r="E279" s="65" t="s">
        <v>353</v>
      </c>
      <c r="F279" s="65" t="s">
        <v>1820</v>
      </c>
      <c r="G279" s="65" t="s">
        <v>1821</v>
      </c>
      <c r="H279" s="65" t="s">
        <v>2108</v>
      </c>
      <c r="I279" s="65" t="s">
        <v>2109</v>
      </c>
      <c r="J279" s="65">
        <v>3144343275</v>
      </c>
      <c r="K279" s="65" t="s">
        <v>2159</v>
      </c>
      <c r="L279" s="65" t="s">
        <v>2160</v>
      </c>
      <c r="M279" s="65" t="s">
        <v>364</v>
      </c>
      <c r="N279" s="65" t="s">
        <v>2161</v>
      </c>
      <c r="O279" s="65" t="s">
        <v>2113</v>
      </c>
      <c r="P279" s="65" t="s">
        <v>2114</v>
      </c>
      <c r="Q279" s="65" t="s">
        <v>2115</v>
      </c>
      <c r="R279" s="65" t="s">
        <v>2116</v>
      </c>
      <c r="S279" s="65" t="s">
        <v>2117</v>
      </c>
      <c r="T279" s="65" t="s">
        <v>2118</v>
      </c>
      <c r="U279" s="65" t="s">
        <v>2119</v>
      </c>
      <c r="V279" s="65" t="s">
        <v>2120</v>
      </c>
      <c r="W279" s="65" t="s">
        <v>2121</v>
      </c>
      <c r="X279" s="65" t="s">
        <v>2122</v>
      </c>
      <c r="Y279" s="65" t="s">
        <v>1835</v>
      </c>
      <c r="Z279" s="65" t="s">
        <v>1827</v>
      </c>
      <c r="AA279" s="65" t="s">
        <v>2348</v>
      </c>
      <c r="AB279" s="65">
        <v>3</v>
      </c>
      <c r="AC279" s="65" t="s">
        <v>1460</v>
      </c>
      <c r="AD279" s="65" t="s">
        <v>2349</v>
      </c>
      <c r="AE279" s="65" t="s">
        <v>2350</v>
      </c>
      <c r="AF279" s="65" t="s">
        <v>1437</v>
      </c>
      <c r="AG279" s="65">
        <v>1</v>
      </c>
      <c r="AH279" s="65">
        <v>0</v>
      </c>
      <c r="AI279" s="65">
        <v>2</v>
      </c>
      <c r="AJ279" s="65">
        <v>2</v>
      </c>
      <c r="AK279" s="65" t="s">
        <v>202</v>
      </c>
      <c r="AL279" s="128">
        <v>45044</v>
      </c>
      <c r="AM279" s="65">
        <v>4</v>
      </c>
      <c r="AN279" s="65">
        <v>1</v>
      </c>
      <c r="AO279" s="65" t="s">
        <v>202</v>
      </c>
      <c r="AP279" s="65">
        <v>2</v>
      </c>
      <c r="AQ279" s="65" t="s">
        <v>352</v>
      </c>
      <c r="AR279" s="65" t="s">
        <v>202</v>
      </c>
      <c r="AS279" s="65">
        <v>1</v>
      </c>
      <c r="AT279" s="65">
        <v>1</v>
      </c>
      <c r="AU279" s="65" t="s">
        <v>1529</v>
      </c>
      <c r="AV279" s="65" t="s">
        <v>1439</v>
      </c>
      <c r="AW279" s="65" t="s">
        <v>202</v>
      </c>
      <c r="AX279" s="65" t="s">
        <v>202</v>
      </c>
      <c r="AY279" s="65" t="s">
        <v>202</v>
      </c>
    </row>
    <row r="280" spans="1:51" x14ac:dyDescent="0.2">
      <c r="A280" s="65" t="s">
        <v>1341</v>
      </c>
      <c r="B280" s="65" t="s">
        <v>721</v>
      </c>
      <c r="C280" s="65" t="s">
        <v>722</v>
      </c>
      <c r="D280" s="65" t="s">
        <v>2351</v>
      </c>
      <c r="E280" s="65" t="s">
        <v>353</v>
      </c>
      <c r="F280" s="65" t="s">
        <v>1820</v>
      </c>
      <c r="G280" s="65" t="s">
        <v>1821</v>
      </c>
      <c r="H280" s="65" t="s">
        <v>2108</v>
      </c>
      <c r="I280" s="65" t="s">
        <v>2109</v>
      </c>
      <c r="J280" s="65">
        <v>3144343275</v>
      </c>
      <c r="K280" s="65" t="s">
        <v>2194</v>
      </c>
      <c r="L280" s="65" t="s">
        <v>2195</v>
      </c>
      <c r="M280" s="65" t="s">
        <v>365</v>
      </c>
      <c r="N280" s="65" t="s">
        <v>2196</v>
      </c>
      <c r="O280" s="65" t="s">
        <v>2113</v>
      </c>
      <c r="P280" s="65" t="s">
        <v>2114</v>
      </c>
      <c r="Q280" s="65" t="s">
        <v>2115</v>
      </c>
      <c r="R280" s="65" t="s">
        <v>2116</v>
      </c>
      <c r="S280" s="65" t="s">
        <v>2117</v>
      </c>
      <c r="T280" s="65" t="s">
        <v>2118</v>
      </c>
      <c r="U280" s="65" t="s">
        <v>2119</v>
      </c>
      <c r="V280" s="65" t="s">
        <v>2120</v>
      </c>
      <c r="W280" s="65" t="s">
        <v>2121</v>
      </c>
      <c r="X280" s="65" t="s">
        <v>2122</v>
      </c>
      <c r="Y280" s="65" t="s">
        <v>1835</v>
      </c>
      <c r="Z280" s="65" t="s">
        <v>2352</v>
      </c>
      <c r="AA280" s="65" t="s">
        <v>2353</v>
      </c>
      <c r="AB280" s="65">
        <v>2</v>
      </c>
      <c r="AC280" s="65" t="s">
        <v>2354</v>
      </c>
      <c r="AD280" s="65" t="s">
        <v>2257</v>
      </c>
      <c r="AE280" s="65" t="s">
        <v>2355</v>
      </c>
      <c r="AF280" s="65" t="s">
        <v>1437</v>
      </c>
      <c r="AG280" s="65">
        <v>1</v>
      </c>
      <c r="AH280" s="65">
        <v>1</v>
      </c>
      <c r="AI280" s="65">
        <v>3</v>
      </c>
      <c r="AJ280" s="65">
        <v>3</v>
      </c>
      <c r="AK280" s="65" t="s">
        <v>202</v>
      </c>
      <c r="AL280" s="128">
        <v>45297</v>
      </c>
      <c r="AM280" s="65">
        <v>6</v>
      </c>
      <c r="AN280" s="65">
        <v>1</v>
      </c>
      <c r="AO280" s="65" t="s">
        <v>202</v>
      </c>
      <c r="AP280" s="65">
        <v>4</v>
      </c>
      <c r="AQ280" s="65" t="s">
        <v>354</v>
      </c>
      <c r="AR280" s="65" t="s">
        <v>353</v>
      </c>
      <c r="AS280" s="65">
        <v>1</v>
      </c>
      <c r="AT280" s="65">
        <v>1</v>
      </c>
      <c r="AU280" s="65" t="s">
        <v>1438</v>
      </c>
      <c r="AV280" s="65" t="s">
        <v>1439</v>
      </c>
      <c r="AW280" s="65" t="s">
        <v>353</v>
      </c>
      <c r="AX280" s="65" t="s">
        <v>353</v>
      </c>
      <c r="AY280" s="65" t="s">
        <v>353</v>
      </c>
    </row>
    <row r="281" spans="1:51" x14ac:dyDescent="0.2">
      <c r="A281" s="65" t="s">
        <v>1341</v>
      </c>
      <c r="B281" s="65" t="s">
        <v>515</v>
      </c>
      <c r="C281" s="65" t="s">
        <v>516</v>
      </c>
      <c r="D281" s="65" t="s">
        <v>2356</v>
      </c>
      <c r="E281" s="65" t="s">
        <v>353</v>
      </c>
      <c r="F281" s="65" t="s">
        <v>1820</v>
      </c>
      <c r="G281" s="65" t="s">
        <v>1821</v>
      </c>
      <c r="H281" s="65" t="s">
        <v>2108</v>
      </c>
      <c r="I281" s="65" t="s">
        <v>2109</v>
      </c>
      <c r="J281" s="65">
        <v>3144343275</v>
      </c>
      <c r="K281" s="65" t="s">
        <v>2194</v>
      </c>
      <c r="L281" s="65" t="s">
        <v>2195</v>
      </c>
      <c r="M281" s="65" t="s">
        <v>365</v>
      </c>
      <c r="N281" s="65" t="s">
        <v>2196</v>
      </c>
      <c r="O281" s="65" t="s">
        <v>2113</v>
      </c>
      <c r="P281" s="65" t="s">
        <v>2114</v>
      </c>
      <c r="Q281" s="65" t="s">
        <v>2115</v>
      </c>
      <c r="R281" s="65" t="s">
        <v>2116</v>
      </c>
      <c r="S281" s="65" t="s">
        <v>2117</v>
      </c>
      <c r="T281" s="65" t="s">
        <v>2118</v>
      </c>
      <c r="U281" s="65" t="s">
        <v>2119</v>
      </c>
      <c r="V281" s="65" t="s">
        <v>2120</v>
      </c>
      <c r="W281" s="65" t="s">
        <v>2121</v>
      </c>
      <c r="X281" s="65" t="s">
        <v>2122</v>
      </c>
      <c r="Y281" s="65" t="s">
        <v>1835</v>
      </c>
      <c r="Z281" s="65" t="s">
        <v>1827</v>
      </c>
      <c r="AA281" s="65" t="s">
        <v>2357</v>
      </c>
      <c r="AB281" s="65">
        <v>4</v>
      </c>
      <c r="AC281" s="65" t="s">
        <v>2358</v>
      </c>
      <c r="AD281" s="65" t="s">
        <v>2359</v>
      </c>
      <c r="AE281" s="65" t="s">
        <v>2360</v>
      </c>
      <c r="AF281" s="65" t="s">
        <v>1437</v>
      </c>
      <c r="AG281" s="65">
        <v>1</v>
      </c>
      <c r="AH281" s="65">
        <v>0</v>
      </c>
      <c r="AI281" s="65">
        <v>2</v>
      </c>
      <c r="AJ281" s="65">
        <v>2</v>
      </c>
      <c r="AK281" s="65" t="s">
        <v>202</v>
      </c>
      <c r="AL281" s="129">
        <v>44926</v>
      </c>
      <c r="AM281" s="65">
        <v>4</v>
      </c>
      <c r="AN281" s="65">
        <v>0</v>
      </c>
      <c r="AO281" s="65" t="s">
        <v>202</v>
      </c>
      <c r="AP281" s="65">
        <v>2</v>
      </c>
      <c r="AQ281" s="65" t="s">
        <v>355</v>
      </c>
      <c r="AR281" s="65" t="s">
        <v>353</v>
      </c>
      <c r="AS281" s="65">
        <v>1</v>
      </c>
      <c r="AT281" s="65">
        <v>1</v>
      </c>
      <c r="AU281" s="65" t="s">
        <v>1529</v>
      </c>
      <c r="AV281" s="65" t="s">
        <v>198</v>
      </c>
      <c r="AW281" s="65" t="s">
        <v>202</v>
      </c>
      <c r="AX281" s="65" t="s">
        <v>353</v>
      </c>
      <c r="AY281" s="65" t="s">
        <v>202</v>
      </c>
    </row>
    <row r="282" spans="1:51" x14ac:dyDescent="0.2">
      <c r="A282" s="65" t="s">
        <v>1341</v>
      </c>
      <c r="B282" s="65" t="s">
        <v>563</v>
      </c>
      <c r="C282" s="65" t="s">
        <v>564</v>
      </c>
      <c r="D282" s="65" t="s">
        <v>2361</v>
      </c>
      <c r="E282" s="65" t="s">
        <v>353</v>
      </c>
      <c r="F282" s="65" t="s">
        <v>1820</v>
      </c>
      <c r="G282" s="65" t="s">
        <v>1821</v>
      </c>
      <c r="H282" s="65" t="s">
        <v>2108</v>
      </c>
      <c r="I282" s="65" t="s">
        <v>2109</v>
      </c>
      <c r="J282" s="65">
        <v>3144343275</v>
      </c>
      <c r="K282" s="65" t="s">
        <v>2194</v>
      </c>
      <c r="L282" s="65" t="s">
        <v>2195</v>
      </c>
      <c r="M282" s="65" t="s">
        <v>365</v>
      </c>
      <c r="N282" s="65" t="s">
        <v>2196</v>
      </c>
      <c r="O282" s="65" t="s">
        <v>2113</v>
      </c>
      <c r="P282" s="65" t="s">
        <v>2114</v>
      </c>
      <c r="Q282" s="65" t="s">
        <v>2115</v>
      </c>
      <c r="R282" s="65" t="s">
        <v>2116</v>
      </c>
      <c r="S282" s="65" t="s">
        <v>2117</v>
      </c>
      <c r="T282" s="65" t="s">
        <v>2118</v>
      </c>
      <c r="U282" s="65" t="s">
        <v>2119</v>
      </c>
      <c r="V282" s="65" t="s">
        <v>2120</v>
      </c>
      <c r="W282" s="65" t="s">
        <v>2121</v>
      </c>
      <c r="X282" s="65" t="s">
        <v>2122</v>
      </c>
      <c r="Y282" s="65" t="s">
        <v>1835</v>
      </c>
      <c r="Z282" s="65" t="s">
        <v>1827</v>
      </c>
      <c r="AA282" s="65" t="s">
        <v>2362</v>
      </c>
      <c r="AB282" s="65">
        <v>3</v>
      </c>
      <c r="AC282" s="65" t="s">
        <v>2363</v>
      </c>
      <c r="AD282" s="65" t="s">
        <v>2364</v>
      </c>
      <c r="AE282" s="65" t="s">
        <v>2365</v>
      </c>
      <c r="AF282" s="65" t="s">
        <v>1437</v>
      </c>
      <c r="AG282" s="65">
        <v>0</v>
      </c>
      <c r="AH282" s="65">
        <v>0</v>
      </c>
      <c r="AI282" s="65">
        <v>2</v>
      </c>
      <c r="AJ282" s="65">
        <v>2</v>
      </c>
      <c r="AK282" s="65" t="s">
        <v>202</v>
      </c>
      <c r="AL282" s="128">
        <v>45014</v>
      </c>
      <c r="AM282" s="65">
        <v>4</v>
      </c>
      <c r="AN282" s="65">
        <v>0</v>
      </c>
      <c r="AO282" s="65" t="s">
        <v>353</v>
      </c>
      <c r="AP282" s="65">
        <v>2</v>
      </c>
      <c r="AQ282" s="65" t="s">
        <v>355</v>
      </c>
      <c r="AR282" s="65" t="s">
        <v>353</v>
      </c>
      <c r="AS282" s="65">
        <v>1</v>
      </c>
      <c r="AT282" s="65">
        <v>1</v>
      </c>
      <c r="AU282" s="65" t="s">
        <v>1438</v>
      </c>
      <c r="AV282" s="65" t="s">
        <v>1439</v>
      </c>
      <c r="AW282" s="65" t="s">
        <v>202</v>
      </c>
      <c r="AX282" s="65" t="s">
        <v>353</v>
      </c>
      <c r="AY282" s="65" t="s">
        <v>202</v>
      </c>
    </row>
    <row r="283" spans="1:51" x14ac:dyDescent="0.2">
      <c r="A283" s="65" t="s">
        <v>1341</v>
      </c>
      <c r="B283" s="65" t="s">
        <v>573</v>
      </c>
      <c r="C283" s="65" t="s">
        <v>574</v>
      </c>
      <c r="D283" s="65" t="s">
        <v>2366</v>
      </c>
      <c r="E283" s="65" t="s">
        <v>353</v>
      </c>
      <c r="F283" s="65" t="s">
        <v>1820</v>
      </c>
      <c r="G283" s="65" t="s">
        <v>1821</v>
      </c>
      <c r="H283" s="65" t="s">
        <v>2108</v>
      </c>
      <c r="I283" s="65" t="s">
        <v>2109</v>
      </c>
      <c r="J283" s="65">
        <v>3144343275</v>
      </c>
      <c r="K283" s="65" t="s">
        <v>2194</v>
      </c>
      <c r="L283" s="65" t="s">
        <v>2195</v>
      </c>
      <c r="M283" s="65" t="s">
        <v>365</v>
      </c>
      <c r="N283" s="65" t="s">
        <v>2196</v>
      </c>
      <c r="O283" s="65" t="s">
        <v>2113</v>
      </c>
      <c r="P283" s="65" t="s">
        <v>2114</v>
      </c>
      <c r="Q283" s="65" t="s">
        <v>2115</v>
      </c>
      <c r="R283" s="65" t="s">
        <v>2116</v>
      </c>
      <c r="S283" s="65" t="s">
        <v>2117</v>
      </c>
      <c r="T283" s="65" t="s">
        <v>2118</v>
      </c>
      <c r="U283" s="65" t="s">
        <v>2119</v>
      </c>
      <c r="V283" s="65" t="s">
        <v>2120</v>
      </c>
      <c r="W283" s="65" t="s">
        <v>2121</v>
      </c>
      <c r="X283" s="65" t="s">
        <v>2122</v>
      </c>
      <c r="Y283" s="65" t="s">
        <v>1835</v>
      </c>
      <c r="Z283" s="65" t="s">
        <v>1827</v>
      </c>
      <c r="AA283" s="65" t="s">
        <v>2367</v>
      </c>
      <c r="AB283" s="65">
        <v>3</v>
      </c>
      <c r="AC283" s="65" t="s">
        <v>2368</v>
      </c>
      <c r="AD283" s="65" t="s">
        <v>2314</v>
      </c>
      <c r="AE283" s="65" t="s">
        <v>2369</v>
      </c>
      <c r="AF283" s="65" t="s">
        <v>1437</v>
      </c>
      <c r="AG283" s="65">
        <v>1</v>
      </c>
      <c r="AH283" s="65">
        <v>0</v>
      </c>
      <c r="AI283" s="65">
        <v>2</v>
      </c>
      <c r="AJ283" s="65">
        <v>2</v>
      </c>
      <c r="AK283" s="65" t="s">
        <v>202</v>
      </c>
      <c r="AL283" s="128">
        <v>44951</v>
      </c>
      <c r="AM283" s="65">
        <v>4</v>
      </c>
      <c r="AN283" s="65">
        <v>1</v>
      </c>
      <c r="AO283" s="65" t="s">
        <v>202</v>
      </c>
      <c r="AP283" s="65">
        <v>2</v>
      </c>
      <c r="AQ283" s="65" t="s">
        <v>352</v>
      </c>
      <c r="AR283" s="65" t="s">
        <v>353</v>
      </c>
      <c r="AS283" s="65">
        <v>1</v>
      </c>
      <c r="AT283" s="65">
        <v>1</v>
      </c>
      <c r="AU283" s="65" t="s">
        <v>1529</v>
      </c>
      <c r="AV283" s="65" t="s">
        <v>1439</v>
      </c>
      <c r="AW283" s="65" t="s">
        <v>202</v>
      </c>
      <c r="AX283" s="65" t="s">
        <v>202</v>
      </c>
      <c r="AY283" s="65" t="s">
        <v>353</v>
      </c>
    </row>
    <row r="284" spans="1:51" x14ac:dyDescent="0.2">
      <c r="A284" s="65" t="s">
        <v>1341</v>
      </c>
      <c r="B284" s="65" t="s">
        <v>864</v>
      </c>
      <c r="C284" s="65" t="s">
        <v>865</v>
      </c>
      <c r="D284" s="65" t="s">
        <v>2370</v>
      </c>
      <c r="E284" s="65" t="s">
        <v>353</v>
      </c>
      <c r="F284" s="65" t="s">
        <v>1820</v>
      </c>
      <c r="G284" s="65" t="s">
        <v>1821</v>
      </c>
      <c r="H284" s="65" t="s">
        <v>2108</v>
      </c>
      <c r="I284" s="65" t="s">
        <v>2109</v>
      </c>
      <c r="J284" s="65">
        <v>3144343275</v>
      </c>
      <c r="K284" s="65" t="s">
        <v>2194</v>
      </c>
      <c r="L284" s="65" t="s">
        <v>2195</v>
      </c>
      <c r="M284" s="65" t="s">
        <v>365</v>
      </c>
      <c r="N284" s="65" t="s">
        <v>2196</v>
      </c>
      <c r="O284" s="65" t="s">
        <v>2113</v>
      </c>
      <c r="P284" s="65" t="s">
        <v>2114</v>
      </c>
      <c r="Q284" s="65" t="s">
        <v>2115</v>
      </c>
      <c r="R284" s="65" t="s">
        <v>2116</v>
      </c>
      <c r="S284" s="65" t="s">
        <v>2117</v>
      </c>
      <c r="T284" s="65" t="s">
        <v>2118</v>
      </c>
      <c r="U284" s="65" t="s">
        <v>2119</v>
      </c>
      <c r="V284" s="65" t="s">
        <v>2120</v>
      </c>
      <c r="W284" s="65" t="s">
        <v>2121</v>
      </c>
      <c r="X284" s="65" t="s">
        <v>2122</v>
      </c>
      <c r="Y284" s="65" t="s">
        <v>1835</v>
      </c>
      <c r="Z284" s="65" t="s">
        <v>1827</v>
      </c>
      <c r="AA284" s="65" t="s">
        <v>2371</v>
      </c>
      <c r="AB284" s="65">
        <v>2</v>
      </c>
      <c r="AC284" s="65" t="s">
        <v>1485</v>
      </c>
      <c r="AD284" s="65" t="s">
        <v>1588</v>
      </c>
      <c r="AE284" s="65" t="s">
        <v>2372</v>
      </c>
      <c r="AF284" s="65" t="s">
        <v>1437</v>
      </c>
      <c r="AG284" s="65">
        <v>2</v>
      </c>
      <c r="AH284" s="65">
        <v>3</v>
      </c>
      <c r="AI284" s="65">
        <v>2</v>
      </c>
      <c r="AJ284" s="65">
        <v>2</v>
      </c>
      <c r="AK284" s="65" t="s">
        <v>202</v>
      </c>
      <c r="AL284" s="128">
        <v>45776</v>
      </c>
      <c r="AM284" s="65">
        <v>6</v>
      </c>
      <c r="AN284" s="65">
        <v>1</v>
      </c>
      <c r="AO284" s="65" t="s">
        <v>202</v>
      </c>
      <c r="AP284" s="65">
        <v>3</v>
      </c>
      <c r="AQ284" s="65" t="s">
        <v>352</v>
      </c>
      <c r="AR284" s="65" t="s">
        <v>353</v>
      </c>
      <c r="AS284" s="65">
        <v>0</v>
      </c>
      <c r="AT284" s="65">
        <v>0</v>
      </c>
      <c r="AU284" s="65" t="s">
        <v>1438</v>
      </c>
      <c r="AV284" s="65" t="s">
        <v>1439</v>
      </c>
      <c r="AW284" s="65" t="s">
        <v>202</v>
      </c>
      <c r="AX284" s="65" t="s">
        <v>202</v>
      </c>
      <c r="AY284" s="65" t="s">
        <v>353</v>
      </c>
    </row>
    <row r="285" spans="1:51" x14ac:dyDescent="0.2">
      <c r="A285" s="65" t="s">
        <v>1341</v>
      </c>
      <c r="B285" s="65" t="s">
        <v>701</v>
      </c>
      <c r="C285" s="65" t="s">
        <v>702</v>
      </c>
      <c r="D285" s="65" t="s">
        <v>2373</v>
      </c>
      <c r="E285" s="65" t="s">
        <v>353</v>
      </c>
      <c r="F285" s="65" t="s">
        <v>1820</v>
      </c>
      <c r="G285" s="65" t="s">
        <v>1821</v>
      </c>
      <c r="H285" s="65" t="s">
        <v>2108</v>
      </c>
      <c r="I285" s="65" t="s">
        <v>2109</v>
      </c>
      <c r="J285" s="65">
        <v>3144343275</v>
      </c>
      <c r="K285" s="65" t="s">
        <v>2194</v>
      </c>
      <c r="L285" s="65" t="s">
        <v>2195</v>
      </c>
      <c r="M285" s="65" t="s">
        <v>365</v>
      </c>
      <c r="N285" s="65" t="s">
        <v>2196</v>
      </c>
      <c r="O285" s="65" t="s">
        <v>2113</v>
      </c>
      <c r="P285" s="65" t="s">
        <v>2114</v>
      </c>
      <c r="Q285" s="65" t="s">
        <v>2115</v>
      </c>
      <c r="R285" s="65" t="s">
        <v>2116</v>
      </c>
      <c r="S285" s="65" t="s">
        <v>2117</v>
      </c>
      <c r="T285" s="65" t="s">
        <v>2118</v>
      </c>
      <c r="U285" s="65" t="s">
        <v>2119</v>
      </c>
      <c r="V285" s="65" t="s">
        <v>2120</v>
      </c>
      <c r="W285" s="65" t="s">
        <v>2121</v>
      </c>
      <c r="X285" s="65" t="s">
        <v>2122</v>
      </c>
      <c r="Y285" s="65" t="s">
        <v>1835</v>
      </c>
      <c r="Z285" s="65" t="s">
        <v>1827</v>
      </c>
      <c r="AA285" s="65" t="s">
        <v>2374</v>
      </c>
      <c r="AB285" s="65">
        <v>3</v>
      </c>
      <c r="AC285" s="65" t="s">
        <v>2375</v>
      </c>
      <c r="AD285" s="65" t="s">
        <v>2376</v>
      </c>
      <c r="AE285" s="65" t="s">
        <v>2377</v>
      </c>
      <c r="AF285" s="65" t="s">
        <v>1437</v>
      </c>
      <c r="AG285" s="65">
        <v>1</v>
      </c>
      <c r="AH285" s="65">
        <v>1</v>
      </c>
      <c r="AI285" s="65">
        <v>2</v>
      </c>
      <c r="AJ285" s="65">
        <v>2</v>
      </c>
      <c r="AK285" s="65" t="s">
        <v>353</v>
      </c>
      <c r="AL285" s="128">
        <v>45020</v>
      </c>
      <c r="AM285" s="65">
        <v>4</v>
      </c>
      <c r="AN285" s="65">
        <v>1</v>
      </c>
      <c r="AO285" s="65" t="s">
        <v>353</v>
      </c>
      <c r="AP285" s="65">
        <v>2</v>
      </c>
      <c r="AQ285" s="65" t="s">
        <v>352</v>
      </c>
      <c r="AR285" s="65" t="s">
        <v>202</v>
      </c>
      <c r="AS285" s="65">
        <v>1</v>
      </c>
      <c r="AT285" s="65">
        <v>1</v>
      </c>
      <c r="AU285" s="65" t="s">
        <v>1438</v>
      </c>
      <c r="AV285" s="65" t="s">
        <v>1439</v>
      </c>
      <c r="AW285" s="65" t="s">
        <v>202</v>
      </c>
      <c r="AX285" s="65" t="s">
        <v>202</v>
      </c>
      <c r="AY285" s="65" t="s">
        <v>202</v>
      </c>
    </row>
    <row r="286" spans="1:51" x14ac:dyDescent="0.2">
      <c r="A286" s="65" t="s">
        <v>1341</v>
      </c>
      <c r="B286" s="65" t="s">
        <v>719</v>
      </c>
      <c r="C286" s="65" t="s">
        <v>720</v>
      </c>
      <c r="D286" s="65" t="s">
        <v>2378</v>
      </c>
      <c r="E286" s="65" t="s">
        <v>353</v>
      </c>
      <c r="F286" s="65" t="s">
        <v>1820</v>
      </c>
      <c r="G286" s="65" t="s">
        <v>1821</v>
      </c>
      <c r="H286" s="65" t="s">
        <v>2108</v>
      </c>
      <c r="I286" s="65" t="s">
        <v>2109</v>
      </c>
      <c r="J286" s="65">
        <v>3144343275</v>
      </c>
      <c r="K286" s="65" t="s">
        <v>2194</v>
      </c>
      <c r="L286" s="65" t="s">
        <v>2195</v>
      </c>
      <c r="M286" s="65" t="s">
        <v>365</v>
      </c>
      <c r="N286" s="65" t="s">
        <v>2196</v>
      </c>
      <c r="O286" s="65" t="s">
        <v>2113</v>
      </c>
      <c r="P286" s="65" t="s">
        <v>2114</v>
      </c>
      <c r="Q286" s="65" t="s">
        <v>2115</v>
      </c>
      <c r="R286" s="65" t="s">
        <v>2116</v>
      </c>
      <c r="S286" s="65" t="s">
        <v>2117</v>
      </c>
      <c r="T286" s="65" t="s">
        <v>2118</v>
      </c>
      <c r="U286" s="65" t="s">
        <v>2119</v>
      </c>
      <c r="V286" s="65" t="s">
        <v>2120</v>
      </c>
      <c r="W286" s="65" t="s">
        <v>2121</v>
      </c>
      <c r="X286" s="65" t="s">
        <v>2122</v>
      </c>
      <c r="Y286" s="65" t="s">
        <v>2379</v>
      </c>
      <c r="Z286" s="65" t="s">
        <v>1827</v>
      </c>
      <c r="AA286" s="65" t="s">
        <v>2380</v>
      </c>
      <c r="AB286" s="65">
        <v>2</v>
      </c>
      <c r="AC286" s="65" t="s">
        <v>2381</v>
      </c>
      <c r="AD286" s="65" t="s">
        <v>2382</v>
      </c>
      <c r="AE286" s="65" t="s">
        <v>2383</v>
      </c>
      <c r="AF286" s="65" t="s">
        <v>1437</v>
      </c>
      <c r="AG286" s="65">
        <v>1</v>
      </c>
      <c r="AH286" s="65">
        <v>1</v>
      </c>
      <c r="AI286" s="65">
        <v>2</v>
      </c>
      <c r="AJ286" s="65">
        <v>2</v>
      </c>
      <c r="AK286" s="65" t="s">
        <v>202</v>
      </c>
      <c r="AL286" s="128">
        <v>45014</v>
      </c>
      <c r="AM286" s="65">
        <v>4</v>
      </c>
      <c r="AN286" s="65">
        <v>2</v>
      </c>
      <c r="AO286" s="65" t="s">
        <v>353</v>
      </c>
      <c r="AP286" s="65">
        <v>2</v>
      </c>
      <c r="AQ286" s="65" t="s">
        <v>352</v>
      </c>
      <c r="AR286" s="65" t="s">
        <v>202</v>
      </c>
      <c r="AS286" s="65">
        <v>1</v>
      </c>
      <c r="AT286" s="65">
        <v>1</v>
      </c>
      <c r="AU286" s="65" t="s">
        <v>1477</v>
      </c>
      <c r="AV286" s="65" t="s">
        <v>1439</v>
      </c>
      <c r="AW286" s="65" t="s">
        <v>202</v>
      </c>
      <c r="AX286" s="65" t="s">
        <v>202</v>
      </c>
      <c r="AY286" s="65" t="s">
        <v>353</v>
      </c>
    </row>
    <row r="287" spans="1:51" x14ac:dyDescent="0.2">
      <c r="A287" s="65" t="s">
        <v>1341</v>
      </c>
      <c r="B287" s="65" t="s">
        <v>727</v>
      </c>
      <c r="C287" s="65" t="s">
        <v>728</v>
      </c>
      <c r="D287" s="65" t="s">
        <v>2384</v>
      </c>
      <c r="E287" s="65" t="s">
        <v>353</v>
      </c>
      <c r="F287" s="65" t="s">
        <v>1820</v>
      </c>
      <c r="G287" s="65" t="s">
        <v>1821</v>
      </c>
      <c r="H287" s="65" t="s">
        <v>2108</v>
      </c>
      <c r="I287" s="65" t="s">
        <v>2109</v>
      </c>
      <c r="J287" s="65">
        <v>3144343275</v>
      </c>
      <c r="K287" s="65" t="s">
        <v>2194</v>
      </c>
      <c r="L287" s="65" t="s">
        <v>2195</v>
      </c>
      <c r="M287" s="65" t="s">
        <v>365</v>
      </c>
      <c r="N287" s="65" t="s">
        <v>2196</v>
      </c>
      <c r="O287" s="65" t="s">
        <v>2113</v>
      </c>
      <c r="P287" s="65" t="s">
        <v>2114</v>
      </c>
      <c r="Q287" s="65" t="s">
        <v>2115</v>
      </c>
      <c r="R287" s="65" t="s">
        <v>2116</v>
      </c>
      <c r="S287" s="65" t="s">
        <v>2117</v>
      </c>
      <c r="T287" s="65" t="s">
        <v>2118</v>
      </c>
      <c r="U287" s="65" t="s">
        <v>2119</v>
      </c>
      <c r="V287" s="65" t="s">
        <v>2120</v>
      </c>
      <c r="W287" s="65" t="s">
        <v>2121</v>
      </c>
      <c r="X287" s="65" t="s">
        <v>2122</v>
      </c>
      <c r="Y287" s="65" t="s">
        <v>1835</v>
      </c>
      <c r="Z287" s="65" t="s">
        <v>1827</v>
      </c>
      <c r="AA287" s="65" t="s">
        <v>2385</v>
      </c>
      <c r="AB287" s="65">
        <v>2</v>
      </c>
      <c r="AC287" s="65" t="s">
        <v>1464</v>
      </c>
      <c r="AD287" s="65" t="s">
        <v>2386</v>
      </c>
      <c r="AE287" s="65" t="s">
        <v>2387</v>
      </c>
      <c r="AF287" s="65" t="s">
        <v>1437</v>
      </c>
      <c r="AG287" s="65">
        <v>1</v>
      </c>
      <c r="AH287" s="65">
        <v>1</v>
      </c>
      <c r="AI287" s="65">
        <v>2</v>
      </c>
      <c r="AJ287" s="65">
        <v>2</v>
      </c>
      <c r="AK287" s="65" t="s">
        <v>202</v>
      </c>
      <c r="AL287" s="128">
        <v>45485</v>
      </c>
      <c r="AM287" s="65">
        <v>6</v>
      </c>
      <c r="AN287" s="65">
        <v>0</v>
      </c>
      <c r="AO287" s="65" t="s">
        <v>202</v>
      </c>
      <c r="AP287" s="65">
        <v>5</v>
      </c>
      <c r="AQ287" s="65" t="s">
        <v>352</v>
      </c>
      <c r="AR287" s="65" t="s">
        <v>353</v>
      </c>
      <c r="AS287" s="65">
        <v>0</v>
      </c>
      <c r="AT287" s="65">
        <v>1</v>
      </c>
      <c r="AU287" s="65" t="s">
        <v>1438</v>
      </c>
      <c r="AV287" s="65" t="s">
        <v>1439</v>
      </c>
      <c r="AW287" s="65" t="s">
        <v>202</v>
      </c>
      <c r="AX287" s="65" t="s">
        <v>202</v>
      </c>
      <c r="AY287" s="65" t="s">
        <v>353</v>
      </c>
    </row>
    <row r="288" spans="1:51" x14ac:dyDescent="0.2">
      <c r="A288" s="65" t="s">
        <v>1341</v>
      </c>
      <c r="B288" s="65" t="s">
        <v>1023</v>
      </c>
      <c r="C288" s="65" t="s">
        <v>1024</v>
      </c>
      <c r="D288" s="65" t="s">
        <v>2388</v>
      </c>
      <c r="E288" s="65" t="s">
        <v>353</v>
      </c>
      <c r="F288" s="65" t="s">
        <v>1820</v>
      </c>
      <c r="G288" s="65" t="s">
        <v>1821</v>
      </c>
      <c r="H288" s="65" t="s">
        <v>2108</v>
      </c>
      <c r="I288" s="65" t="s">
        <v>2109</v>
      </c>
      <c r="J288" s="65">
        <v>3144343275</v>
      </c>
      <c r="K288" s="65" t="s">
        <v>2194</v>
      </c>
      <c r="L288" s="65" t="s">
        <v>2195</v>
      </c>
      <c r="M288" s="65" t="s">
        <v>365</v>
      </c>
      <c r="N288" s="65" t="s">
        <v>2196</v>
      </c>
      <c r="O288" s="65" t="s">
        <v>2113</v>
      </c>
      <c r="P288" s="65" t="s">
        <v>2114</v>
      </c>
      <c r="Q288" s="65" t="s">
        <v>2115</v>
      </c>
      <c r="R288" s="65" t="s">
        <v>2116</v>
      </c>
      <c r="S288" s="65" t="s">
        <v>2117</v>
      </c>
      <c r="T288" s="65" t="s">
        <v>2118</v>
      </c>
      <c r="U288" s="65" t="s">
        <v>2119</v>
      </c>
      <c r="V288" s="65" t="s">
        <v>2120</v>
      </c>
      <c r="W288" s="65" t="s">
        <v>2121</v>
      </c>
      <c r="X288" s="65" t="s">
        <v>2122</v>
      </c>
      <c r="Y288" s="65" t="s">
        <v>2389</v>
      </c>
      <c r="Z288" s="65" t="s">
        <v>1827</v>
      </c>
      <c r="AA288" s="65" t="s">
        <v>2390</v>
      </c>
      <c r="AB288" s="65">
        <v>2</v>
      </c>
      <c r="AC288" s="65" t="s">
        <v>1474</v>
      </c>
      <c r="AD288" s="65" t="s">
        <v>1576</v>
      </c>
      <c r="AE288" s="65" t="s">
        <v>2391</v>
      </c>
      <c r="AF288" s="65" t="s">
        <v>1437</v>
      </c>
      <c r="AG288" s="65">
        <v>2</v>
      </c>
      <c r="AH288" s="65">
        <v>2</v>
      </c>
      <c r="AI288" s="65">
        <v>3</v>
      </c>
      <c r="AJ288" s="65">
        <v>2</v>
      </c>
      <c r="AK288" s="65" t="s">
        <v>202</v>
      </c>
      <c r="AL288" s="129">
        <v>44923</v>
      </c>
      <c r="AM288" s="65">
        <v>4</v>
      </c>
      <c r="AN288" s="65">
        <v>3</v>
      </c>
      <c r="AO288" s="65" t="s">
        <v>202</v>
      </c>
      <c r="AP288" s="65">
        <v>2</v>
      </c>
      <c r="AQ288" s="65" t="s">
        <v>352</v>
      </c>
      <c r="AR288" s="65" t="s">
        <v>202</v>
      </c>
      <c r="AS288" s="65">
        <v>1</v>
      </c>
      <c r="AT288" s="65">
        <v>1</v>
      </c>
      <c r="AU288" s="65" t="s">
        <v>1477</v>
      </c>
      <c r="AV288" s="65" t="s">
        <v>1439</v>
      </c>
      <c r="AW288" s="65" t="s">
        <v>202</v>
      </c>
      <c r="AX288" s="65" t="s">
        <v>202</v>
      </c>
      <c r="AY288" s="65" t="s">
        <v>353</v>
      </c>
    </row>
    <row r="289" spans="1:51" x14ac:dyDescent="0.2">
      <c r="A289" s="65" t="s">
        <v>1341</v>
      </c>
      <c r="B289" s="65" t="s">
        <v>517</v>
      </c>
      <c r="C289" s="65" t="s">
        <v>518</v>
      </c>
      <c r="D289" s="65" t="s">
        <v>2392</v>
      </c>
      <c r="E289" s="65" t="s">
        <v>353</v>
      </c>
      <c r="F289" s="65" t="s">
        <v>1820</v>
      </c>
      <c r="G289" s="65" t="s">
        <v>1821</v>
      </c>
      <c r="H289" s="65" t="s">
        <v>2108</v>
      </c>
      <c r="I289" s="65" t="s">
        <v>2109</v>
      </c>
      <c r="J289" s="65">
        <v>3144343275</v>
      </c>
      <c r="K289" s="65" t="s">
        <v>2194</v>
      </c>
      <c r="L289" s="65" t="s">
        <v>2195</v>
      </c>
      <c r="M289" s="65" t="s">
        <v>365</v>
      </c>
      <c r="N289" s="65" t="s">
        <v>2196</v>
      </c>
      <c r="O289" s="65" t="s">
        <v>2113</v>
      </c>
      <c r="P289" s="65" t="s">
        <v>2114</v>
      </c>
      <c r="Q289" s="65" t="s">
        <v>2115</v>
      </c>
      <c r="R289" s="65" t="s">
        <v>2116</v>
      </c>
      <c r="S289" s="65" t="s">
        <v>2117</v>
      </c>
      <c r="T289" s="65" t="s">
        <v>2118</v>
      </c>
      <c r="U289" s="65" t="s">
        <v>2119</v>
      </c>
      <c r="V289" s="65" t="s">
        <v>2120</v>
      </c>
      <c r="W289" s="65" t="s">
        <v>2121</v>
      </c>
      <c r="X289" s="65" t="s">
        <v>2122</v>
      </c>
      <c r="Y289" s="65" t="s">
        <v>2393</v>
      </c>
      <c r="Z289" s="65" t="s">
        <v>1827</v>
      </c>
      <c r="AA289" s="65" t="s">
        <v>2394</v>
      </c>
      <c r="AB289" s="65">
        <v>2</v>
      </c>
      <c r="AC289" s="65" t="s">
        <v>2089</v>
      </c>
      <c r="AD289" s="65" t="s">
        <v>2257</v>
      </c>
      <c r="AE289" s="65" t="s">
        <v>2395</v>
      </c>
      <c r="AF289" s="65" t="s">
        <v>1437</v>
      </c>
      <c r="AG289" s="65">
        <v>1</v>
      </c>
      <c r="AH289" s="65">
        <v>0</v>
      </c>
      <c r="AI289" s="65">
        <v>2</v>
      </c>
      <c r="AJ289" s="65">
        <v>2</v>
      </c>
      <c r="AK289" s="65" t="s">
        <v>353</v>
      </c>
      <c r="AL289" s="128">
        <v>45030</v>
      </c>
      <c r="AM289" s="65">
        <v>4</v>
      </c>
      <c r="AN289" s="65">
        <v>2</v>
      </c>
      <c r="AO289" s="65" t="s">
        <v>202</v>
      </c>
      <c r="AP289" s="65">
        <v>2</v>
      </c>
      <c r="AQ289" s="65" t="s">
        <v>352</v>
      </c>
      <c r="AR289" s="65" t="s">
        <v>202</v>
      </c>
      <c r="AS289" s="65">
        <v>1</v>
      </c>
      <c r="AT289" s="65">
        <v>1</v>
      </c>
      <c r="AU289" s="65" t="s">
        <v>1438</v>
      </c>
      <c r="AV289" s="65" t="s">
        <v>1439</v>
      </c>
      <c r="AW289" s="65" t="s">
        <v>202</v>
      </c>
      <c r="AX289" s="65" t="s">
        <v>202</v>
      </c>
      <c r="AY289" s="65" t="s">
        <v>202</v>
      </c>
    </row>
    <row r="290" spans="1:51" x14ac:dyDescent="0.2">
      <c r="A290" s="65" t="s">
        <v>1341</v>
      </c>
      <c r="B290" s="65" t="s">
        <v>808</v>
      </c>
      <c r="C290" s="65" t="s">
        <v>809</v>
      </c>
      <c r="D290" s="65" t="s">
        <v>2396</v>
      </c>
      <c r="E290" s="65" t="s">
        <v>353</v>
      </c>
      <c r="F290" s="65" t="s">
        <v>1820</v>
      </c>
      <c r="G290" s="65" t="s">
        <v>1821</v>
      </c>
      <c r="H290" s="65" t="s">
        <v>2108</v>
      </c>
      <c r="I290" s="65" t="s">
        <v>2109</v>
      </c>
      <c r="J290" s="65">
        <v>3144343275</v>
      </c>
      <c r="K290" s="65" t="s">
        <v>2194</v>
      </c>
      <c r="L290" s="65" t="s">
        <v>2195</v>
      </c>
      <c r="M290" s="65" t="s">
        <v>365</v>
      </c>
      <c r="N290" s="65" t="s">
        <v>2196</v>
      </c>
      <c r="O290" s="65" t="s">
        <v>2113</v>
      </c>
      <c r="P290" s="65" t="s">
        <v>2114</v>
      </c>
      <c r="Q290" s="65" t="s">
        <v>2115</v>
      </c>
      <c r="R290" s="65" t="s">
        <v>2116</v>
      </c>
      <c r="S290" s="65" t="s">
        <v>2117</v>
      </c>
      <c r="T290" s="65" t="s">
        <v>2118</v>
      </c>
      <c r="U290" s="65" t="s">
        <v>2119</v>
      </c>
      <c r="V290" s="65" t="s">
        <v>2120</v>
      </c>
      <c r="W290" s="65" t="s">
        <v>2121</v>
      </c>
      <c r="X290" s="65" t="s">
        <v>2122</v>
      </c>
      <c r="Y290" s="65" t="s">
        <v>1835</v>
      </c>
      <c r="Z290" s="65" t="s">
        <v>1827</v>
      </c>
      <c r="AA290" s="65" t="s">
        <v>2397</v>
      </c>
      <c r="AB290" s="65">
        <v>2</v>
      </c>
      <c r="AC290" s="65" t="s">
        <v>1570</v>
      </c>
      <c r="AD290" s="65" t="s">
        <v>1434</v>
      </c>
      <c r="AE290" s="65" t="s">
        <v>2398</v>
      </c>
      <c r="AF290" s="65" t="s">
        <v>1437</v>
      </c>
      <c r="AG290" s="65">
        <v>2</v>
      </c>
      <c r="AH290" s="65">
        <v>2</v>
      </c>
      <c r="AI290" s="65">
        <v>2</v>
      </c>
      <c r="AJ290" s="65">
        <v>2</v>
      </c>
      <c r="AK290" s="65" t="s">
        <v>202</v>
      </c>
      <c r="AL290" s="128">
        <v>45687</v>
      </c>
      <c r="AM290" s="65">
        <v>6</v>
      </c>
      <c r="AN290" s="65">
        <v>1</v>
      </c>
      <c r="AO290" s="65" t="s">
        <v>202</v>
      </c>
      <c r="AP290" s="65">
        <v>3</v>
      </c>
      <c r="AQ290" s="65" t="s">
        <v>352</v>
      </c>
      <c r="AR290" s="65" t="s">
        <v>353</v>
      </c>
      <c r="AS290" s="65">
        <v>1</v>
      </c>
      <c r="AT290" s="65">
        <v>0</v>
      </c>
      <c r="AU290" s="65" t="s">
        <v>1438</v>
      </c>
      <c r="AV290" s="65" t="s">
        <v>1439</v>
      </c>
      <c r="AW290" s="65" t="s">
        <v>202</v>
      </c>
      <c r="AX290" s="65" t="s">
        <v>202</v>
      </c>
      <c r="AY290" s="65" t="s">
        <v>353</v>
      </c>
    </row>
    <row r="291" spans="1:51" x14ac:dyDescent="0.2">
      <c r="A291" s="65" t="s">
        <v>1341</v>
      </c>
      <c r="B291" s="65" t="s">
        <v>792</v>
      </c>
      <c r="C291" s="65" t="s">
        <v>793</v>
      </c>
      <c r="D291" s="65" t="s">
        <v>2399</v>
      </c>
      <c r="E291" s="65" t="s">
        <v>353</v>
      </c>
      <c r="F291" s="65" t="s">
        <v>1820</v>
      </c>
      <c r="G291" s="65" t="s">
        <v>1821</v>
      </c>
      <c r="H291" s="65" t="s">
        <v>2108</v>
      </c>
      <c r="I291" s="65" t="s">
        <v>2109</v>
      </c>
      <c r="J291" s="65">
        <v>3144343275</v>
      </c>
      <c r="K291" s="65" t="s">
        <v>2200</v>
      </c>
      <c r="L291" s="65" t="s">
        <v>2201</v>
      </c>
      <c r="M291" s="65" t="s">
        <v>363</v>
      </c>
      <c r="N291" s="65" t="s">
        <v>2202</v>
      </c>
      <c r="O291" s="65" t="s">
        <v>2113</v>
      </c>
      <c r="P291" s="65" t="s">
        <v>2114</v>
      </c>
      <c r="Q291" s="65" t="s">
        <v>2115</v>
      </c>
      <c r="R291" s="65" t="s">
        <v>2116</v>
      </c>
      <c r="S291" s="65" t="s">
        <v>2117</v>
      </c>
      <c r="T291" s="65" t="s">
        <v>2118</v>
      </c>
      <c r="U291" s="65" t="s">
        <v>2119</v>
      </c>
      <c r="V291" s="65" t="s">
        <v>2120</v>
      </c>
      <c r="W291" s="65" t="s">
        <v>2121</v>
      </c>
      <c r="X291" s="65" t="s">
        <v>2122</v>
      </c>
      <c r="Y291" s="65" t="s">
        <v>1835</v>
      </c>
      <c r="Z291" s="65" t="s">
        <v>1827</v>
      </c>
      <c r="AA291" s="65" t="s">
        <v>2400</v>
      </c>
      <c r="AB291" s="65">
        <v>3</v>
      </c>
      <c r="AC291" s="65" t="s">
        <v>2223</v>
      </c>
      <c r="AD291" s="65" t="s">
        <v>1517</v>
      </c>
      <c r="AE291" s="65" t="s">
        <v>2401</v>
      </c>
      <c r="AF291" s="65" t="s">
        <v>1437</v>
      </c>
      <c r="AG291" s="65">
        <v>2</v>
      </c>
      <c r="AH291" s="65">
        <v>2</v>
      </c>
      <c r="AI291" s="65">
        <v>3</v>
      </c>
      <c r="AJ291" s="65">
        <v>2</v>
      </c>
      <c r="AK291" s="65" t="s">
        <v>202</v>
      </c>
      <c r="AL291" s="128">
        <v>45042</v>
      </c>
      <c r="AM291" s="65">
        <v>4</v>
      </c>
      <c r="AN291" s="65">
        <v>1</v>
      </c>
      <c r="AO291" s="65" t="s">
        <v>202</v>
      </c>
      <c r="AP291" s="65">
        <v>2</v>
      </c>
      <c r="AQ291" s="65" t="s">
        <v>354</v>
      </c>
      <c r="AR291" s="65" t="s">
        <v>202</v>
      </c>
      <c r="AS291" s="65">
        <v>1</v>
      </c>
      <c r="AT291" s="65">
        <v>1</v>
      </c>
      <c r="AU291" s="65" t="s">
        <v>1438</v>
      </c>
      <c r="AV291" s="65" t="s">
        <v>1439</v>
      </c>
      <c r="AW291" s="65" t="s">
        <v>353</v>
      </c>
      <c r="AX291" s="65" t="s">
        <v>353</v>
      </c>
      <c r="AY291" s="65" t="s">
        <v>353</v>
      </c>
    </row>
    <row r="292" spans="1:51" x14ac:dyDescent="0.2">
      <c r="A292" s="65" t="s">
        <v>1341</v>
      </c>
      <c r="B292" s="65" t="s">
        <v>511</v>
      </c>
      <c r="C292" s="65" t="s">
        <v>512</v>
      </c>
      <c r="D292" s="65" t="s">
        <v>2402</v>
      </c>
      <c r="E292" s="65" t="s">
        <v>353</v>
      </c>
      <c r="F292" s="65" t="s">
        <v>1820</v>
      </c>
      <c r="G292" s="65" t="s">
        <v>1821</v>
      </c>
      <c r="H292" s="65" t="s">
        <v>2108</v>
      </c>
      <c r="I292" s="65" t="s">
        <v>2109</v>
      </c>
      <c r="J292" s="65">
        <v>3144343275</v>
      </c>
      <c r="K292" s="65" t="s">
        <v>2200</v>
      </c>
      <c r="L292" s="65" t="s">
        <v>2201</v>
      </c>
      <c r="M292" s="65" t="s">
        <v>363</v>
      </c>
      <c r="N292" s="65" t="s">
        <v>2202</v>
      </c>
      <c r="O292" s="65" t="s">
        <v>2113</v>
      </c>
      <c r="P292" s="65" t="s">
        <v>2114</v>
      </c>
      <c r="Q292" s="65" t="s">
        <v>2115</v>
      </c>
      <c r="R292" s="65" t="s">
        <v>2116</v>
      </c>
      <c r="S292" s="65" t="s">
        <v>2117</v>
      </c>
      <c r="T292" s="65" t="s">
        <v>2118</v>
      </c>
      <c r="U292" s="65" t="s">
        <v>2119</v>
      </c>
      <c r="V292" s="65" t="s">
        <v>2120</v>
      </c>
      <c r="W292" s="65" t="s">
        <v>2121</v>
      </c>
      <c r="X292" s="65" t="s">
        <v>2122</v>
      </c>
      <c r="Y292" s="65" t="s">
        <v>1860</v>
      </c>
      <c r="Z292" s="65" t="s">
        <v>1827</v>
      </c>
      <c r="AA292" s="65" t="s">
        <v>2403</v>
      </c>
      <c r="AB292" s="65">
        <v>3</v>
      </c>
      <c r="AC292" s="65" t="s">
        <v>2404</v>
      </c>
      <c r="AD292" s="65" t="s">
        <v>2405</v>
      </c>
      <c r="AE292" s="65" t="s">
        <v>2406</v>
      </c>
      <c r="AF292" s="65" t="s">
        <v>1437</v>
      </c>
      <c r="AG292" s="65">
        <v>1</v>
      </c>
      <c r="AH292" s="65">
        <v>0</v>
      </c>
      <c r="AI292" s="65">
        <v>2</v>
      </c>
      <c r="AJ292" s="65">
        <v>1</v>
      </c>
      <c r="AK292" s="65" t="s">
        <v>202</v>
      </c>
      <c r="AL292" s="128">
        <v>45054</v>
      </c>
      <c r="AM292" s="65">
        <v>4</v>
      </c>
      <c r="AN292" s="65">
        <v>0</v>
      </c>
      <c r="AO292" s="65" t="s">
        <v>202</v>
      </c>
      <c r="AP292" s="65">
        <v>2</v>
      </c>
      <c r="AQ292" s="65" t="s">
        <v>355</v>
      </c>
      <c r="AR292" s="65" t="s">
        <v>353</v>
      </c>
      <c r="AS292" s="65">
        <v>1</v>
      </c>
      <c r="AT292" s="65">
        <v>1</v>
      </c>
      <c r="AU292" s="65" t="s">
        <v>1529</v>
      </c>
      <c r="AV292" s="65" t="s">
        <v>1439</v>
      </c>
      <c r="AW292" s="65" t="s">
        <v>202</v>
      </c>
      <c r="AX292" s="65" t="s">
        <v>353</v>
      </c>
      <c r="AY292" s="65" t="s">
        <v>202</v>
      </c>
    </row>
    <row r="293" spans="1:51" x14ac:dyDescent="0.2">
      <c r="A293" s="65" t="s">
        <v>1341</v>
      </c>
      <c r="B293" s="65" t="s">
        <v>565</v>
      </c>
      <c r="C293" s="65" t="s">
        <v>566</v>
      </c>
      <c r="D293" s="65" t="s">
        <v>2407</v>
      </c>
      <c r="E293" s="65" t="s">
        <v>353</v>
      </c>
      <c r="F293" s="65" t="s">
        <v>1820</v>
      </c>
      <c r="G293" s="65" t="s">
        <v>1821</v>
      </c>
      <c r="H293" s="65" t="s">
        <v>2108</v>
      </c>
      <c r="I293" s="65" t="s">
        <v>2109</v>
      </c>
      <c r="J293" s="65">
        <v>3144343275</v>
      </c>
      <c r="K293" s="65" t="s">
        <v>2200</v>
      </c>
      <c r="L293" s="65" t="s">
        <v>2201</v>
      </c>
      <c r="M293" s="65" t="s">
        <v>363</v>
      </c>
      <c r="N293" s="65" t="s">
        <v>2202</v>
      </c>
      <c r="O293" s="65" t="s">
        <v>2113</v>
      </c>
      <c r="P293" s="65" t="s">
        <v>2114</v>
      </c>
      <c r="Q293" s="65" t="s">
        <v>2115</v>
      </c>
      <c r="R293" s="65" t="s">
        <v>2116</v>
      </c>
      <c r="S293" s="65" t="s">
        <v>2117</v>
      </c>
      <c r="T293" s="65" t="s">
        <v>2118</v>
      </c>
      <c r="U293" s="65" t="s">
        <v>2119</v>
      </c>
      <c r="V293" s="65" t="s">
        <v>2120</v>
      </c>
      <c r="W293" s="65" t="s">
        <v>2121</v>
      </c>
      <c r="X293" s="65" t="s">
        <v>2122</v>
      </c>
      <c r="Y293" s="65" t="s">
        <v>1860</v>
      </c>
      <c r="Z293" s="65" t="s">
        <v>1827</v>
      </c>
      <c r="AA293" s="65" t="s">
        <v>2408</v>
      </c>
      <c r="AB293" s="65">
        <v>3</v>
      </c>
      <c r="AC293" s="65" t="s">
        <v>2409</v>
      </c>
      <c r="AD293" s="65" t="s">
        <v>2410</v>
      </c>
      <c r="AE293" s="65" t="s">
        <v>2411</v>
      </c>
      <c r="AF293" s="65" t="s">
        <v>1437</v>
      </c>
      <c r="AG293" s="65">
        <v>1</v>
      </c>
      <c r="AH293" s="65">
        <v>0</v>
      </c>
      <c r="AI293" s="65">
        <v>2</v>
      </c>
      <c r="AJ293" s="65">
        <v>2</v>
      </c>
      <c r="AK293" s="65" t="s">
        <v>202</v>
      </c>
      <c r="AL293" s="128">
        <v>44951</v>
      </c>
      <c r="AM293" s="65">
        <v>4</v>
      </c>
      <c r="AN293" s="65">
        <v>1</v>
      </c>
      <c r="AO293" s="65" t="s">
        <v>202</v>
      </c>
      <c r="AP293" s="65">
        <v>2</v>
      </c>
      <c r="AQ293" s="65" t="s">
        <v>355</v>
      </c>
      <c r="AR293" s="65" t="s">
        <v>202</v>
      </c>
      <c r="AS293" s="65">
        <v>1</v>
      </c>
      <c r="AT293" s="65">
        <v>1</v>
      </c>
      <c r="AU293" s="65" t="s">
        <v>1438</v>
      </c>
      <c r="AV293" s="65" t="s">
        <v>1439</v>
      </c>
      <c r="AW293" s="65" t="s">
        <v>202</v>
      </c>
      <c r="AX293" s="65" t="s">
        <v>353</v>
      </c>
      <c r="AY293" s="65" t="s">
        <v>353</v>
      </c>
    </row>
    <row r="294" spans="1:51" x14ac:dyDescent="0.2">
      <c r="A294" s="65" t="s">
        <v>1341</v>
      </c>
      <c r="B294" s="65" t="s">
        <v>499</v>
      </c>
      <c r="C294" s="65" t="s">
        <v>500</v>
      </c>
      <c r="D294" s="65" t="s">
        <v>2412</v>
      </c>
      <c r="E294" s="65" t="s">
        <v>353</v>
      </c>
      <c r="F294" s="65" t="s">
        <v>1820</v>
      </c>
      <c r="G294" s="65" t="s">
        <v>1821</v>
      </c>
      <c r="H294" s="65" t="s">
        <v>2108</v>
      </c>
      <c r="I294" s="65" t="s">
        <v>2109</v>
      </c>
      <c r="J294" s="65">
        <v>3144343275</v>
      </c>
      <c r="K294" s="65" t="s">
        <v>2200</v>
      </c>
      <c r="L294" s="65" t="s">
        <v>2201</v>
      </c>
      <c r="M294" s="65" t="s">
        <v>363</v>
      </c>
      <c r="N294" s="65" t="s">
        <v>2202</v>
      </c>
      <c r="O294" s="65" t="s">
        <v>2113</v>
      </c>
      <c r="P294" s="65" t="s">
        <v>2114</v>
      </c>
      <c r="Q294" s="65" t="s">
        <v>2115</v>
      </c>
      <c r="R294" s="65" t="s">
        <v>2116</v>
      </c>
      <c r="S294" s="65" t="s">
        <v>2117</v>
      </c>
      <c r="T294" s="65" t="s">
        <v>2118</v>
      </c>
      <c r="U294" s="65" t="s">
        <v>2119</v>
      </c>
      <c r="V294" s="65" t="s">
        <v>2120</v>
      </c>
      <c r="W294" s="65" t="s">
        <v>2121</v>
      </c>
      <c r="X294" s="65" t="s">
        <v>2122</v>
      </c>
      <c r="Y294" s="65" t="s">
        <v>1860</v>
      </c>
      <c r="Z294" s="65" t="s">
        <v>1827</v>
      </c>
      <c r="AA294" s="65" t="s">
        <v>2413</v>
      </c>
      <c r="AB294" s="65">
        <v>2</v>
      </c>
      <c r="AC294" s="65" t="s">
        <v>1443</v>
      </c>
      <c r="AD294" s="65" t="s">
        <v>2414</v>
      </c>
      <c r="AE294" s="65" t="s">
        <v>2415</v>
      </c>
      <c r="AF294" s="65" t="s">
        <v>1437</v>
      </c>
      <c r="AG294" s="65">
        <v>1</v>
      </c>
      <c r="AH294" s="65">
        <v>0</v>
      </c>
      <c r="AI294" s="65">
        <v>2</v>
      </c>
      <c r="AJ294" s="65">
        <v>2</v>
      </c>
      <c r="AK294" s="65" t="s">
        <v>353</v>
      </c>
      <c r="AL294" s="128">
        <v>45006</v>
      </c>
      <c r="AM294" s="65">
        <v>4</v>
      </c>
      <c r="AN294" s="65">
        <v>1</v>
      </c>
      <c r="AO294" s="65" t="s">
        <v>353</v>
      </c>
      <c r="AP294" s="65">
        <v>2</v>
      </c>
      <c r="AQ294" s="65" t="s">
        <v>355</v>
      </c>
      <c r="AR294" s="65" t="s">
        <v>202</v>
      </c>
      <c r="AS294" s="65">
        <v>1</v>
      </c>
      <c r="AT294" s="65">
        <v>1</v>
      </c>
      <c r="AU294" s="65" t="s">
        <v>1438</v>
      </c>
      <c r="AV294" s="65" t="s">
        <v>1439</v>
      </c>
      <c r="AW294" s="65" t="s">
        <v>202</v>
      </c>
      <c r="AX294" s="65" t="s">
        <v>353</v>
      </c>
      <c r="AY294" s="65" t="s">
        <v>202</v>
      </c>
    </row>
    <row r="295" spans="1:51" x14ac:dyDescent="0.2">
      <c r="A295" s="65" t="s">
        <v>1341</v>
      </c>
      <c r="B295" s="65" t="s">
        <v>877</v>
      </c>
      <c r="C295" s="65" t="s">
        <v>878</v>
      </c>
      <c r="D295" s="65" t="s">
        <v>2416</v>
      </c>
      <c r="E295" s="65" t="s">
        <v>353</v>
      </c>
      <c r="F295" s="65" t="s">
        <v>1820</v>
      </c>
      <c r="G295" s="65" t="s">
        <v>1821</v>
      </c>
      <c r="H295" s="65" t="s">
        <v>2108</v>
      </c>
      <c r="I295" s="65" t="s">
        <v>2109</v>
      </c>
      <c r="J295" s="65">
        <v>3144343275</v>
      </c>
      <c r="K295" s="65" t="s">
        <v>2200</v>
      </c>
      <c r="L295" s="65" t="s">
        <v>2201</v>
      </c>
      <c r="M295" s="65" t="s">
        <v>363</v>
      </c>
      <c r="N295" s="65" t="s">
        <v>2202</v>
      </c>
      <c r="O295" s="65" t="s">
        <v>2113</v>
      </c>
      <c r="P295" s="65" t="s">
        <v>2114</v>
      </c>
      <c r="Q295" s="65" t="s">
        <v>2115</v>
      </c>
      <c r="R295" s="65" t="s">
        <v>2116</v>
      </c>
      <c r="S295" s="65" t="s">
        <v>2117</v>
      </c>
      <c r="T295" s="65" t="s">
        <v>2118</v>
      </c>
      <c r="U295" s="65" t="s">
        <v>2119</v>
      </c>
      <c r="V295" s="65" t="s">
        <v>2120</v>
      </c>
      <c r="W295" s="65" t="s">
        <v>2121</v>
      </c>
      <c r="X295" s="65" t="s">
        <v>2122</v>
      </c>
      <c r="Y295" s="65" t="s">
        <v>1860</v>
      </c>
      <c r="Z295" s="65" t="s">
        <v>2352</v>
      </c>
      <c r="AA295" s="65" t="s">
        <v>2417</v>
      </c>
      <c r="AB295" s="65">
        <v>2</v>
      </c>
      <c r="AC295" s="65" t="s">
        <v>1489</v>
      </c>
      <c r="AD295" s="65" t="s">
        <v>1570</v>
      </c>
      <c r="AE295" s="65" t="s">
        <v>2418</v>
      </c>
      <c r="AF295" s="65" t="s">
        <v>1437</v>
      </c>
      <c r="AG295" s="65">
        <v>3</v>
      </c>
      <c r="AH295" s="65">
        <v>4</v>
      </c>
      <c r="AI295" s="65">
        <v>2</v>
      </c>
      <c r="AJ295" s="65">
        <v>2</v>
      </c>
      <c r="AK295" s="65" t="s">
        <v>202</v>
      </c>
      <c r="AL295" s="128">
        <v>45535</v>
      </c>
      <c r="AM295" s="65">
        <v>6</v>
      </c>
      <c r="AN295" s="65">
        <v>1</v>
      </c>
      <c r="AO295" s="65" t="s">
        <v>202</v>
      </c>
      <c r="AP295" s="65">
        <v>5</v>
      </c>
      <c r="AQ295" s="65" t="s">
        <v>354</v>
      </c>
      <c r="AR295" s="65" t="s">
        <v>353</v>
      </c>
      <c r="AS295" s="65">
        <v>0</v>
      </c>
      <c r="AT295" s="65">
        <v>1</v>
      </c>
      <c r="AU295" s="65" t="s">
        <v>1477</v>
      </c>
      <c r="AV295" s="65" t="s">
        <v>1439</v>
      </c>
      <c r="AW295" s="65" t="s">
        <v>353</v>
      </c>
      <c r="AX295" s="65" t="s">
        <v>353</v>
      </c>
      <c r="AY295" s="65" t="s">
        <v>353</v>
      </c>
    </row>
    <row r="296" spans="1:51" x14ac:dyDescent="0.2">
      <c r="A296" s="65" t="s">
        <v>1341</v>
      </c>
      <c r="B296" s="65" t="s">
        <v>800</v>
      </c>
      <c r="C296" s="65" t="s">
        <v>801</v>
      </c>
      <c r="D296" s="65" t="s">
        <v>2419</v>
      </c>
      <c r="E296" s="65" t="s">
        <v>353</v>
      </c>
      <c r="F296" s="65" t="s">
        <v>1820</v>
      </c>
      <c r="G296" s="65" t="s">
        <v>1821</v>
      </c>
      <c r="H296" s="65" t="s">
        <v>2108</v>
      </c>
      <c r="I296" s="65" t="s">
        <v>2109</v>
      </c>
      <c r="J296" s="65">
        <v>3144343275</v>
      </c>
      <c r="K296" s="65" t="s">
        <v>2200</v>
      </c>
      <c r="L296" s="65" t="s">
        <v>2201</v>
      </c>
      <c r="M296" s="65" t="s">
        <v>363</v>
      </c>
      <c r="N296" s="65" t="s">
        <v>2202</v>
      </c>
      <c r="O296" s="65" t="s">
        <v>2113</v>
      </c>
      <c r="P296" s="65" t="s">
        <v>2114</v>
      </c>
      <c r="Q296" s="65" t="s">
        <v>2115</v>
      </c>
      <c r="R296" s="65" t="s">
        <v>2116</v>
      </c>
      <c r="S296" s="65" t="s">
        <v>2117</v>
      </c>
      <c r="T296" s="65" t="s">
        <v>2118</v>
      </c>
      <c r="U296" s="65" t="s">
        <v>2119</v>
      </c>
      <c r="V296" s="65" t="s">
        <v>2120</v>
      </c>
      <c r="W296" s="65" t="s">
        <v>2121</v>
      </c>
      <c r="X296" s="65" t="s">
        <v>2122</v>
      </c>
      <c r="Y296" s="65" t="s">
        <v>1860</v>
      </c>
      <c r="Z296" s="65" t="s">
        <v>1827</v>
      </c>
      <c r="AA296" s="65" t="s">
        <v>2420</v>
      </c>
      <c r="AB296" s="65">
        <v>2</v>
      </c>
      <c r="AC296" s="65" t="s">
        <v>2223</v>
      </c>
      <c r="AD296" s="65" t="s">
        <v>1434</v>
      </c>
      <c r="AE296" s="65" t="s">
        <v>2421</v>
      </c>
      <c r="AF296" s="65" t="s">
        <v>1437</v>
      </c>
      <c r="AG296" s="65">
        <v>2</v>
      </c>
      <c r="AH296" s="65">
        <v>2</v>
      </c>
      <c r="AI296" s="65">
        <v>2</v>
      </c>
      <c r="AJ296" s="65">
        <v>2</v>
      </c>
      <c r="AK296" s="65" t="s">
        <v>202</v>
      </c>
      <c r="AL296" s="128">
        <v>45429</v>
      </c>
      <c r="AM296" s="65">
        <v>6</v>
      </c>
      <c r="AN296" s="65">
        <v>2</v>
      </c>
      <c r="AO296" s="65" t="s">
        <v>202</v>
      </c>
      <c r="AP296" s="65">
        <v>5</v>
      </c>
      <c r="AQ296" s="65" t="s">
        <v>354</v>
      </c>
      <c r="AR296" s="65" t="s">
        <v>353</v>
      </c>
      <c r="AS296" s="65">
        <v>1</v>
      </c>
      <c r="AT296" s="65">
        <v>1</v>
      </c>
      <c r="AU296" s="65" t="s">
        <v>1438</v>
      </c>
      <c r="AV296" s="65" t="s">
        <v>1439</v>
      </c>
      <c r="AW296" s="65" t="s">
        <v>353</v>
      </c>
      <c r="AX296" s="65" t="s">
        <v>353</v>
      </c>
      <c r="AY296" s="65" t="s">
        <v>353</v>
      </c>
    </row>
    <row r="297" spans="1:51" x14ac:dyDescent="0.2">
      <c r="A297" s="65" t="s">
        <v>1341</v>
      </c>
      <c r="B297" s="65" t="s">
        <v>804</v>
      </c>
      <c r="C297" s="65" t="s">
        <v>805</v>
      </c>
      <c r="D297" s="65" t="s">
        <v>2422</v>
      </c>
      <c r="E297" s="65" t="s">
        <v>353</v>
      </c>
      <c r="F297" s="65" t="s">
        <v>1820</v>
      </c>
      <c r="G297" s="65" t="s">
        <v>1821</v>
      </c>
      <c r="H297" s="65" t="s">
        <v>2108</v>
      </c>
      <c r="I297" s="65" t="s">
        <v>2109</v>
      </c>
      <c r="J297" s="65">
        <v>3144343275</v>
      </c>
      <c r="K297" s="65" t="s">
        <v>2200</v>
      </c>
      <c r="L297" s="65" t="s">
        <v>2201</v>
      </c>
      <c r="M297" s="65" t="s">
        <v>363</v>
      </c>
      <c r="N297" s="65" t="s">
        <v>2202</v>
      </c>
      <c r="O297" s="65" t="s">
        <v>2113</v>
      </c>
      <c r="P297" s="65" t="s">
        <v>2114</v>
      </c>
      <c r="Q297" s="65" t="s">
        <v>2115</v>
      </c>
      <c r="R297" s="65" t="s">
        <v>2116</v>
      </c>
      <c r="S297" s="65" t="s">
        <v>2117</v>
      </c>
      <c r="T297" s="65" t="s">
        <v>2118</v>
      </c>
      <c r="U297" s="65" t="s">
        <v>2119</v>
      </c>
      <c r="V297" s="65" t="s">
        <v>2120</v>
      </c>
      <c r="W297" s="65" t="s">
        <v>2121</v>
      </c>
      <c r="X297" s="65" t="s">
        <v>2122</v>
      </c>
      <c r="Y297" s="65" t="s">
        <v>1860</v>
      </c>
      <c r="Z297" s="65" t="s">
        <v>1827</v>
      </c>
      <c r="AA297" s="65" t="s">
        <v>2423</v>
      </c>
      <c r="AB297" s="65">
        <v>2</v>
      </c>
      <c r="AC297" s="65" t="s">
        <v>1558</v>
      </c>
      <c r="AD297" s="65" t="s">
        <v>2041</v>
      </c>
      <c r="AE297" s="65" t="s">
        <v>2424</v>
      </c>
      <c r="AF297" s="65" t="s">
        <v>1437</v>
      </c>
      <c r="AG297" s="65">
        <v>1</v>
      </c>
      <c r="AH297" s="65">
        <v>2</v>
      </c>
      <c r="AI297" s="65">
        <v>2</v>
      </c>
      <c r="AJ297" s="65">
        <v>1</v>
      </c>
      <c r="AK297" s="65" t="s">
        <v>202</v>
      </c>
      <c r="AL297" s="129">
        <v>45577</v>
      </c>
      <c r="AM297" s="65">
        <v>6</v>
      </c>
      <c r="AN297" s="65">
        <v>1</v>
      </c>
      <c r="AO297" s="65" t="s">
        <v>202</v>
      </c>
      <c r="AP297" s="65">
        <v>4</v>
      </c>
      <c r="AQ297" s="65" t="s">
        <v>352</v>
      </c>
      <c r="AR297" s="65" t="s">
        <v>353</v>
      </c>
      <c r="AS297" s="65">
        <v>0</v>
      </c>
      <c r="AT297" s="65">
        <v>0</v>
      </c>
      <c r="AU297" s="65" t="s">
        <v>1438</v>
      </c>
      <c r="AV297" s="65" t="s">
        <v>1439</v>
      </c>
      <c r="AW297" s="65" t="s">
        <v>202</v>
      </c>
      <c r="AX297" s="65" t="s">
        <v>202</v>
      </c>
      <c r="AY297" s="65" t="s">
        <v>353</v>
      </c>
    </row>
    <row r="298" spans="1:51" x14ac:dyDescent="0.2">
      <c r="A298" s="65" t="s">
        <v>1341</v>
      </c>
      <c r="B298" s="65" t="s">
        <v>860</v>
      </c>
      <c r="C298" s="65" t="s">
        <v>861</v>
      </c>
      <c r="D298" s="65" t="s">
        <v>2425</v>
      </c>
      <c r="E298" s="65" t="s">
        <v>353</v>
      </c>
      <c r="F298" s="65" t="s">
        <v>1820</v>
      </c>
      <c r="G298" s="65" t="s">
        <v>1821</v>
      </c>
      <c r="H298" s="65" t="s">
        <v>2108</v>
      </c>
      <c r="I298" s="65" t="s">
        <v>2109</v>
      </c>
      <c r="J298" s="65">
        <v>3144343275</v>
      </c>
      <c r="K298" s="65" t="s">
        <v>2200</v>
      </c>
      <c r="L298" s="65" t="s">
        <v>2201</v>
      </c>
      <c r="M298" s="65" t="s">
        <v>363</v>
      </c>
      <c r="N298" s="65" t="s">
        <v>2202</v>
      </c>
      <c r="O298" s="65" t="s">
        <v>2113</v>
      </c>
      <c r="P298" s="65" t="s">
        <v>2114</v>
      </c>
      <c r="Q298" s="65" t="s">
        <v>2115</v>
      </c>
      <c r="R298" s="65" t="s">
        <v>2116</v>
      </c>
      <c r="S298" s="65" t="s">
        <v>2117</v>
      </c>
      <c r="T298" s="65" t="s">
        <v>2118</v>
      </c>
      <c r="U298" s="65" t="s">
        <v>2119</v>
      </c>
      <c r="V298" s="65" t="s">
        <v>2120</v>
      </c>
      <c r="W298" s="65" t="s">
        <v>2121</v>
      </c>
      <c r="X298" s="65" t="s">
        <v>2122</v>
      </c>
      <c r="Y298" s="65" t="s">
        <v>1860</v>
      </c>
      <c r="Z298" s="65" t="s">
        <v>1827</v>
      </c>
      <c r="AA298" s="65" t="s">
        <v>2426</v>
      </c>
      <c r="AB298" s="65">
        <v>2</v>
      </c>
      <c r="AC298" s="65" t="s">
        <v>2040</v>
      </c>
      <c r="AD298" s="65" t="s">
        <v>2155</v>
      </c>
      <c r="AE298" s="65" t="s">
        <v>2427</v>
      </c>
      <c r="AF298" s="65" t="s">
        <v>1437</v>
      </c>
      <c r="AG298" s="65">
        <v>2</v>
      </c>
      <c r="AH298" s="65">
        <v>3</v>
      </c>
      <c r="AI298" s="65">
        <v>2</v>
      </c>
      <c r="AJ298" s="65">
        <v>2</v>
      </c>
      <c r="AK298" s="65" t="s">
        <v>202</v>
      </c>
      <c r="AL298" s="129">
        <v>45570</v>
      </c>
      <c r="AM298" s="65">
        <v>6</v>
      </c>
      <c r="AN298" s="65">
        <v>1</v>
      </c>
      <c r="AO298" s="65" t="s">
        <v>202</v>
      </c>
      <c r="AP298" s="65">
        <v>5</v>
      </c>
      <c r="AQ298" s="65" t="s">
        <v>352</v>
      </c>
      <c r="AR298" s="65" t="s">
        <v>353</v>
      </c>
      <c r="AS298" s="65">
        <v>0</v>
      </c>
      <c r="AT298" s="65">
        <v>0</v>
      </c>
      <c r="AU298" s="65" t="s">
        <v>1438</v>
      </c>
      <c r="AV298" s="65" t="s">
        <v>1439</v>
      </c>
      <c r="AW298" s="65" t="s">
        <v>202</v>
      </c>
      <c r="AX298" s="65" t="s">
        <v>202</v>
      </c>
      <c r="AY298" s="65" t="s">
        <v>353</v>
      </c>
    </row>
    <row r="299" spans="1:51" x14ac:dyDescent="0.2">
      <c r="A299" s="65" t="s">
        <v>1341</v>
      </c>
      <c r="B299" s="65" t="s">
        <v>697</v>
      </c>
      <c r="C299" s="65" t="s">
        <v>698</v>
      </c>
      <c r="D299" s="65" t="s">
        <v>2428</v>
      </c>
      <c r="E299" s="65" t="s">
        <v>353</v>
      </c>
      <c r="F299" s="65" t="s">
        <v>1820</v>
      </c>
      <c r="G299" s="65" t="s">
        <v>1821</v>
      </c>
      <c r="H299" s="65" t="s">
        <v>2108</v>
      </c>
      <c r="I299" s="65" t="s">
        <v>2109</v>
      </c>
      <c r="J299" s="65">
        <v>3144343275</v>
      </c>
      <c r="K299" s="65" t="s">
        <v>2200</v>
      </c>
      <c r="L299" s="65" t="s">
        <v>2201</v>
      </c>
      <c r="M299" s="65" t="s">
        <v>363</v>
      </c>
      <c r="N299" s="65" t="s">
        <v>2202</v>
      </c>
      <c r="O299" s="65" t="s">
        <v>2113</v>
      </c>
      <c r="P299" s="65" t="s">
        <v>2114</v>
      </c>
      <c r="Q299" s="65" t="s">
        <v>2115</v>
      </c>
      <c r="R299" s="65" t="s">
        <v>2116</v>
      </c>
      <c r="S299" s="65" t="s">
        <v>2117</v>
      </c>
      <c r="T299" s="65" t="s">
        <v>2118</v>
      </c>
      <c r="U299" s="65" t="s">
        <v>2119</v>
      </c>
      <c r="V299" s="65" t="s">
        <v>2120</v>
      </c>
      <c r="W299" s="65" t="s">
        <v>2121</v>
      </c>
      <c r="X299" s="65" t="s">
        <v>2122</v>
      </c>
      <c r="Y299" s="65" t="s">
        <v>1860</v>
      </c>
      <c r="Z299" s="65" t="s">
        <v>1827</v>
      </c>
      <c r="AA299" s="65" t="s">
        <v>2429</v>
      </c>
      <c r="AB299" s="65">
        <v>2</v>
      </c>
      <c r="AC299" s="65" t="s">
        <v>1511</v>
      </c>
      <c r="AD299" s="65" t="s">
        <v>2430</v>
      </c>
      <c r="AE299" s="65" t="s">
        <v>2431</v>
      </c>
      <c r="AF299" s="65" t="s">
        <v>1437</v>
      </c>
      <c r="AG299" s="65">
        <v>2</v>
      </c>
      <c r="AH299" s="65">
        <v>1</v>
      </c>
      <c r="AI299" s="65">
        <v>2</v>
      </c>
      <c r="AJ299" s="65">
        <v>2</v>
      </c>
      <c r="AK299" s="65" t="s">
        <v>202</v>
      </c>
      <c r="AL299" s="128">
        <v>45021</v>
      </c>
      <c r="AM299" s="65">
        <v>4</v>
      </c>
      <c r="AN299" s="65">
        <v>2</v>
      </c>
      <c r="AO299" s="65" t="s">
        <v>202</v>
      </c>
      <c r="AP299" s="65">
        <v>2</v>
      </c>
      <c r="AQ299" s="65" t="s">
        <v>352</v>
      </c>
      <c r="AR299" s="65" t="s">
        <v>202</v>
      </c>
      <c r="AS299" s="65">
        <v>1</v>
      </c>
      <c r="AT299" s="65">
        <v>1</v>
      </c>
      <c r="AU299" s="65" t="s">
        <v>1438</v>
      </c>
      <c r="AV299" s="65" t="s">
        <v>1439</v>
      </c>
      <c r="AW299" s="65" t="s">
        <v>202</v>
      </c>
      <c r="AX299" s="65" t="s">
        <v>202</v>
      </c>
      <c r="AY299" s="65" t="s">
        <v>202</v>
      </c>
    </row>
    <row r="300" spans="1:51" x14ac:dyDescent="0.2">
      <c r="A300" s="65" t="s">
        <v>1341</v>
      </c>
      <c r="B300" s="65" t="s">
        <v>862</v>
      </c>
      <c r="C300" s="65" t="s">
        <v>863</v>
      </c>
      <c r="D300" s="65" t="s">
        <v>2432</v>
      </c>
      <c r="E300" s="65" t="s">
        <v>353</v>
      </c>
      <c r="F300" s="65" t="s">
        <v>1820</v>
      </c>
      <c r="G300" s="65" t="s">
        <v>1821</v>
      </c>
      <c r="H300" s="65" t="s">
        <v>2108</v>
      </c>
      <c r="I300" s="65" t="s">
        <v>2109</v>
      </c>
      <c r="J300" s="65">
        <v>3144343275</v>
      </c>
      <c r="K300" s="65" t="s">
        <v>2200</v>
      </c>
      <c r="L300" s="65" t="s">
        <v>2201</v>
      </c>
      <c r="M300" s="65" t="s">
        <v>363</v>
      </c>
      <c r="N300" s="65" t="s">
        <v>2202</v>
      </c>
      <c r="O300" s="65" t="s">
        <v>2113</v>
      </c>
      <c r="P300" s="65" t="s">
        <v>2114</v>
      </c>
      <c r="Q300" s="65" t="s">
        <v>2115</v>
      </c>
      <c r="R300" s="65" t="s">
        <v>2116</v>
      </c>
      <c r="S300" s="65" t="s">
        <v>2117</v>
      </c>
      <c r="T300" s="65" t="s">
        <v>2118</v>
      </c>
      <c r="U300" s="65" t="s">
        <v>2119</v>
      </c>
      <c r="V300" s="65" t="s">
        <v>2120</v>
      </c>
      <c r="W300" s="65" t="s">
        <v>2121</v>
      </c>
      <c r="X300" s="65" t="s">
        <v>2122</v>
      </c>
      <c r="Y300" s="65" t="s">
        <v>1860</v>
      </c>
      <c r="Z300" s="65" t="s">
        <v>1827</v>
      </c>
      <c r="AA300" s="65" t="s">
        <v>2433</v>
      </c>
      <c r="AB300" s="65">
        <v>2</v>
      </c>
      <c r="AC300" s="65" t="s">
        <v>2089</v>
      </c>
      <c r="AD300" s="65" t="s">
        <v>2434</v>
      </c>
      <c r="AE300" s="65" t="s">
        <v>2435</v>
      </c>
      <c r="AF300" s="65" t="s">
        <v>1437</v>
      </c>
      <c r="AG300" s="65">
        <v>2</v>
      </c>
      <c r="AH300" s="65">
        <v>3</v>
      </c>
      <c r="AI300" s="65">
        <v>2</v>
      </c>
      <c r="AJ300" s="65">
        <v>2</v>
      </c>
      <c r="AK300" s="65" t="s">
        <v>202</v>
      </c>
      <c r="AL300" s="129">
        <v>45646</v>
      </c>
      <c r="AM300" s="65">
        <v>6</v>
      </c>
      <c r="AN300" s="65">
        <v>1</v>
      </c>
      <c r="AO300" s="65" t="s">
        <v>202</v>
      </c>
      <c r="AP300" s="65">
        <v>3</v>
      </c>
      <c r="AQ300" s="65" t="s">
        <v>352</v>
      </c>
      <c r="AR300" s="65" t="s">
        <v>353</v>
      </c>
      <c r="AS300" s="65">
        <v>0</v>
      </c>
      <c r="AT300" s="65">
        <v>0</v>
      </c>
      <c r="AU300" s="65" t="s">
        <v>1438</v>
      </c>
      <c r="AV300" s="65" t="s">
        <v>1439</v>
      </c>
      <c r="AW300" s="65" t="s">
        <v>202</v>
      </c>
      <c r="AX300" s="65" t="s">
        <v>202</v>
      </c>
      <c r="AY300" s="65" t="s">
        <v>353</v>
      </c>
    </row>
    <row r="301" spans="1:51" x14ac:dyDescent="0.2">
      <c r="A301" s="65" t="s">
        <v>1341</v>
      </c>
      <c r="B301" s="65" t="s">
        <v>802</v>
      </c>
      <c r="C301" s="65" t="s">
        <v>803</v>
      </c>
      <c r="D301" s="65" t="s">
        <v>2436</v>
      </c>
      <c r="E301" s="65" t="s">
        <v>353</v>
      </c>
      <c r="F301" s="65" t="s">
        <v>1820</v>
      </c>
      <c r="G301" s="65" t="s">
        <v>1821</v>
      </c>
      <c r="H301" s="65" t="s">
        <v>2108</v>
      </c>
      <c r="I301" s="65" t="s">
        <v>2109</v>
      </c>
      <c r="J301" s="65">
        <v>3144343275</v>
      </c>
      <c r="K301" s="65" t="s">
        <v>2200</v>
      </c>
      <c r="L301" s="65" t="s">
        <v>2201</v>
      </c>
      <c r="M301" s="65" t="s">
        <v>363</v>
      </c>
      <c r="N301" s="65" t="s">
        <v>2202</v>
      </c>
      <c r="O301" s="65" t="s">
        <v>2113</v>
      </c>
      <c r="P301" s="65" t="s">
        <v>2114</v>
      </c>
      <c r="Q301" s="65" t="s">
        <v>2115</v>
      </c>
      <c r="R301" s="65" t="s">
        <v>2116</v>
      </c>
      <c r="S301" s="65" t="s">
        <v>2117</v>
      </c>
      <c r="T301" s="65" t="s">
        <v>2118</v>
      </c>
      <c r="U301" s="65" t="s">
        <v>2119</v>
      </c>
      <c r="V301" s="65" t="s">
        <v>2120</v>
      </c>
      <c r="W301" s="65" t="s">
        <v>2121</v>
      </c>
      <c r="X301" s="65" t="s">
        <v>2122</v>
      </c>
      <c r="Y301" s="65" t="s">
        <v>1860</v>
      </c>
      <c r="Z301" s="65" t="s">
        <v>1827</v>
      </c>
      <c r="AA301" s="65" t="s">
        <v>2437</v>
      </c>
      <c r="AB301" s="65">
        <v>2</v>
      </c>
      <c r="AC301" s="65" t="s">
        <v>1570</v>
      </c>
      <c r="AD301" s="65" t="s">
        <v>1464</v>
      </c>
      <c r="AE301" s="65" t="s">
        <v>2438</v>
      </c>
      <c r="AF301" s="65" t="s">
        <v>1437</v>
      </c>
      <c r="AG301" s="65">
        <v>1</v>
      </c>
      <c r="AH301" s="65">
        <v>2</v>
      </c>
      <c r="AI301" s="65">
        <v>2</v>
      </c>
      <c r="AJ301" s="65">
        <v>2</v>
      </c>
      <c r="AK301" s="65" t="s">
        <v>202</v>
      </c>
      <c r="AL301" s="129">
        <v>45584</v>
      </c>
      <c r="AM301" s="65">
        <v>6</v>
      </c>
      <c r="AN301" s="65">
        <v>1</v>
      </c>
      <c r="AO301" s="65" t="s">
        <v>202</v>
      </c>
      <c r="AP301" s="65">
        <v>5</v>
      </c>
      <c r="AQ301" s="65" t="s">
        <v>352</v>
      </c>
      <c r="AR301" s="65" t="s">
        <v>353</v>
      </c>
      <c r="AS301" s="65">
        <v>0</v>
      </c>
      <c r="AT301" s="65">
        <v>0</v>
      </c>
      <c r="AU301" s="65" t="s">
        <v>1438</v>
      </c>
      <c r="AV301" s="65" t="s">
        <v>1439</v>
      </c>
      <c r="AW301" s="65" t="s">
        <v>202</v>
      </c>
      <c r="AX301" s="65" t="s">
        <v>202</v>
      </c>
      <c r="AY301" s="65" t="s">
        <v>353</v>
      </c>
    </row>
    <row r="302" spans="1:51" x14ac:dyDescent="0.2">
      <c r="A302" s="65" t="s">
        <v>1341</v>
      </c>
      <c r="B302" s="65" t="s">
        <v>812</v>
      </c>
      <c r="C302" s="65" t="s">
        <v>813</v>
      </c>
      <c r="D302" s="65" t="s">
        <v>2439</v>
      </c>
      <c r="E302" s="65" t="s">
        <v>353</v>
      </c>
      <c r="F302" s="65" t="s">
        <v>1820</v>
      </c>
      <c r="G302" s="65" t="s">
        <v>1821</v>
      </c>
      <c r="H302" s="65" t="s">
        <v>2108</v>
      </c>
      <c r="I302" s="65" t="s">
        <v>2109</v>
      </c>
      <c r="J302" s="65">
        <v>3144343275</v>
      </c>
      <c r="K302" s="65" t="s">
        <v>2200</v>
      </c>
      <c r="L302" s="65" t="s">
        <v>2201</v>
      </c>
      <c r="M302" s="65" t="s">
        <v>363</v>
      </c>
      <c r="N302" s="65" t="s">
        <v>2202</v>
      </c>
      <c r="O302" s="65" t="s">
        <v>2113</v>
      </c>
      <c r="P302" s="65" t="s">
        <v>2114</v>
      </c>
      <c r="Q302" s="65" t="s">
        <v>2115</v>
      </c>
      <c r="R302" s="65" t="s">
        <v>2116</v>
      </c>
      <c r="S302" s="65" t="s">
        <v>2117</v>
      </c>
      <c r="T302" s="65" t="s">
        <v>2118</v>
      </c>
      <c r="U302" s="65" t="s">
        <v>2119</v>
      </c>
      <c r="V302" s="65" t="s">
        <v>2120</v>
      </c>
      <c r="W302" s="65" t="s">
        <v>2121</v>
      </c>
      <c r="X302" s="65" t="s">
        <v>2122</v>
      </c>
      <c r="Y302" s="65" t="s">
        <v>1860</v>
      </c>
      <c r="Z302" s="65" t="s">
        <v>1827</v>
      </c>
      <c r="AA302" s="65" t="s">
        <v>2440</v>
      </c>
      <c r="AB302" s="65">
        <v>2</v>
      </c>
      <c r="AC302" s="65" t="s">
        <v>1470</v>
      </c>
      <c r="AD302" s="65" t="s">
        <v>2386</v>
      </c>
      <c r="AE302" s="65" t="s">
        <v>2441</v>
      </c>
      <c r="AF302" s="65" t="s">
        <v>1437</v>
      </c>
      <c r="AG302" s="65">
        <v>1</v>
      </c>
      <c r="AH302" s="65">
        <v>2</v>
      </c>
      <c r="AI302" s="65">
        <v>2</v>
      </c>
      <c r="AJ302" s="65">
        <v>2</v>
      </c>
      <c r="AK302" s="65" t="s">
        <v>202</v>
      </c>
      <c r="AL302" s="129">
        <v>45656</v>
      </c>
      <c r="AM302" s="65">
        <v>6</v>
      </c>
      <c r="AN302" s="65">
        <v>1</v>
      </c>
      <c r="AO302" s="65" t="s">
        <v>202</v>
      </c>
      <c r="AP302" s="65">
        <v>3</v>
      </c>
      <c r="AQ302" s="65" t="s">
        <v>352</v>
      </c>
      <c r="AR302" s="65" t="s">
        <v>353</v>
      </c>
      <c r="AS302" s="65">
        <v>1</v>
      </c>
      <c r="AT302" s="65">
        <v>0</v>
      </c>
      <c r="AU302" s="65" t="s">
        <v>1438</v>
      </c>
      <c r="AV302" s="65" t="s">
        <v>1439</v>
      </c>
      <c r="AW302" s="65" t="s">
        <v>202</v>
      </c>
      <c r="AX302" s="65" t="s">
        <v>202</v>
      </c>
      <c r="AY302" s="65" t="s">
        <v>353</v>
      </c>
    </row>
    <row r="303" spans="1:51" x14ac:dyDescent="0.2">
      <c r="A303" s="65" t="s">
        <v>1341</v>
      </c>
      <c r="B303" s="65" t="s">
        <v>525</v>
      </c>
      <c r="C303" s="65" t="s">
        <v>526</v>
      </c>
      <c r="D303" s="65" t="s">
        <v>2442</v>
      </c>
      <c r="E303" s="65" t="s">
        <v>353</v>
      </c>
      <c r="F303" s="65" t="s">
        <v>1820</v>
      </c>
      <c r="G303" s="65" t="s">
        <v>1821</v>
      </c>
      <c r="H303" s="65" t="s">
        <v>2108</v>
      </c>
      <c r="I303" s="65" t="s">
        <v>2109</v>
      </c>
      <c r="J303" s="65">
        <v>3144343275</v>
      </c>
      <c r="K303" s="65" t="s">
        <v>2206</v>
      </c>
      <c r="L303" s="65" t="s">
        <v>2207</v>
      </c>
      <c r="M303" s="65" t="s">
        <v>361</v>
      </c>
      <c r="N303" s="65" t="s">
        <v>2208</v>
      </c>
      <c r="O303" s="65" t="s">
        <v>2113</v>
      </c>
      <c r="P303" s="65" t="s">
        <v>2114</v>
      </c>
      <c r="Q303" s="65" t="s">
        <v>2115</v>
      </c>
      <c r="R303" s="65" t="s">
        <v>2116</v>
      </c>
      <c r="S303" s="65" t="s">
        <v>2117</v>
      </c>
      <c r="T303" s="65" t="s">
        <v>2118</v>
      </c>
      <c r="U303" s="65" t="s">
        <v>2119</v>
      </c>
      <c r="V303" s="65" t="s">
        <v>2120</v>
      </c>
      <c r="W303" s="65" t="s">
        <v>2121</v>
      </c>
      <c r="X303" s="65" t="s">
        <v>2122</v>
      </c>
      <c r="Y303" s="65" t="s">
        <v>2443</v>
      </c>
      <c r="Z303" s="65" t="s">
        <v>1827</v>
      </c>
      <c r="AA303" s="65" t="s">
        <v>2444</v>
      </c>
      <c r="AB303" s="65">
        <v>3</v>
      </c>
      <c r="AC303" s="65" t="s">
        <v>1570</v>
      </c>
      <c r="AD303" s="65" t="s">
        <v>1495</v>
      </c>
      <c r="AE303" s="65" t="s">
        <v>2445</v>
      </c>
      <c r="AF303" s="65" t="s">
        <v>1437</v>
      </c>
      <c r="AG303" s="65">
        <v>1</v>
      </c>
      <c r="AH303" s="65">
        <v>0</v>
      </c>
      <c r="AI303" s="65">
        <v>3</v>
      </c>
      <c r="AJ303" s="65">
        <v>2</v>
      </c>
      <c r="AK303" s="65" t="s">
        <v>202</v>
      </c>
      <c r="AL303" s="129">
        <v>44923</v>
      </c>
      <c r="AM303" s="65">
        <v>4</v>
      </c>
      <c r="AN303" s="65">
        <v>0</v>
      </c>
      <c r="AO303" s="65" t="s">
        <v>202</v>
      </c>
      <c r="AP303" s="65">
        <v>4</v>
      </c>
      <c r="AQ303" s="65" t="s">
        <v>354</v>
      </c>
      <c r="AR303" s="65" t="s">
        <v>202</v>
      </c>
      <c r="AS303" s="65">
        <v>1</v>
      </c>
      <c r="AT303" s="65">
        <v>1</v>
      </c>
      <c r="AU303" s="65" t="s">
        <v>1438</v>
      </c>
      <c r="AV303" s="65" t="s">
        <v>1439</v>
      </c>
      <c r="AW303" s="65" t="s">
        <v>353</v>
      </c>
      <c r="AX303" s="65" t="s">
        <v>202</v>
      </c>
      <c r="AY303" s="65" t="s">
        <v>353</v>
      </c>
    </row>
    <row r="304" spans="1:51" x14ac:dyDescent="0.2">
      <c r="A304" s="65" t="s">
        <v>1341</v>
      </c>
      <c r="B304" s="65" t="s">
        <v>814</v>
      </c>
      <c r="C304" s="65" t="s">
        <v>815</v>
      </c>
      <c r="D304" s="65" t="s">
        <v>2446</v>
      </c>
      <c r="E304" s="65" t="s">
        <v>353</v>
      </c>
      <c r="F304" s="65" t="s">
        <v>1820</v>
      </c>
      <c r="G304" s="65" t="s">
        <v>1821</v>
      </c>
      <c r="H304" s="65" t="s">
        <v>2108</v>
      </c>
      <c r="I304" s="65" t="s">
        <v>2109</v>
      </c>
      <c r="J304" s="65">
        <v>3144343275</v>
      </c>
      <c r="K304" s="65" t="s">
        <v>2200</v>
      </c>
      <c r="L304" s="65" t="s">
        <v>2201</v>
      </c>
      <c r="M304" s="65" t="s">
        <v>363</v>
      </c>
      <c r="N304" s="65" t="s">
        <v>2202</v>
      </c>
      <c r="O304" s="65" t="s">
        <v>2113</v>
      </c>
      <c r="P304" s="65" t="s">
        <v>2114</v>
      </c>
      <c r="Q304" s="65" t="s">
        <v>2115</v>
      </c>
      <c r="R304" s="65" t="s">
        <v>2116</v>
      </c>
      <c r="S304" s="65" t="s">
        <v>2117</v>
      </c>
      <c r="T304" s="65" t="s">
        <v>2118</v>
      </c>
      <c r="U304" s="65" t="s">
        <v>2119</v>
      </c>
      <c r="V304" s="65" t="s">
        <v>2120</v>
      </c>
      <c r="W304" s="65" t="s">
        <v>2121</v>
      </c>
      <c r="X304" s="65" t="s">
        <v>2122</v>
      </c>
      <c r="Y304" s="65" t="s">
        <v>1860</v>
      </c>
      <c r="Z304" s="65" t="s">
        <v>1827</v>
      </c>
      <c r="AA304" s="65" t="s">
        <v>2447</v>
      </c>
      <c r="AB304" s="65">
        <v>2</v>
      </c>
      <c r="AC304" s="65" t="s">
        <v>2448</v>
      </c>
      <c r="AD304" s="65" t="s">
        <v>2449</v>
      </c>
      <c r="AE304" s="65" t="s">
        <v>2450</v>
      </c>
      <c r="AF304" s="65" t="s">
        <v>1437</v>
      </c>
      <c r="AG304" s="65">
        <v>1</v>
      </c>
      <c r="AH304" s="65">
        <v>2</v>
      </c>
      <c r="AI304" s="65">
        <v>2</v>
      </c>
      <c r="AJ304" s="65">
        <v>2</v>
      </c>
      <c r="AK304" s="65" t="s">
        <v>202</v>
      </c>
      <c r="AL304" s="128">
        <v>45808</v>
      </c>
      <c r="AM304" s="65">
        <v>6</v>
      </c>
      <c r="AN304" s="65">
        <v>1</v>
      </c>
      <c r="AO304" s="65" t="s">
        <v>202</v>
      </c>
      <c r="AP304" s="65">
        <v>3</v>
      </c>
      <c r="AQ304" s="65" t="s">
        <v>352</v>
      </c>
      <c r="AR304" s="65" t="s">
        <v>353</v>
      </c>
      <c r="AS304" s="65" t="s">
        <v>202</v>
      </c>
      <c r="AT304" s="65" t="s">
        <v>202</v>
      </c>
      <c r="AU304" s="65" t="s">
        <v>1529</v>
      </c>
      <c r="AV304" s="65" t="s">
        <v>1439</v>
      </c>
      <c r="AW304" s="65" t="s">
        <v>202</v>
      </c>
      <c r="AX304" s="65" t="s">
        <v>202</v>
      </c>
      <c r="AY304" s="65" t="s">
        <v>353</v>
      </c>
    </row>
    <row r="305" spans="1:51" x14ac:dyDescent="0.2">
      <c r="A305" s="65" t="s">
        <v>1367</v>
      </c>
      <c r="B305" s="65" t="s">
        <v>74</v>
      </c>
      <c r="C305" s="65" t="s">
        <v>171</v>
      </c>
      <c r="D305" s="65" t="s">
        <v>2451</v>
      </c>
      <c r="E305" s="65" t="s">
        <v>353</v>
      </c>
      <c r="F305" s="65" t="s">
        <v>1872</v>
      </c>
      <c r="G305" s="65" t="s">
        <v>344</v>
      </c>
      <c r="H305" s="65" t="s">
        <v>2452</v>
      </c>
      <c r="I305" s="65" t="s">
        <v>2453</v>
      </c>
      <c r="J305" s="65">
        <v>3144345375</v>
      </c>
      <c r="K305" s="65" t="s">
        <v>2454</v>
      </c>
      <c r="L305" s="65" t="s">
        <v>2455</v>
      </c>
      <c r="M305" s="65" t="s">
        <v>364</v>
      </c>
      <c r="N305" s="65" t="s">
        <v>2456</v>
      </c>
      <c r="O305" s="65" t="s">
        <v>2457</v>
      </c>
      <c r="P305" s="65" t="s">
        <v>2458</v>
      </c>
      <c r="Q305" s="65" t="s">
        <v>2459</v>
      </c>
      <c r="R305" s="65" t="s">
        <v>2460</v>
      </c>
      <c r="S305" s="65" t="s">
        <v>2461</v>
      </c>
      <c r="T305" s="65" t="s">
        <v>2462</v>
      </c>
      <c r="U305" s="65" t="s">
        <v>2463</v>
      </c>
      <c r="V305" s="65" t="s">
        <v>2464</v>
      </c>
      <c r="W305" s="65" t="s">
        <v>2465</v>
      </c>
      <c r="X305" s="65" t="s">
        <v>2466</v>
      </c>
      <c r="Y305" s="65" t="s">
        <v>1873</v>
      </c>
      <c r="Z305" s="65" t="s">
        <v>1874</v>
      </c>
      <c r="AA305" s="65" t="s">
        <v>2467</v>
      </c>
      <c r="AB305" s="65">
        <v>3</v>
      </c>
      <c r="AC305" s="65" t="s">
        <v>2386</v>
      </c>
      <c r="AD305" s="65" t="s">
        <v>2468</v>
      </c>
      <c r="AE305" s="65" t="s">
        <v>2469</v>
      </c>
      <c r="AF305" s="65" t="s">
        <v>1437</v>
      </c>
      <c r="AG305" s="65">
        <v>1</v>
      </c>
      <c r="AH305" s="65">
        <v>0</v>
      </c>
      <c r="AI305" s="65">
        <v>2</v>
      </c>
      <c r="AJ305" s="65">
        <v>1</v>
      </c>
      <c r="AK305" s="65" t="s">
        <v>202</v>
      </c>
      <c r="AL305" s="128">
        <v>45084</v>
      </c>
      <c r="AM305" s="65">
        <v>3</v>
      </c>
      <c r="AN305" s="65">
        <v>1</v>
      </c>
      <c r="AO305" s="65" t="s">
        <v>202</v>
      </c>
      <c r="AP305" s="65">
        <v>2</v>
      </c>
      <c r="AQ305" s="65" t="s">
        <v>354</v>
      </c>
      <c r="AR305" s="65" t="s">
        <v>202</v>
      </c>
      <c r="AS305" s="65">
        <v>1</v>
      </c>
      <c r="AT305" s="65">
        <v>1</v>
      </c>
      <c r="AU305" s="65" t="s">
        <v>1529</v>
      </c>
      <c r="AV305" s="65" t="s">
        <v>1439</v>
      </c>
      <c r="AW305" s="65" t="s">
        <v>353</v>
      </c>
      <c r="AX305" s="65" t="s">
        <v>202</v>
      </c>
      <c r="AY305" s="65" t="s">
        <v>202</v>
      </c>
    </row>
    <row r="306" spans="1:51" x14ac:dyDescent="0.2">
      <c r="A306" s="65" t="s">
        <v>1367</v>
      </c>
      <c r="B306" s="65" t="s">
        <v>5</v>
      </c>
      <c r="C306" s="65" t="s">
        <v>102</v>
      </c>
      <c r="D306" s="65" t="s">
        <v>2470</v>
      </c>
      <c r="E306" s="65" t="s">
        <v>353</v>
      </c>
      <c r="F306" s="65" t="s">
        <v>1872</v>
      </c>
      <c r="G306" s="65" t="s">
        <v>344</v>
      </c>
      <c r="H306" s="65" t="s">
        <v>2452</v>
      </c>
      <c r="I306" s="65" t="s">
        <v>2453</v>
      </c>
      <c r="J306" s="65">
        <v>3144345375</v>
      </c>
      <c r="K306" s="65" t="s">
        <v>2454</v>
      </c>
      <c r="L306" s="65" t="s">
        <v>2455</v>
      </c>
      <c r="M306" s="65" t="s">
        <v>364</v>
      </c>
      <c r="N306" s="65" t="s">
        <v>2456</v>
      </c>
      <c r="O306" s="65" t="s">
        <v>2457</v>
      </c>
      <c r="P306" s="65" t="s">
        <v>2458</v>
      </c>
      <c r="Q306" s="65" t="s">
        <v>2459</v>
      </c>
      <c r="R306" s="65" t="s">
        <v>2460</v>
      </c>
      <c r="S306" s="65" t="s">
        <v>2461</v>
      </c>
      <c r="T306" s="65" t="s">
        <v>2462</v>
      </c>
      <c r="U306" s="65" t="s">
        <v>2463</v>
      </c>
      <c r="V306" s="65" t="s">
        <v>2464</v>
      </c>
      <c r="W306" s="65" t="s">
        <v>2465</v>
      </c>
      <c r="X306" s="65" t="s">
        <v>2466</v>
      </c>
      <c r="Y306" s="65" t="s">
        <v>1873</v>
      </c>
      <c r="Z306" s="65" t="s">
        <v>1874</v>
      </c>
      <c r="AA306" s="65" t="s">
        <v>2471</v>
      </c>
      <c r="AB306" s="65">
        <v>3</v>
      </c>
      <c r="AC306" s="65" t="s">
        <v>1566</v>
      </c>
      <c r="AD306" s="65" t="s">
        <v>2472</v>
      </c>
      <c r="AE306" s="65" t="s">
        <v>2473</v>
      </c>
      <c r="AF306" s="65" t="s">
        <v>1437</v>
      </c>
      <c r="AG306" s="65">
        <v>3</v>
      </c>
      <c r="AH306" s="65">
        <v>1</v>
      </c>
      <c r="AI306" s="65">
        <v>2</v>
      </c>
      <c r="AJ306" s="65">
        <v>2</v>
      </c>
      <c r="AK306" s="65" t="s">
        <v>202</v>
      </c>
      <c r="AL306" s="128">
        <v>44981</v>
      </c>
      <c r="AM306" s="65">
        <v>4</v>
      </c>
      <c r="AN306" s="65">
        <v>1</v>
      </c>
      <c r="AO306" s="65" t="s">
        <v>202</v>
      </c>
      <c r="AP306" s="65">
        <v>2</v>
      </c>
      <c r="AQ306" s="65" t="s">
        <v>352</v>
      </c>
      <c r="AR306" s="65" t="s">
        <v>202</v>
      </c>
      <c r="AS306" s="65">
        <v>1</v>
      </c>
      <c r="AT306" s="65">
        <v>1</v>
      </c>
      <c r="AU306" s="65" t="s">
        <v>1529</v>
      </c>
      <c r="AV306" s="65" t="s">
        <v>1439</v>
      </c>
      <c r="AW306" s="65" t="s">
        <v>202</v>
      </c>
      <c r="AX306" s="65" t="s">
        <v>202</v>
      </c>
      <c r="AY306" s="65" t="s">
        <v>202</v>
      </c>
    </row>
    <row r="307" spans="1:51" x14ac:dyDescent="0.2">
      <c r="A307" s="65" t="s">
        <v>1367</v>
      </c>
      <c r="B307" s="65" t="s">
        <v>35</v>
      </c>
      <c r="C307" s="65" t="s">
        <v>320</v>
      </c>
      <c r="D307" s="65" t="s">
        <v>2474</v>
      </c>
      <c r="E307" s="65" t="s">
        <v>353</v>
      </c>
      <c r="F307" s="65" t="s">
        <v>1872</v>
      </c>
      <c r="G307" s="65" t="s">
        <v>344</v>
      </c>
      <c r="H307" s="65" t="s">
        <v>2452</v>
      </c>
      <c r="I307" s="65" t="s">
        <v>2453</v>
      </c>
      <c r="J307" s="65">
        <v>3144345375</v>
      </c>
      <c r="K307" s="65" t="s">
        <v>2454</v>
      </c>
      <c r="L307" s="65" t="s">
        <v>2455</v>
      </c>
      <c r="M307" s="65" t="s">
        <v>364</v>
      </c>
      <c r="N307" s="65" t="s">
        <v>2456</v>
      </c>
      <c r="O307" s="65" t="s">
        <v>2457</v>
      </c>
      <c r="P307" s="65" t="s">
        <v>2458</v>
      </c>
      <c r="Q307" s="65" t="s">
        <v>2459</v>
      </c>
      <c r="R307" s="65" t="s">
        <v>2460</v>
      </c>
      <c r="S307" s="65" t="s">
        <v>2461</v>
      </c>
      <c r="T307" s="65" t="s">
        <v>2462</v>
      </c>
      <c r="U307" s="65" t="s">
        <v>2463</v>
      </c>
      <c r="V307" s="65" t="s">
        <v>2464</v>
      </c>
      <c r="W307" s="65" t="s">
        <v>2465</v>
      </c>
      <c r="X307" s="65" t="s">
        <v>2466</v>
      </c>
      <c r="Y307" s="65" t="s">
        <v>1873</v>
      </c>
      <c r="Z307" s="65" t="s">
        <v>1874</v>
      </c>
      <c r="AA307" s="65" t="s">
        <v>2475</v>
      </c>
      <c r="AB307" s="65">
        <v>2</v>
      </c>
      <c r="AC307" s="65" t="s">
        <v>2295</v>
      </c>
      <c r="AD307" s="65" t="s">
        <v>2476</v>
      </c>
      <c r="AE307" s="65" t="s">
        <v>2477</v>
      </c>
      <c r="AF307" s="65" t="s">
        <v>1437</v>
      </c>
      <c r="AG307" s="65">
        <v>1</v>
      </c>
      <c r="AH307" s="65">
        <v>0</v>
      </c>
      <c r="AI307" s="65">
        <v>2</v>
      </c>
      <c r="AJ307" s="65">
        <v>2</v>
      </c>
      <c r="AK307" s="65" t="s">
        <v>202</v>
      </c>
      <c r="AL307" s="128">
        <v>44981</v>
      </c>
      <c r="AM307" s="65">
        <v>3</v>
      </c>
      <c r="AN307" s="65">
        <v>1</v>
      </c>
      <c r="AO307" s="65" t="s">
        <v>202</v>
      </c>
      <c r="AP307" s="65">
        <v>2</v>
      </c>
      <c r="AQ307" s="65" t="s">
        <v>352</v>
      </c>
      <c r="AR307" s="65" t="s">
        <v>202</v>
      </c>
      <c r="AS307" s="65">
        <v>1</v>
      </c>
      <c r="AT307" s="65">
        <v>1</v>
      </c>
      <c r="AU307" s="65" t="s">
        <v>1529</v>
      </c>
      <c r="AV307" s="65" t="s">
        <v>1439</v>
      </c>
      <c r="AW307" s="65" t="s">
        <v>202</v>
      </c>
      <c r="AX307" s="65" t="s">
        <v>202</v>
      </c>
      <c r="AY307" s="65" t="s">
        <v>202</v>
      </c>
    </row>
    <row r="308" spans="1:51" x14ac:dyDescent="0.2">
      <c r="A308" s="65" t="s">
        <v>1367</v>
      </c>
      <c r="B308" s="65" t="s">
        <v>76</v>
      </c>
      <c r="C308" s="65" t="s">
        <v>173</v>
      </c>
      <c r="D308" s="65" t="s">
        <v>2478</v>
      </c>
      <c r="E308" s="65" t="s">
        <v>353</v>
      </c>
      <c r="F308" s="65" t="s">
        <v>1872</v>
      </c>
      <c r="G308" s="65" t="s">
        <v>344</v>
      </c>
      <c r="H308" s="65" t="s">
        <v>2452</v>
      </c>
      <c r="I308" s="65" t="s">
        <v>2453</v>
      </c>
      <c r="J308" s="65">
        <v>3144345375</v>
      </c>
      <c r="K308" s="65" t="s">
        <v>2454</v>
      </c>
      <c r="L308" s="65" t="s">
        <v>2455</v>
      </c>
      <c r="M308" s="65" t="s">
        <v>364</v>
      </c>
      <c r="N308" s="65" t="s">
        <v>2456</v>
      </c>
      <c r="O308" s="65" t="s">
        <v>2457</v>
      </c>
      <c r="P308" s="65" t="s">
        <v>2458</v>
      </c>
      <c r="Q308" s="65" t="s">
        <v>2459</v>
      </c>
      <c r="R308" s="65" t="s">
        <v>2460</v>
      </c>
      <c r="S308" s="65" t="s">
        <v>2461</v>
      </c>
      <c r="T308" s="65" t="s">
        <v>2462</v>
      </c>
      <c r="U308" s="65" t="s">
        <v>2463</v>
      </c>
      <c r="V308" s="65" t="s">
        <v>2464</v>
      </c>
      <c r="W308" s="65" t="s">
        <v>2465</v>
      </c>
      <c r="X308" s="65" t="s">
        <v>2466</v>
      </c>
      <c r="Y308" s="65" t="s">
        <v>1873</v>
      </c>
      <c r="Z308" s="65" t="s">
        <v>1874</v>
      </c>
      <c r="AA308" s="65" t="s">
        <v>2479</v>
      </c>
      <c r="AB308" s="65">
        <v>3</v>
      </c>
      <c r="AC308" s="65" t="s">
        <v>2480</v>
      </c>
      <c r="AD308" s="65" t="s">
        <v>1465</v>
      </c>
      <c r="AE308" s="65" t="s">
        <v>2481</v>
      </c>
      <c r="AF308" s="65" t="s">
        <v>1437</v>
      </c>
      <c r="AG308" s="65">
        <v>3</v>
      </c>
      <c r="AH308" s="65">
        <v>2</v>
      </c>
      <c r="AI308" s="65">
        <v>2</v>
      </c>
      <c r="AJ308" s="65">
        <v>2</v>
      </c>
      <c r="AK308" s="65" t="s">
        <v>202</v>
      </c>
      <c r="AL308" s="128">
        <v>45074</v>
      </c>
      <c r="AM308" s="65">
        <v>4</v>
      </c>
      <c r="AN308" s="65">
        <v>2</v>
      </c>
      <c r="AO308" s="65" t="s">
        <v>353</v>
      </c>
      <c r="AP308" s="65">
        <v>4</v>
      </c>
      <c r="AQ308" s="65" t="s">
        <v>354</v>
      </c>
      <c r="AR308" s="65" t="s">
        <v>202</v>
      </c>
      <c r="AS308" s="65">
        <v>1</v>
      </c>
      <c r="AT308" s="65">
        <v>1</v>
      </c>
      <c r="AU308" s="65" t="s">
        <v>1438</v>
      </c>
      <c r="AV308" s="65" t="s">
        <v>1439</v>
      </c>
      <c r="AW308" s="65" t="s">
        <v>353</v>
      </c>
      <c r="AX308" s="65" t="s">
        <v>202</v>
      </c>
      <c r="AY308" s="65" t="s">
        <v>353</v>
      </c>
    </row>
    <row r="309" spans="1:51" x14ac:dyDescent="0.2">
      <c r="A309" s="65" t="s">
        <v>1367</v>
      </c>
      <c r="B309" s="65" t="s">
        <v>52</v>
      </c>
      <c r="C309" s="65" t="s">
        <v>328</v>
      </c>
      <c r="D309" s="65" t="s">
        <v>2482</v>
      </c>
      <c r="E309" s="65" t="s">
        <v>353</v>
      </c>
      <c r="F309" s="65" t="s">
        <v>1872</v>
      </c>
      <c r="G309" s="65" t="s">
        <v>344</v>
      </c>
      <c r="H309" s="65" t="s">
        <v>2452</v>
      </c>
      <c r="I309" s="65" t="s">
        <v>2453</v>
      </c>
      <c r="J309" s="65">
        <v>3144345375</v>
      </c>
      <c r="K309" s="65" t="s">
        <v>2454</v>
      </c>
      <c r="L309" s="65" t="s">
        <v>2455</v>
      </c>
      <c r="M309" s="65" t="s">
        <v>364</v>
      </c>
      <c r="N309" s="65" t="s">
        <v>2456</v>
      </c>
      <c r="O309" s="65" t="s">
        <v>2457</v>
      </c>
      <c r="P309" s="65" t="s">
        <v>2458</v>
      </c>
      <c r="Q309" s="65" t="s">
        <v>2459</v>
      </c>
      <c r="R309" s="65" t="s">
        <v>2460</v>
      </c>
      <c r="S309" s="65" t="s">
        <v>2461</v>
      </c>
      <c r="T309" s="65" t="s">
        <v>2462</v>
      </c>
      <c r="U309" s="65" t="s">
        <v>2463</v>
      </c>
      <c r="V309" s="65" t="s">
        <v>2464</v>
      </c>
      <c r="W309" s="65" t="s">
        <v>2465</v>
      </c>
      <c r="X309" s="65" t="s">
        <v>2466</v>
      </c>
      <c r="Y309" s="65" t="s">
        <v>1873</v>
      </c>
      <c r="Z309" s="65" t="s">
        <v>1874</v>
      </c>
      <c r="AA309" s="65" t="s">
        <v>2483</v>
      </c>
      <c r="AB309" s="65">
        <v>3</v>
      </c>
      <c r="AC309" s="65" t="s">
        <v>2309</v>
      </c>
      <c r="AD309" s="65" t="s">
        <v>1527</v>
      </c>
      <c r="AE309" s="65" t="s">
        <v>2484</v>
      </c>
      <c r="AF309" s="65" t="s">
        <v>1437</v>
      </c>
      <c r="AG309" s="65">
        <v>2</v>
      </c>
      <c r="AH309" s="65">
        <v>0</v>
      </c>
      <c r="AI309" s="65">
        <v>2</v>
      </c>
      <c r="AJ309" s="65">
        <v>2</v>
      </c>
      <c r="AK309" s="65" t="s">
        <v>202</v>
      </c>
      <c r="AL309" s="128">
        <v>45412</v>
      </c>
      <c r="AM309" s="65">
        <v>5</v>
      </c>
      <c r="AN309" s="65">
        <v>1</v>
      </c>
      <c r="AO309" s="65" t="s">
        <v>202</v>
      </c>
      <c r="AP309" s="65">
        <v>2</v>
      </c>
      <c r="AQ309" s="65" t="s">
        <v>355</v>
      </c>
      <c r="AR309" s="65" t="s">
        <v>202</v>
      </c>
      <c r="AS309" s="65">
        <v>1</v>
      </c>
      <c r="AT309" s="65">
        <v>1</v>
      </c>
      <c r="AU309" s="65" t="s">
        <v>1529</v>
      </c>
      <c r="AV309" s="65" t="s">
        <v>1439</v>
      </c>
      <c r="AW309" s="65" t="s">
        <v>202</v>
      </c>
      <c r="AX309" s="65" t="s">
        <v>202</v>
      </c>
      <c r="AY309" s="65" t="s">
        <v>353</v>
      </c>
    </row>
    <row r="310" spans="1:51" x14ac:dyDescent="0.2">
      <c r="A310" s="65" t="s">
        <v>1367</v>
      </c>
      <c r="B310" s="65" t="s">
        <v>20</v>
      </c>
      <c r="C310" s="65" t="s">
        <v>117</v>
      </c>
      <c r="D310" s="65" t="s">
        <v>2485</v>
      </c>
      <c r="E310" s="65" t="s">
        <v>353</v>
      </c>
      <c r="F310" s="65" t="s">
        <v>1872</v>
      </c>
      <c r="G310" s="65" t="s">
        <v>344</v>
      </c>
      <c r="H310" s="65" t="s">
        <v>2452</v>
      </c>
      <c r="I310" s="65" t="s">
        <v>2453</v>
      </c>
      <c r="J310" s="65">
        <v>3144345375</v>
      </c>
      <c r="K310" s="65" t="s">
        <v>2454</v>
      </c>
      <c r="L310" s="65" t="s">
        <v>2455</v>
      </c>
      <c r="M310" s="65" t="s">
        <v>364</v>
      </c>
      <c r="N310" s="65" t="s">
        <v>2456</v>
      </c>
      <c r="O310" s="65" t="s">
        <v>2457</v>
      </c>
      <c r="P310" s="65" t="s">
        <v>2458</v>
      </c>
      <c r="Q310" s="65" t="s">
        <v>2459</v>
      </c>
      <c r="R310" s="65" t="s">
        <v>2460</v>
      </c>
      <c r="S310" s="65" t="s">
        <v>2461</v>
      </c>
      <c r="T310" s="65" t="s">
        <v>2462</v>
      </c>
      <c r="U310" s="65" t="s">
        <v>2463</v>
      </c>
      <c r="V310" s="65" t="s">
        <v>2464</v>
      </c>
      <c r="W310" s="65" t="s">
        <v>2465</v>
      </c>
      <c r="X310" s="65" t="s">
        <v>2466</v>
      </c>
      <c r="Y310" s="65" t="s">
        <v>1873</v>
      </c>
      <c r="Z310" s="65" t="s">
        <v>1874</v>
      </c>
      <c r="AA310" s="65" t="s">
        <v>2486</v>
      </c>
      <c r="AB310" s="65">
        <v>3</v>
      </c>
      <c r="AC310" s="65" t="s">
        <v>1464</v>
      </c>
      <c r="AD310" s="65" t="s">
        <v>1547</v>
      </c>
      <c r="AE310" s="65" t="s">
        <v>2487</v>
      </c>
      <c r="AF310" s="65" t="s">
        <v>1437</v>
      </c>
      <c r="AG310" s="65">
        <v>1</v>
      </c>
      <c r="AH310" s="65">
        <v>2</v>
      </c>
      <c r="AI310" s="65">
        <v>2</v>
      </c>
      <c r="AJ310" s="65">
        <v>2</v>
      </c>
      <c r="AK310" s="65" t="s">
        <v>202</v>
      </c>
      <c r="AL310" s="129">
        <v>45626</v>
      </c>
      <c r="AM310" s="65">
        <v>6</v>
      </c>
      <c r="AN310" s="65">
        <v>2</v>
      </c>
      <c r="AO310" s="65" t="s">
        <v>202</v>
      </c>
      <c r="AP310" s="65">
        <v>3</v>
      </c>
      <c r="AQ310" s="65" t="s">
        <v>355</v>
      </c>
      <c r="AR310" s="65" t="s">
        <v>353</v>
      </c>
      <c r="AS310" s="65">
        <v>0</v>
      </c>
      <c r="AT310" s="65">
        <v>0</v>
      </c>
      <c r="AU310" s="65" t="s">
        <v>1438</v>
      </c>
      <c r="AV310" s="65" t="s">
        <v>1439</v>
      </c>
      <c r="AW310" s="65" t="s">
        <v>202</v>
      </c>
      <c r="AX310" s="65" t="s">
        <v>202</v>
      </c>
      <c r="AY310" s="65" t="s">
        <v>353</v>
      </c>
    </row>
    <row r="311" spans="1:51" x14ac:dyDescent="0.2">
      <c r="A311" s="65" t="s">
        <v>1367</v>
      </c>
      <c r="B311" s="65" t="s">
        <v>89</v>
      </c>
      <c r="C311" s="65" t="s">
        <v>333</v>
      </c>
      <c r="D311" s="65" t="s">
        <v>2488</v>
      </c>
      <c r="E311" s="65" t="s">
        <v>353</v>
      </c>
      <c r="F311" s="65" t="s">
        <v>1872</v>
      </c>
      <c r="G311" s="65" t="s">
        <v>344</v>
      </c>
      <c r="H311" s="65" t="s">
        <v>2452</v>
      </c>
      <c r="I311" s="65" t="s">
        <v>2453</v>
      </c>
      <c r="J311" s="65">
        <v>3144345375</v>
      </c>
      <c r="K311" s="65" t="s">
        <v>2454</v>
      </c>
      <c r="L311" s="65" t="s">
        <v>2455</v>
      </c>
      <c r="M311" s="65" t="s">
        <v>364</v>
      </c>
      <c r="N311" s="65" t="s">
        <v>2456</v>
      </c>
      <c r="O311" s="65" t="s">
        <v>2457</v>
      </c>
      <c r="P311" s="65" t="s">
        <v>2458</v>
      </c>
      <c r="Q311" s="65" t="s">
        <v>2459</v>
      </c>
      <c r="R311" s="65" t="s">
        <v>2460</v>
      </c>
      <c r="S311" s="65" t="s">
        <v>2461</v>
      </c>
      <c r="T311" s="65" t="s">
        <v>2462</v>
      </c>
      <c r="U311" s="65" t="s">
        <v>2463</v>
      </c>
      <c r="V311" s="65" t="s">
        <v>2464</v>
      </c>
      <c r="W311" s="65" t="s">
        <v>2465</v>
      </c>
      <c r="X311" s="65" t="s">
        <v>2466</v>
      </c>
      <c r="Y311" s="65" t="s">
        <v>1873</v>
      </c>
      <c r="Z311" s="65" t="s">
        <v>1874</v>
      </c>
      <c r="AA311" s="65" t="s">
        <v>2489</v>
      </c>
      <c r="AB311" s="65">
        <v>3</v>
      </c>
      <c r="AC311" s="65" t="s">
        <v>2490</v>
      </c>
      <c r="AD311" s="65" t="s">
        <v>2491</v>
      </c>
      <c r="AE311" s="65" t="s">
        <v>2492</v>
      </c>
      <c r="AF311" s="65" t="s">
        <v>1437</v>
      </c>
      <c r="AG311" s="65">
        <v>4</v>
      </c>
      <c r="AH311" s="65">
        <v>4</v>
      </c>
      <c r="AI311" s="65">
        <v>3</v>
      </c>
      <c r="AJ311" s="65">
        <v>3</v>
      </c>
      <c r="AK311" s="65" t="s">
        <v>202</v>
      </c>
      <c r="AL311" s="128">
        <v>45489</v>
      </c>
      <c r="AM311" s="65">
        <v>6</v>
      </c>
      <c r="AN311" s="65">
        <v>3</v>
      </c>
      <c r="AO311" s="65" t="s">
        <v>202</v>
      </c>
      <c r="AP311" s="65">
        <v>3</v>
      </c>
      <c r="AQ311" s="65" t="s">
        <v>355</v>
      </c>
      <c r="AR311" s="65" t="s">
        <v>353</v>
      </c>
      <c r="AS311" s="65">
        <v>1</v>
      </c>
      <c r="AT311" s="65">
        <v>0</v>
      </c>
      <c r="AU311" s="65" t="s">
        <v>1477</v>
      </c>
      <c r="AV311" s="65" t="s">
        <v>1439</v>
      </c>
      <c r="AW311" s="65" t="s">
        <v>202</v>
      </c>
      <c r="AX311" s="65" t="s">
        <v>202</v>
      </c>
      <c r="AY311" s="65" t="s">
        <v>353</v>
      </c>
    </row>
    <row r="312" spans="1:51" x14ac:dyDescent="0.2">
      <c r="A312" s="65" t="s">
        <v>1367</v>
      </c>
      <c r="B312" s="65" t="s">
        <v>372</v>
      </c>
      <c r="C312" s="65" t="s">
        <v>462</v>
      </c>
      <c r="D312" s="65" t="s">
        <v>2493</v>
      </c>
      <c r="E312" s="65" t="s">
        <v>353</v>
      </c>
      <c r="F312" s="65" t="s">
        <v>1872</v>
      </c>
      <c r="G312" s="65" t="s">
        <v>344</v>
      </c>
      <c r="H312" s="65" t="s">
        <v>2452</v>
      </c>
      <c r="I312" s="65" t="s">
        <v>2453</v>
      </c>
      <c r="J312" s="65">
        <v>3144345375</v>
      </c>
      <c r="K312" s="65" t="s">
        <v>2454</v>
      </c>
      <c r="L312" s="65" t="s">
        <v>2455</v>
      </c>
      <c r="M312" s="65" t="s">
        <v>364</v>
      </c>
      <c r="N312" s="65" t="s">
        <v>2456</v>
      </c>
      <c r="O312" s="65" t="s">
        <v>2457</v>
      </c>
      <c r="P312" s="65" t="s">
        <v>2458</v>
      </c>
      <c r="Q312" s="65" t="s">
        <v>2459</v>
      </c>
      <c r="R312" s="65" t="s">
        <v>2460</v>
      </c>
      <c r="S312" s="65" t="s">
        <v>2461</v>
      </c>
      <c r="T312" s="65" t="s">
        <v>2462</v>
      </c>
      <c r="U312" s="65" t="s">
        <v>2463</v>
      </c>
      <c r="V312" s="65" t="s">
        <v>2464</v>
      </c>
      <c r="W312" s="65" t="s">
        <v>2465</v>
      </c>
      <c r="X312" s="65" t="s">
        <v>2466</v>
      </c>
      <c r="Y312" s="65" t="s">
        <v>1873</v>
      </c>
      <c r="Z312" s="65" t="s">
        <v>1874</v>
      </c>
      <c r="AA312" s="65" t="s">
        <v>2494</v>
      </c>
      <c r="AB312" s="65">
        <v>3</v>
      </c>
      <c r="AC312" s="65" t="s">
        <v>1542</v>
      </c>
      <c r="AD312" s="65" t="s">
        <v>2495</v>
      </c>
      <c r="AE312" s="65" t="s">
        <v>2496</v>
      </c>
      <c r="AF312" s="65" t="s">
        <v>2253</v>
      </c>
      <c r="AG312" s="65">
        <v>1</v>
      </c>
      <c r="AH312" s="65">
        <v>1</v>
      </c>
      <c r="AI312" s="65">
        <v>2</v>
      </c>
      <c r="AJ312" s="65">
        <v>1</v>
      </c>
      <c r="AK312" s="65" t="s">
        <v>202</v>
      </c>
      <c r="AL312" s="128">
        <v>44994</v>
      </c>
      <c r="AM312" s="65">
        <v>4</v>
      </c>
      <c r="AN312" s="65">
        <v>1</v>
      </c>
      <c r="AO312" s="65" t="s">
        <v>202</v>
      </c>
      <c r="AP312" s="65">
        <v>2</v>
      </c>
      <c r="AQ312" s="65" t="s">
        <v>352</v>
      </c>
      <c r="AR312" s="65" t="s">
        <v>202</v>
      </c>
      <c r="AS312" s="65">
        <v>1</v>
      </c>
      <c r="AT312" s="65">
        <v>1</v>
      </c>
      <c r="AU312" s="65" t="s">
        <v>1529</v>
      </c>
      <c r="AV312" s="65" t="s">
        <v>1439</v>
      </c>
      <c r="AW312" s="65" t="s">
        <v>202</v>
      </c>
      <c r="AX312" s="65" t="s">
        <v>202</v>
      </c>
      <c r="AY312" s="65" t="s">
        <v>202</v>
      </c>
    </row>
    <row r="313" spans="1:51" x14ac:dyDescent="0.2">
      <c r="A313" s="65" t="s">
        <v>1367</v>
      </c>
      <c r="B313" s="65" t="s">
        <v>26</v>
      </c>
      <c r="C313" s="65" t="s">
        <v>123</v>
      </c>
      <c r="D313" s="65" t="s">
        <v>2497</v>
      </c>
      <c r="E313" s="65" t="s">
        <v>353</v>
      </c>
      <c r="F313" s="65" t="s">
        <v>1872</v>
      </c>
      <c r="G313" s="65" t="s">
        <v>344</v>
      </c>
      <c r="H313" s="65" t="s">
        <v>2452</v>
      </c>
      <c r="I313" s="65" t="s">
        <v>2453</v>
      </c>
      <c r="J313" s="65">
        <v>3144345375</v>
      </c>
      <c r="K313" s="65" t="s">
        <v>2498</v>
      </c>
      <c r="L313" s="65" t="s">
        <v>2499</v>
      </c>
      <c r="M313" s="65" t="s">
        <v>362</v>
      </c>
      <c r="N313" s="65" t="s">
        <v>2500</v>
      </c>
      <c r="O313" s="65" t="s">
        <v>2457</v>
      </c>
      <c r="P313" s="65" t="s">
        <v>2458</v>
      </c>
      <c r="Q313" s="65" t="s">
        <v>2459</v>
      </c>
      <c r="R313" s="65" t="s">
        <v>2460</v>
      </c>
      <c r="S313" s="65" t="s">
        <v>2461</v>
      </c>
      <c r="T313" s="65" t="s">
        <v>2462</v>
      </c>
      <c r="U313" s="65" t="s">
        <v>2463</v>
      </c>
      <c r="V313" s="65" t="s">
        <v>2464</v>
      </c>
      <c r="W313" s="65" t="s">
        <v>2465</v>
      </c>
      <c r="X313" s="65" t="s">
        <v>2466</v>
      </c>
      <c r="Y313" s="65" t="s">
        <v>1873</v>
      </c>
      <c r="Z313" s="65" t="s">
        <v>1874</v>
      </c>
      <c r="AA313" s="65" t="s">
        <v>2501</v>
      </c>
      <c r="AB313" s="65">
        <v>2</v>
      </c>
      <c r="AC313" s="65" t="s">
        <v>2502</v>
      </c>
      <c r="AD313" s="65" t="s">
        <v>2079</v>
      </c>
      <c r="AE313" s="65" t="s">
        <v>2503</v>
      </c>
      <c r="AF313" s="65" t="s">
        <v>1437</v>
      </c>
      <c r="AG313" s="65">
        <v>4</v>
      </c>
      <c r="AH313" s="65">
        <v>5</v>
      </c>
      <c r="AI313" s="65">
        <v>3</v>
      </c>
      <c r="AJ313" s="65">
        <v>3</v>
      </c>
      <c r="AK313" s="65" t="s">
        <v>202</v>
      </c>
      <c r="AL313" s="128">
        <v>45807</v>
      </c>
      <c r="AM313" s="65">
        <v>6</v>
      </c>
      <c r="AN313" s="65">
        <v>2</v>
      </c>
      <c r="AO313" s="65" t="s">
        <v>202</v>
      </c>
      <c r="AP313" s="65">
        <v>3</v>
      </c>
      <c r="AQ313" s="65" t="s">
        <v>352</v>
      </c>
      <c r="AR313" s="65" t="s">
        <v>353</v>
      </c>
      <c r="AS313" s="65" t="s">
        <v>202</v>
      </c>
      <c r="AT313" s="65" t="s">
        <v>202</v>
      </c>
      <c r="AU313" s="65" t="s">
        <v>1438</v>
      </c>
      <c r="AV313" s="65" t="s">
        <v>1439</v>
      </c>
      <c r="AW313" s="65" t="s">
        <v>202</v>
      </c>
      <c r="AX313" s="65" t="s">
        <v>202</v>
      </c>
      <c r="AY313" s="65" t="s">
        <v>353</v>
      </c>
    </row>
    <row r="314" spans="1:51" x14ac:dyDescent="0.2">
      <c r="A314" s="65" t="s">
        <v>1367</v>
      </c>
      <c r="B314" s="65" t="s">
        <v>73</v>
      </c>
      <c r="C314" s="65" t="s">
        <v>170</v>
      </c>
      <c r="D314" s="65" t="s">
        <v>2504</v>
      </c>
      <c r="E314" s="65" t="s">
        <v>353</v>
      </c>
      <c r="F314" s="65" t="s">
        <v>1872</v>
      </c>
      <c r="G314" s="65" t="s">
        <v>344</v>
      </c>
      <c r="H314" s="65" t="s">
        <v>2452</v>
      </c>
      <c r="I314" s="65" t="s">
        <v>2453</v>
      </c>
      <c r="J314" s="65">
        <v>3144345375</v>
      </c>
      <c r="K314" s="65" t="s">
        <v>2505</v>
      </c>
      <c r="L314" s="65" t="s">
        <v>2506</v>
      </c>
      <c r="M314" s="65" t="s">
        <v>359</v>
      </c>
      <c r="N314" s="65" t="s">
        <v>2507</v>
      </c>
      <c r="O314" s="65" t="s">
        <v>2457</v>
      </c>
      <c r="P314" s="65" t="s">
        <v>2458</v>
      </c>
      <c r="Q314" s="65" t="s">
        <v>2459</v>
      </c>
      <c r="R314" s="65" t="s">
        <v>2460</v>
      </c>
      <c r="S314" s="65" t="s">
        <v>2461</v>
      </c>
      <c r="T314" s="65" t="s">
        <v>2462</v>
      </c>
      <c r="U314" s="65" t="s">
        <v>2463</v>
      </c>
      <c r="V314" s="65" t="s">
        <v>2464</v>
      </c>
      <c r="W314" s="65" t="s">
        <v>2465</v>
      </c>
      <c r="X314" s="65" t="s">
        <v>2466</v>
      </c>
      <c r="Y314" s="65" t="s">
        <v>1873</v>
      </c>
      <c r="Z314" s="65" t="s">
        <v>1874</v>
      </c>
      <c r="AA314" s="65" t="s">
        <v>2508</v>
      </c>
      <c r="AB314" s="65">
        <v>4</v>
      </c>
      <c r="AC314" s="65" t="s">
        <v>2319</v>
      </c>
      <c r="AD314" s="65" t="s">
        <v>2509</v>
      </c>
      <c r="AE314" s="65" t="s">
        <v>2510</v>
      </c>
      <c r="AF314" s="65" t="s">
        <v>1437</v>
      </c>
      <c r="AG314" s="65">
        <v>1</v>
      </c>
      <c r="AH314" s="65">
        <v>1</v>
      </c>
      <c r="AI314" s="65">
        <v>2</v>
      </c>
      <c r="AJ314" s="65">
        <v>1</v>
      </c>
      <c r="AK314" s="65" t="s">
        <v>202</v>
      </c>
      <c r="AL314" s="128">
        <v>45083</v>
      </c>
      <c r="AM314" s="65">
        <v>5</v>
      </c>
      <c r="AN314" s="65">
        <v>1</v>
      </c>
      <c r="AO314" s="65" t="s">
        <v>202</v>
      </c>
      <c r="AP314" s="65">
        <v>2</v>
      </c>
      <c r="AQ314" s="65" t="s">
        <v>354</v>
      </c>
      <c r="AR314" s="65" t="s">
        <v>202</v>
      </c>
      <c r="AS314" s="65">
        <v>1</v>
      </c>
      <c r="AT314" s="65">
        <v>1</v>
      </c>
      <c r="AU314" s="65" t="s">
        <v>1529</v>
      </c>
      <c r="AV314" s="65" t="s">
        <v>198</v>
      </c>
      <c r="AW314" s="65" t="s">
        <v>353</v>
      </c>
      <c r="AX314" s="65" t="s">
        <v>202</v>
      </c>
      <c r="AY314" s="65" t="s">
        <v>202</v>
      </c>
    </row>
    <row r="315" spans="1:51" x14ac:dyDescent="0.2">
      <c r="A315" s="65" t="s">
        <v>1367</v>
      </c>
      <c r="B315" s="65" t="s">
        <v>45</v>
      </c>
      <c r="C315" s="65" t="s">
        <v>142</v>
      </c>
      <c r="D315" s="65" t="s">
        <v>2511</v>
      </c>
      <c r="E315" s="65" t="s">
        <v>353</v>
      </c>
      <c r="F315" s="65" t="s">
        <v>1872</v>
      </c>
      <c r="G315" s="65" t="s">
        <v>344</v>
      </c>
      <c r="H315" s="65" t="s">
        <v>2452</v>
      </c>
      <c r="I315" s="65" t="s">
        <v>2453</v>
      </c>
      <c r="J315" s="65">
        <v>3144345375</v>
      </c>
      <c r="K315" s="65" t="s">
        <v>2505</v>
      </c>
      <c r="L315" s="65" t="s">
        <v>2506</v>
      </c>
      <c r="M315" s="65" t="s">
        <v>359</v>
      </c>
      <c r="N315" s="65" t="s">
        <v>2507</v>
      </c>
      <c r="O315" s="65" t="s">
        <v>2457</v>
      </c>
      <c r="P315" s="65" t="s">
        <v>2458</v>
      </c>
      <c r="Q315" s="65" t="s">
        <v>2459</v>
      </c>
      <c r="R315" s="65" t="s">
        <v>2460</v>
      </c>
      <c r="S315" s="65" t="s">
        <v>2461</v>
      </c>
      <c r="T315" s="65" t="s">
        <v>2462</v>
      </c>
      <c r="U315" s="65" t="s">
        <v>2463</v>
      </c>
      <c r="V315" s="65" t="s">
        <v>2464</v>
      </c>
      <c r="W315" s="65" t="s">
        <v>2465</v>
      </c>
      <c r="X315" s="65" t="s">
        <v>2466</v>
      </c>
      <c r="Y315" s="65" t="s">
        <v>1873</v>
      </c>
      <c r="Z315" s="65" t="s">
        <v>1874</v>
      </c>
      <c r="AA315" s="65" t="s">
        <v>2512</v>
      </c>
      <c r="AB315" s="65">
        <v>3</v>
      </c>
      <c r="AC315" s="65" t="s">
        <v>2513</v>
      </c>
      <c r="AD315" s="65" t="s">
        <v>2218</v>
      </c>
      <c r="AE315" s="65" t="s">
        <v>2514</v>
      </c>
      <c r="AF315" s="65" t="s">
        <v>2253</v>
      </c>
      <c r="AG315" s="65">
        <v>2</v>
      </c>
      <c r="AH315" s="65">
        <v>0</v>
      </c>
      <c r="AI315" s="65">
        <v>2</v>
      </c>
      <c r="AJ315" s="65">
        <v>2</v>
      </c>
      <c r="AK315" s="65" t="s">
        <v>202</v>
      </c>
      <c r="AL315" s="128">
        <v>45077</v>
      </c>
      <c r="AM315" s="65">
        <v>4</v>
      </c>
      <c r="AN315" s="65">
        <v>1</v>
      </c>
      <c r="AO315" s="65" t="s">
        <v>202</v>
      </c>
      <c r="AP315" s="65">
        <v>2</v>
      </c>
      <c r="AQ315" s="65" t="s">
        <v>354</v>
      </c>
      <c r="AR315" s="65" t="s">
        <v>202</v>
      </c>
      <c r="AS315" s="65">
        <v>1</v>
      </c>
      <c r="AT315" s="65">
        <v>1</v>
      </c>
      <c r="AU315" s="65" t="s">
        <v>1438</v>
      </c>
      <c r="AV315" s="65" t="s">
        <v>1439</v>
      </c>
      <c r="AW315" s="65" t="s">
        <v>353</v>
      </c>
      <c r="AX315" s="65" t="s">
        <v>202</v>
      </c>
      <c r="AY315" s="65" t="s">
        <v>202</v>
      </c>
    </row>
    <row r="316" spans="1:51" x14ac:dyDescent="0.2">
      <c r="A316" s="65" t="s">
        <v>1367</v>
      </c>
      <c r="B316" s="65" t="s">
        <v>51</v>
      </c>
      <c r="C316" s="65" t="s">
        <v>148</v>
      </c>
      <c r="D316" s="65" t="s">
        <v>2515</v>
      </c>
      <c r="E316" s="65" t="s">
        <v>353</v>
      </c>
      <c r="F316" s="65" t="s">
        <v>1872</v>
      </c>
      <c r="G316" s="65" t="s">
        <v>344</v>
      </c>
      <c r="H316" s="65" t="s">
        <v>2452</v>
      </c>
      <c r="I316" s="65" t="s">
        <v>2453</v>
      </c>
      <c r="J316" s="65">
        <v>3144345375</v>
      </c>
      <c r="K316" s="65" t="s">
        <v>2505</v>
      </c>
      <c r="L316" s="65" t="s">
        <v>2506</v>
      </c>
      <c r="M316" s="65" t="s">
        <v>359</v>
      </c>
      <c r="N316" s="65" t="s">
        <v>2507</v>
      </c>
      <c r="O316" s="65" t="s">
        <v>2457</v>
      </c>
      <c r="P316" s="65" t="s">
        <v>2458</v>
      </c>
      <c r="Q316" s="65" t="s">
        <v>2459</v>
      </c>
      <c r="R316" s="65" t="s">
        <v>2460</v>
      </c>
      <c r="S316" s="65" t="s">
        <v>2461</v>
      </c>
      <c r="T316" s="65" t="s">
        <v>2462</v>
      </c>
      <c r="U316" s="65" t="s">
        <v>2463</v>
      </c>
      <c r="V316" s="65" t="s">
        <v>2464</v>
      </c>
      <c r="W316" s="65" t="s">
        <v>2465</v>
      </c>
      <c r="X316" s="65" t="s">
        <v>2466</v>
      </c>
      <c r="Y316" s="65" t="s">
        <v>1873</v>
      </c>
      <c r="Z316" s="65" t="s">
        <v>1874</v>
      </c>
      <c r="AA316" s="65" t="s">
        <v>2516</v>
      </c>
      <c r="AB316" s="65">
        <v>3</v>
      </c>
      <c r="AC316" s="65" t="s">
        <v>2237</v>
      </c>
      <c r="AD316" s="65" t="s">
        <v>1535</v>
      </c>
      <c r="AE316" s="65" t="s">
        <v>2517</v>
      </c>
      <c r="AF316" s="65" t="s">
        <v>1437</v>
      </c>
      <c r="AG316" s="65">
        <v>2</v>
      </c>
      <c r="AH316" s="65">
        <v>1</v>
      </c>
      <c r="AI316" s="65">
        <v>2</v>
      </c>
      <c r="AJ316" s="65">
        <v>2</v>
      </c>
      <c r="AK316" s="65" t="s">
        <v>202</v>
      </c>
      <c r="AL316" s="128">
        <v>45077</v>
      </c>
      <c r="AM316" s="65">
        <v>3</v>
      </c>
      <c r="AN316" s="65">
        <v>1</v>
      </c>
      <c r="AO316" s="65" t="s">
        <v>202</v>
      </c>
      <c r="AP316" s="65">
        <v>2</v>
      </c>
      <c r="AQ316" s="65" t="s">
        <v>355</v>
      </c>
      <c r="AR316" s="65" t="s">
        <v>202</v>
      </c>
      <c r="AS316" s="65">
        <v>1</v>
      </c>
      <c r="AT316" s="65">
        <v>1</v>
      </c>
      <c r="AU316" s="65" t="s">
        <v>1438</v>
      </c>
      <c r="AV316" s="65" t="s">
        <v>1439</v>
      </c>
      <c r="AW316" s="65" t="s">
        <v>202</v>
      </c>
      <c r="AX316" s="65" t="s">
        <v>202</v>
      </c>
      <c r="AY316" s="65" t="s">
        <v>353</v>
      </c>
    </row>
    <row r="317" spans="1:51" x14ac:dyDescent="0.2">
      <c r="A317" s="65" t="s">
        <v>1367</v>
      </c>
      <c r="B317" s="65" t="s">
        <v>69</v>
      </c>
      <c r="C317" s="65" t="s">
        <v>166</v>
      </c>
      <c r="D317" s="65" t="s">
        <v>2518</v>
      </c>
      <c r="E317" s="65" t="s">
        <v>353</v>
      </c>
      <c r="F317" s="65" t="s">
        <v>1872</v>
      </c>
      <c r="G317" s="65" t="s">
        <v>344</v>
      </c>
      <c r="H317" s="65" t="s">
        <v>2452</v>
      </c>
      <c r="I317" s="65" t="s">
        <v>2453</v>
      </c>
      <c r="J317" s="65">
        <v>3144345375</v>
      </c>
      <c r="K317" s="65" t="s">
        <v>2505</v>
      </c>
      <c r="L317" s="65" t="s">
        <v>2506</v>
      </c>
      <c r="M317" s="65" t="s">
        <v>359</v>
      </c>
      <c r="N317" s="65" t="s">
        <v>2507</v>
      </c>
      <c r="O317" s="65" t="s">
        <v>2457</v>
      </c>
      <c r="P317" s="65" t="s">
        <v>2458</v>
      </c>
      <c r="Q317" s="65" t="s">
        <v>2459</v>
      </c>
      <c r="R317" s="65" t="s">
        <v>2460</v>
      </c>
      <c r="S317" s="65" t="s">
        <v>2461</v>
      </c>
      <c r="T317" s="65" t="s">
        <v>2462</v>
      </c>
      <c r="U317" s="65" t="s">
        <v>2463</v>
      </c>
      <c r="V317" s="65" t="s">
        <v>2464</v>
      </c>
      <c r="W317" s="65" t="s">
        <v>2465</v>
      </c>
      <c r="X317" s="65" t="s">
        <v>2466</v>
      </c>
      <c r="Y317" s="65" t="s">
        <v>1873</v>
      </c>
      <c r="Z317" s="65" t="s">
        <v>1874</v>
      </c>
      <c r="AA317" s="65" t="s">
        <v>2519</v>
      </c>
      <c r="AB317" s="65">
        <v>4</v>
      </c>
      <c r="AC317" s="65" t="s">
        <v>2330</v>
      </c>
      <c r="AD317" s="65" t="s">
        <v>2520</v>
      </c>
      <c r="AE317" s="65" t="s">
        <v>2521</v>
      </c>
      <c r="AF317" s="65" t="s">
        <v>1437</v>
      </c>
      <c r="AG317" s="65">
        <v>2</v>
      </c>
      <c r="AH317" s="65">
        <v>2</v>
      </c>
      <c r="AI317" s="65">
        <v>3</v>
      </c>
      <c r="AJ317" s="65">
        <v>2</v>
      </c>
      <c r="AK317" s="65" t="s">
        <v>202</v>
      </c>
      <c r="AL317" s="128">
        <v>44985</v>
      </c>
      <c r="AM317" s="65">
        <v>5</v>
      </c>
      <c r="AN317" s="65">
        <v>1</v>
      </c>
      <c r="AO317" s="65" t="s">
        <v>202</v>
      </c>
      <c r="AP317" s="65">
        <v>2</v>
      </c>
      <c r="AQ317" s="65" t="s">
        <v>354</v>
      </c>
      <c r="AR317" s="65" t="s">
        <v>202</v>
      </c>
      <c r="AS317" s="65">
        <v>1</v>
      </c>
      <c r="AT317" s="65">
        <v>1</v>
      </c>
      <c r="AU317" s="65" t="s">
        <v>1529</v>
      </c>
      <c r="AV317" s="65" t="s">
        <v>198</v>
      </c>
      <c r="AW317" s="65" t="s">
        <v>353</v>
      </c>
      <c r="AX317" s="65" t="s">
        <v>202</v>
      </c>
      <c r="AY317" s="65" t="s">
        <v>202</v>
      </c>
    </row>
    <row r="318" spans="1:51" x14ac:dyDescent="0.2">
      <c r="A318" s="65" t="s">
        <v>1367</v>
      </c>
      <c r="B318" s="65" t="s">
        <v>70</v>
      </c>
      <c r="C318" s="65" t="s">
        <v>167</v>
      </c>
      <c r="D318" s="65" t="s">
        <v>2522</v>
      </c>
      <c r="E318" s="65" t="s">
        <v>353</v>
      </c>
      <c r="F318" s="65" t="s">
        <v>1872</v>
      </c>
      <c r="G318" s="65" t="s">
        <v>344</v>
      </c>
      <c r="H318" s="65" t="s">
        <v>2452</v>
      </c>
      <c r="I318" s="65" t="s">
        <v>2453</v>
      </c>
      <c r="J318" s="65">
        <v>3144345375</v>
      </c>
      <c r="K318" s="65" t="s">
        <v>2505</v>
      </c>
      <c r="L318" s="65" t="s">
        <v>2506</v>
      </c>
      <c r="M318" s="65" t="s">
        <v>359</v>
      </c>
      <c r="N318" s="65" t="s">
        <v>2507</v>
      </c>
      <c r="O318" s="65" t="s">
        <v>2457</v>
      </c>
      <c r="P318" s="65" t="s">
        <v>2458</v>
      </c>
      <c r="Q318" s="65" t="s">
        <v>2459</v>
      </c>
      <c r="R318" s="65" t="s">
        <v>2460</v>
      </c>
      <c r="S318" s="65" t="s">
        <v>2461</v>
      </c>
      <c r="T318" s="65" t="s">
        <v>2462</v>
      </c>
      <c r="U318" s="65" t="s">
        <v>2463</v>
      </c>
      <c r="V318" s="65" t="s">
        <v>2464</v>
      </c>
      <c r="W318" s="65" t="s">
        <v>2465</v>
      </c>
      <c r="X318" s="65" t="s">
        <v>2466</v>
      </c>
      <c r="Y318" s="65" t="s">
        <v>1873</v>
      </c>
      <c r="Z318" s="65" t="s">
        <v>1874</v>
      </c>
      <c r="AA318" s="65" t="s">
        <v>2523</v>
      </c>
      <c r="AB318" s="65">
        <v>4</v>
      </c>
      <c r="AC318" s="65" t="s">
        <v>2524</v>
      </c>
      <c r="AD318" s="65" t="s">
        <v>2525</v>
      </c>
      <c r="AE318" s="65" t="s">
        <v>2526</v>
      </c>
      <c r="AF318" s="65" t="s">
        <v>1437</v>
      </c>
      <c r="AG318" s="65">
        <v>1</v>
      </c>
      <c r="AH318" s="65">
        <v>0</v>
      </c>
      <c r="AI318" s="65">
        <v>2</v>
      </c>
      <c r="AJ318" s="65">
        <v>1</v>
      </c>
      <c r="AK318" s="65" t="s">
        <v>202</v>
      </c>
      <c r="AL318" s="128">
        <v>44981</v>
      </c>
      <c r="AM318" s="65">
        <v>4</v>
      </c>
      <c r="AN318" s="65">
        <v>1</v>
      </c>
      <c r="AO318" s="65" t="s">
        <v>353</v>
      </c>
      <c r="AP318" s="65">
        <v>2</v>
      </c>
      <c r="AQ318" s="65" t="s">
        <v>354</v>
      </c>
      <c r="AR318" s="65" t="s">
        <v>202</v>
      </c>
      <c r="AS318" s="65">
        <v>1</v>
      </c>
      <c r="AT318" s="65">
        <v>1</v>
      </c>
      <c r="AU318" s="65" t="s">
        <v>1529</v>
      </c>
      <c r="AV318" s="65" t="s">
        <v>198</v>
      </c>
      <c r="AW318" s="65" t="s">
        <v>353</v>
      </c>
      <c r="AX318" s="65" t="s">
        <v>202</v>
      </c>
      <c r="AY318" s="65" t="s">
        <v>202</v>
      </c>
    </row>
    <row r="319" spans="1:51" x14ac:dyDescent="0.2">
      <c r="A319" s="65" t="s">
        <v>1367</v>
      </c>
      <c r="B319" s="65" t="s">
        <v>71</v>
      </c>
      <c r="C319" s="65" t="s">
        <v>168</v>
      </c>
      <c r="D319" s="65" t="s">
        <v>2527</v>
      </c>
      <c r="E319" s="65" t="s">
        <v>353</v>
      </c>
      <c r="F319" s="65" t="s">
        <v>1872</v>
      </c>
      <c r="G319" s="65" t="s">
        <v>344</v>
      </c>
      <c r="H319" s="65" t="s">
        <v>2452</v>
      </c>
      <c r="I319" s="65" t="s">
        <v>2453</v>
      </c>
      <c r="J319" s="65">
        <v>3144345375</v>
      </c>
      <c r="K319" s="65" t="s">
        <v>2505</v>
      </c>
      <c r="L319" s="65" t="s">
        <v>2506</v>
      </c>
      <c r="M319" s="65" t="s">
        <v>359</v>
      </c>
      <c r="N319" s="65" t="s">
        <v>2507</v>
      </c>
      <c r="O319" s="65" t="s">
        <v>2457</v>
      </c>
      <c r="P319" s="65" t="s">
        <v>2458</v>
      </c>
      <c r="Q319" s="65" t="s">
        <v>2459</v>
      </c>
      <c r="R319" s="65" t="s">
        <v>2460</v>
      </c>
      <c r="S319" s="65" t="s">
        <v>2461</v>
      </c>
      <c r="T319" s="65" t="s">
        <v>2462</v>
      </c>
      <c r="U319" s="65" t="s">
        <v>2463</v>
      </c>
      <c r="V319" s="65" t="s">
        <v>2464</v>
      </c>
      <c r="W319" s="65" t="s">
        <v>2465</v>
      </c>
      <c r="X319" s="65" t="s">
        <v>2466</v>
      </c>
      <c r="Y319" s="65" t="s">
        <v>1873</v>
      </c>
      <c r="Z319" s="65" t="s">
        <v>1874</v>
      </c>
      <c r="AA319" s="65" t="s">
        <v>2528</v>
      </c>
      <c r="AB319" s="65">
        <v>3</v>
      </c>
      <c r="AC319" s="65" t="s">
        <v>2299</v>
      </c>
      <c r="AD319" s="65" t="s">
        <v>2520</v>
      </c>
      <c r="AE319" s="65" t="s">
        <v>2529</v>
      </c>
      <c r="AF319" s="65" t="s">
        <v>1437</v>
      </c>
      <c r="AG319" s="65">
        <v>2</v>
      </c>
      <c r="AH319" s="65">
        <v>2</v>
      </c>
      <c r="AI319" s="65">
        <v>2</v>
      </c>
      <c r="AJ319" s="65">
        <v>2</v>
      </c>
      <c r="AK319" s="65" t="s">
        <v>202</v>
      </c>
      <c r="AL319" s="128">
        <v>44999</v>
      </c>
      <c r="AM319" s="65">
        <v>6</v>
      </c>
      <c r="AN319" s="65">
        <v>1</v>
      </c>
      <c r="AO319" s="65" t="s">
        <v>353</v>
      </c>
      <c r="AP319" s="65">
        <v>2</v>
      </c>
      <c r="AQ319" s="65" t="s">
        <v>354</v>
      </c>
      <c r="AR319" s="65" t="s">
        <v>202</v>
      </c>
      <c r="AS319" s="65">
        <v>1</v>
      </c>
      <c r="AT319" s="65">
        <v>1</v>
      </c>
      <c r="AU319" s="65" t="s">
        <v>1529</v>
      </c>
      <c r="AV319" s="65" t="s">
        <v>1439</v>
      </c>
      <c r="AW319" s="65" t="s">
        <v>353</v>
      </c>
      <c r="AX319" s="65" t="s">
        <v>202</v>
      </c>
      <c r="AY319" s="65" t="s">
        <v>353</v>
      </c>
    </row>
    <row r="320" spans="1:51" x14ac:dyDescent="0.2">
      <c r="A320" s="65" t="s">
        <v>1367</v>
      </c>
      <c r="B320" s="65" t="s">
        <v>87</v>
      </c>
      <c r="C320" s="65" t="s">
        <v>586</v>
      </c>
      <c r="D320" s="65" t="s">
        <v>2530</v>
      </c>
      <c r="E320" s="65" t="s">
        <v>353</v>
      </c>
      <c r="F320" s="65" t="s">
        <v>1872</v>
      </c>
      <c r="G320" s="65" t="s">
        <v>344</v>
      </c>
      <c r="H320" s="65" t="s">
        <v>2452</v>
      </c>
      <c r="I320" s="65" t="s">
        <v>2453</v>
      </c>
      <c r="J320" s="65">
        <v>3144345375</v>
      </c>
      <c r="K320" s="65" t="s">
        <v>2505</v>
      </c>
      <c r="L320" s="65" t="s">
        <v>2506</v>
      </c>
      <c r="M320" s="65" t="s">
        <v>359</v>
      </c>
      <c r="N320" s="65" t="s">
        <v>2507</v>
      </c>
      <c r="O320" s="65" t="s">
        <v>2457</v>
      </c>
      <c r="P320" s="65" t="s">
        <v>2458</v>
      </c>
      <c r="Q320" s="65" t="s">
        <v>2459</v>
      </c>
      <c r="R320" s="65" t="s">
        <v>2460</v>
      </c>
      <c r="S320" s="65" t="s">
        <v>2461</v>
      </c>
      <c r="T320" s="65" t="s">
        <v>2462</v>
      </c>
      <c r="U320" s="65" t="s">
        <v>2463</v>
      </c>
      <c r="V320" s="65" t="s">
        <v>2464</v>
      </c>
      <c r="W320" s="65" t="s">
        <v>2465</v>
      </c>
      <c r="X320" s="65" t="s">
        <v>2466</v>
      </c>
      <c r="Y320" s="65" t="s">
        <v>1873</v>
      </c>
      <c r="Z320" s="65" t="s">
        <v>2531</v>
      </c>
      <c r="AA320" s="65" t="s">
        <v>2532</v>
      </c>
      <c r="AB320" s="65">
        <v>4</v>
      </c>
      <c r="AC320" s="65">
        <v>294</v>
      </c>
      <c r="AD320" s="65">
        <v>202</v>
      </c>
      <c r="AE320" s="65" t="s">
        <v>2533</v>
      </c>
      <c r="AF320" s="65" t="s">
        <v>1437</v>
      </c>
      <c r="AG320" s="65">
        <v>1</v>
      </c>
      <c r="AH320" s="65">
        <v>1</v>
      </c>
      <c r="AI320" s="65">
        <v>2</v>
      </c>
      <c r="AJ320" s="65">
        <v>2</v>
      </c>
      <c r="AK320" s="65" t="s">
        <v>202</v>
      </c>
      <c r="AL320" s="128">
        <v>45762</v>
      </c>
      <c r="AM320" s="65">
        <v>6</v>
      </c>
      <c r="AN320" s="65">
        <v>1</v>
      </c>
      <c r="AO320" s="65" t="s">
        <v>202</v>
      </c>
      <c r="AP320" s="65">
        <v>3</v>
      </c>
      <c r="AQ320" s="65" t="s">
        <v>354</v>
      </c>
      <c r="AR320" s="65" t="s">
        <v>353</v>
      </c>
      <c r="AS320" s="65">
        <v>0</v>
      </c>
      <c r="AT320" s="65">
        <v>0</v>
      </c>
      <c r="AU320" s="65" t="s">
        <v>1438</v>
      </c>
      <c r="AV320" s="65" t="s">
        <v>198</v>
      </c>
      <c r="AW320" s="65" t="s">
        <v>353</v>
      </c>
      <c r="AX320" s="65" t="s">
        <v>202</v>
      </c>
      <c r="AY320" s="65" t="s">
        <v>353</v>
      </c>
    </row>
    <row r="321" spans="1:51" x14ac:dyDescent="0.2">
      <c r="A321" s="65" t="s">
        <v>1367</v>
      </c>
      <c r="B321" s="65" t="s">
        <v>7</v>
      </c>
      <c r="C321" s="65" t="s">
        <v>104</v>
      </c>
      <c r="D321" s="65" t="s">
        <v>2534</v>
      </c>
      <c r="E321" s="65" t="s">
        <v>353</v>
      </c>
      <c r="F321" s="65" t="s">
        <v>1872</v>
      </c>
      <c r="G321" s="65" t="s">
        <v>344</v>
      </c>
      <c r="H321" s="65" t="s">
        <v>2452</v>
      </c>
      <c r="I321" s="65" t="s">
        <v>2453</v>
      </c>
      <c r="J321" s="65">
        <v>3144345375</v>
      </c>
      <c r="K321" s="65" t="s">
        <v>2505</v>
      </c>
      <c r="L321" s="65" t="s">
        <v>2506</v>
      </c>
      <c r="M321" s="65" t="s">
        <v>359</v>
      </c>
      <c r="N321" s="65" t="s">
        <v>2507</v>
      </c>
      <c r="O321" s="65" t="s">
        <v>2457</v>
      </c>
      <c r="P321" s="65" t="s">
        <v>2458</v>
      </c>
      <c r="Q321" s="65" t="s">
        <v>2459</v>
      </c>
      <c r="R321" s="65" t="s">
        <v>2460</v>
      </c>
      <c r="S321" s="65" t="s">
        <v>2461</v>
      </c>
      <c r="T321" s="65" t="s">
        <v>2462</v>
      </c>
      <c r="U321" s="65" t="s">
        <v>2463</v>
      </c>
      <c r="V321" s="65" t="s">
        <v>2464</v>
      </c>
      <c r="W321" s="65" t="s">
        <v>2465</v>
      </c>
      <c r="X321" s="65" t="s">
        <v>2466</v>
      </c>
      <c r="Y321" s="65" t="s">
        <v>1873</v>
      </c>
      <c r="Z321" s="65" t="s">
        <v>1874</v>
      </c>
      <c r="AA321" s="65" t="s">
        <v>2535</v>
      </c>
      <c r="AB321" s="65">
        <v>2</v>
      </c>
      <c r="AC321" s="65" t="s">
        <v>1481</v>
      </c>
      <c r="AD321" s="65" t="s">
        <v>2495</v>
      </c>
      <c r="AE321" s="65" t="s">
        <v>2536</v>
      </c>
      <c r="AF321" s="65" t="s">
        <v>1437</v>
      </c>
      <c r="AG321" s="65">
        <v>1</v>
      </c>
      <c r="AH321" s="65">
        <v>0</v>
      </c>
      <c r="AI321" s="65">
        <v>2</v>
      </c>
      <c r="AJ321" s="65">
        <v>2</v>
      </c>
      <c r="AK321" s="65" t="s">
        <v>202</v>
      </c>
      <c r="AL321" s="128">
        <v>44999</v>
      </c>
      <c r="AM321" s="65">
        <v>3</v>
      </c>
      <c r="AN321" s="65">
        <v>1</v>
      </c>
      <c r="AO321" s="65" t="s">
        <v>202</v>
      </c>
      <c r="AP321" s="65">
        <v>2</v>
      </c>
      <c r="AQ321" s="65" t="s">
        <v>352</v>
      </c>
      <c r="AR321" s="65" t="s">
        <v>202</v>
      </c>
      <c r="AS321" s="65">
        <v>1</v>
      </c>
      <c r="AT321" s="65">
        <v>1</v>
      </c>
      <c r="AU321" s="65" t="s">
        <v>1529</v>
      </c>
      <c r="AV321" s="65" t="s">
        <v>1439</v>
      </c>
      <c r="AW321" s="65" t="s">
        <v>202</v>
      </c>
      <c r="AX321" s="65" t="s">
        <v>202</v>
      </c>
      <c r="AY321" s="65" t="s">
        <v>202</v>
      </c>
    </row>
    <row r="322" spans="1:51" x14ac:dyDescent="0.2">
      <c r="A322" s="65" t="s">
        <v>1367</v>
      </c>
      <c r="B322" s="65" t="s">
        <v>82</v>
      </c>
      <c r="C322" s="65" t="s">
        <v>179</v>
      </c>
      <c r="D322" s="65" t="s">
        <v>2537</v>
      </c>
      <c r="E322" s="65" t="s">
        <v>353</v>
      </c>
      <c r="F322" s="65" t="s">
        <v>1872</v>
      </c>
      <c r="G322" s="65" t="s">
        <v>344</v>
      </c>
      <c r="H322" s="65" t="s">
        <v>2452</v>
      </c>
      <c r="I322" s="65" t="s">
        <v>2453</v>
      </c>
      <c r="J322" s="65">
        <v>3144345375</v>
      </c>
      <c r="K322" s="65" t="s">
        <v>2505</v>
      </c>
      <c r="L322" s="65" t="s">
        <v>2506</v>
      </c>
      <c r="M322" s="65" t="s">
        <v>359</v>
      </c>
      <c r="N322" s="65" t="s">
        <v>2507</v>
      </c>
      <c r="O322" s="65" t="s">
        <v>2457</v>
      </c>
      <c r="P322" s="65" t="s">
        <v>2458</v>
      </c>
      <c r="Q322" s="65" t="s">
        <v>2459</v>
      </c>
      <c r="R322" s="65" t="s">
        <v>2460</v>
      </c>
      <c r="S322" s="65" t="s">
        <v>2461</v>
      </c>
      <c r="T322" s="65" t="s">
        <v>2462</v>
      </c>
      <c r="U322" s="65" t="s">
        <v>2463</v>
      </c>
      <c r="V322" s="65" t="s">
        <v>2464</v>
      </c>
      <c r="W322" s="65" t="s">
        <v>2465</v>
      </c>
      <c r="X322" s="65" t="s">
        <v>2466</v>
      </c>
      <c r="Y322" s="65" t="s">
        <v>1873</v>
      </c>
      <c r="Z322" s="65" t="s">
        <v>1874</v>
      </c>
      <c r="AA322" s="65" t="s">
        <v>2538</v>
      </c>
      <c r="AB322" s="65">
        <v>4</v>
      </c>
      <c r="AC322" s="65" t="s">
        <v>1535</v>
      </c>
      <c r="AD322" s="65" t="s">
        <v>2476</v>
      </c>
      <c r="AE322" s="65" t="s">
        <v>2539</v>
      </c>
      <c r="AF322" s="65" t="s">
        <v>1437</v>
      </c>
      <c r="AG322" s="65">
        <v>1</v>
      </c>
      <c r="AH322" s="65">
        <v>1</v>
      </c>
      <c r="AI322" s="65">
        <v>2</v>
      </c>
      <c r="AJ322" s="65">
        <v>2</v>
      </c>
      <c r="AK322" s="65" t="s">
        <v>202</v>
      </c>
      <c r="AL322" s="128">
        <v>45163</v>
      </c>
      <c r="AM322" s="65">
        <v>3</v>
      </c>
      <c r="AN322" s="65">
        <v>1</v>
      </c>
      <c r="AO322" s="65" t="s">
        <v>202</v>
      </c>
      <c r="AP322" s="65">
        <v>2</v>
      </c>
      <c r="AQ322" s="65" t="s">
        <v>354</v>
      </c>
      <c r="AR322" s="65" t="s">
        <v>202</v>
      </c>
      <c r="AS322" s="65">
        <v>1</v>
      </c>
      <c r="AT322" s="65">
        <v>1</v>
      </c>
      <c r="AU322" s="65" t="s">
        <v>1529</v>
      </c>
      <c r="AV322" s="65" t="s">
        <v>198</v>
      </c>
      <c r="AW322" s="65" t="s">
        <v>353</v>
      </c>
      <c r="AX322" s="65" t="s">
        <v>202</v>
      </c>
      <c r="AY322" s="65" t="s">
        <v>202</v>
      </c>
    </row>
    <row r="323" spans="1:51" x14ac:dyDescent="0.2">
      <c r="A323" s="65" t="s">
        <v>1367</v>
      </c>
      <c r="B323" s="65" t="s">
        <v>366</v>
      </c>
      <c r="C323" s="65" t="s">
        <v>367</v>
      </c>
      <c r="D323" s="65" t="s">
        <v>2540</v>
      </c>
      <c r="E323" s="65" t="s">
        <v>353</v>
      </c>
      <c r="F323" s="65" t="s">
        <v>1872</v>
      </c>
      <c r="G323" s="65" t="s">
        <v>344</v>
      </c>
      <c r="H323" s="65" t="s">
        <v>2452</v>
      </c>
      <c r="I323" s="65" t="s">
        <v>2453</v>
      </c>
      <c r="J323" s="65">
        <v>3144345375</v>
      </c>
      <c r="K323" s="65" t="s">
        <v>2541</v>
      </c>
      <c r="L323" s="65" t="s">
        <v>2542</v>
      </c>
      <c r="M323" s="65" t="s">
        <v>363</v>
      </c>
      <c r="N323" s="65" t="s">
        <v>2543</v>
      </c>
      <c r="O323" s="65" t="s">
        <v>2457</v>
      </c>
      <c r="P323" s="65" t="s">
        <v>2458</v>
      </c>
      <c r="Q323" s="65" t="s">
        <v>2459</v>
      </c>
      <c r="R323" s="65" t="s">
        <v>2460</v>
      </c>
      <c r="S323" s="65" t="s">
        <v>2461</v>
      </c>
      <c r="T323" s="65" t="s">
        <v>2462</v>
      </c>
      <c r="U323" s="65" t="s">
        <v>2463</v>
      </c>
      <c r="V323" s="65" t="s">
        <v>2464</v>
      </c>
      <c r="W323" s="65" t="s">
        <v>2465</v>
      </c>
      <c r="X323" s="65" t="s">
        <v>2466</v>
      </c>
      <c r="Y323" s="65" t="s">
        <v>2544</v>
      </c>
      <c r="Z323" s="65" t="s">
        <v>1886</v>
      </c>
      <c r="AA323" s="65" t="s">
        <v>2545</v>
      </c>
      <c r="AB323" s="65">
        <v>3</v>
      </c>
      <c r="AC323" s="65" t="s">
        <v>2449</v>
      </c>
      <c r="AD323" s="65" t="s">
        <v>2546</v>
      </c>
      <c r="AE323" s="65" t="s">
        <v>2547</v>
      </c>
      <c r="AF323" s="65" t="s">
        <v>1437</v>
      </c>
      <c r="AG323" s="65">
        <v>1</v>
      </c>
      <c r="AH323" s="65">
        <v>0</v>
      </c>
      <c r="AI323" s="65">
        <v>2</v>
      </c>
      <c r="AJ323" s="65">
        <v>1</v>
      </c>
      <c r="AK323" s="65" t="s">
        <v>202</v>
      </c>
      <c r="AL323" s="128">
        <v>44999</v>
      </c>
      <c r="AM323" s="65">
        <v>3</v>
      </c>
      <c r="AN323" s="65">
        <v>1</v>
      </c>
      <c r="AO323" s="65" t="s">
        <v>202</v>
      </c>
      <c r="AP323" s="65">
        <v>2</v>
      </c>
      <c r="AQ323" s="65" t="s">
        <v>355</v>
      </c>
      <c r="AR323" s="65" t="s">
        <v>202</v>
      </c>
      <c r="AS323" s="65">
        <v>1</v>
      </c>
      <c r="AT323" s="65">
        <v>1</v>
      </c>
      <c r="AU323" s="65" t="s">
        <v>1529</v>
      </c>
      <c r="AV323" s="65" t="s">
        <v>1439</v>
      </c>
      <c r="AW323" s="65" t="s">
        <v>202</v>
      </c>
      <c r="AX323" s="65" t="s">
        <v>202</v>
      </c>
      <c r="AY323" s="65" t="s">
        <v>202</v>
      </c>
    </row>
    <row r="324" spans="1:51" x14ac:dyDescent="0.2">
      <c r="A324" s="65" t="s">
        <v>1367</v>
      </c>
      <c r="B324" s="65" t="s">
        <v>36</v>
      </c>
      <c r="C324" s="65" t="s">
        <v>133</v>
      </c>
      <c r="D324" s="65" t="s">
        <v>2548</v>
      </c>
      <c r="E324" s="65" t="s">
        <v>353</v>
      </c>
      <c r="F324" s="65" t="s">
        <v>1872</v>
      </c>
      <c r="G324" s="65" t="s">
        <v>344</v>
      </c>
      <c r="H324" s="65" t="s">
        <v>2452</v>
      </c>
      <c r="I324" s="65" t="s">
        <v>2453</v>
      </c>
      <c r="J324" s="65">
        <v>3144345375</v>
      </c>
      <c r="K324" s="65" t="s">
        <v>2541</v>
      </c>
      <c r="L324" s="65" t="s">
        <v>2542</v>
      </c>
      <c r="M324" s="65" t="s">
        <v>363</v>
      </c>
      <c r="N324" s="65" t="s">
        <v>2543</v>
      </c>
      <c r="O324" s="65" t="s">
        <v>2457</v>
      </c>
      <c r="P324" s="65" t="s">
        <v>2458</v>
      </c>
      <c r="Q324" s="65" t="s">
        <v>2459</v>
      </c>
      <c r="R324" s="65" t="s">
        <v>2460</v>
      </c>
      <c r="S324" s="65" t="s">
        <v>2461</v>
      </c>
      <c r="T324" s="65" t="s">
        <v>2462</v>
      </c>
      <c r="U324" s="65" t="s">
        <v>2463</v>
      </c>
      <c r="V324" s="65" t="s">
        <v>2464</v>
      </c>
      <c r="W324" s="65" t="s">
        <v>2465</v>
      </c>
      <c r="X324" s="65" t="s">
        <v>2466</v>
      </c>
      <c r="Y324" s="65" t="s">
        <v>2549</v>
      </c>
      <c r="Z324" s="65" t="s">
        <v>1886</v>
      </c>
      <c r="AA324" s="65" t="s">
        <v>2550</v>
      </c>
      <c r="AB324" s="65">
        <v>3</v>
      </c>
      <c r="AC324" s="65" t="s">
        <v>1443</v>
      </c>
      <c r="AD324" s="65" t="s">
        <v>2551</v>
      </c>
      <c r="AE324" s="65" t="s">
        <v>2552</v>
      </c>
      <c r="AF324" s="65" t="s">
        <v>2253</v>
      </c>
      <c r="AG324" s="65">
        <v>2</v>
      </c>
      <c r="AH324" s="65">
        <v>1</v>
      </c>
      <c r="AI324" s="65">
        <v>2</v>
      </c>
      <c r="AJ324" s="65">
        <v>1</v>
      </c>
      <c r="AK324" s="65" t="s">
        <v>202</v>
      </c>
      <c r="AL324" s="128">
        <v>44999</v>
      </c>
      <c r="AM324" s="65">
        <v>4</v>
      </c>
      <c r="AN324" s="65">
        <v>1</v>
      </c>
      <c r="AO324" s="65" t="s">
        <v>202</v>
      </c>
      <c r="AP324" s="65">
        <v>2</v>
      </c>
      <c r="AQ324" s="65" t="s">
        <v>355</v>
      </c>
      <c r="AR324" s="65" t="s">
        <v>202</v>
      </c>
      <c r="AS324" s="65">
        <v>1</v>
      </c>
      <c r="AT324" s="65">
        <v>1</v>
      </c>
      <c r="AU324" s="65" t="s">
        <v>1529</v>
      </c>
      <c r="AV324" s="65" t="s">
        <v>1439</v>
      </c>
      <c r="AW324" s="65" t="s">
        <v>202</v>
      </c>
      <c r="AX324" s="65" t="s">
        <v>202</v>
      </c>
      <c r="AY324" s="65" t="s">
        <v>202</v>
      </c>
    </row>
    <row r="325" spans="1:51" x14ac:dyDescent="0.2">
      <c r="A325" s="65" t="s">
        <v>1367</v>
      </c>
      <c r="B325" s="65" t="s">
        <v>47</v>
      </c>
      <c r="C325" s="65" t="s">
        <v>326</v>
      </c>
      <c r="D325" s="65" t="s">
        <v>2553</v>
      </c>
      <c r="E325" s="65" t="s">
        <v>353</v>
      </c>
      <c r="F325" s="65" t="s">
        <v>1872</v>
      </c>
      <c r="G325" s="65" t="s">
        <v>344</v>
      </c>
      <c r="H325" s="65" t="s">
        <v>2452</v>
      </c>
      <c r="I325" s="65" t="s">
        <v>2453</v>
      </c>
      <c r="J325" s="65">
        <v>3144345375</v>
      </c>
      <c r="K325" s="65" t="s">
        <v>2541</v>
      </c>
      <c r="L325" s="65" t="s">
        <v>2542</v>
      </c>
      <c r="M325" s="65" t="s">
        <v>363</v>
      </c>
      <c r="N325" s="65" t="s">
        <v>2543</v>
      </c>
      <c r="O325" s="65" t="s">
        <v>2457</v>
      </c>
      <c r="P325" s="65" t="s">
        <v>2458</v>
      </c>
      <c r="Q325" s="65" t="s">
        <v>2459</v>
      </c>
      <c r="R325" s="65" t="s">
        <v>2460</v>
      </c>
      <c r="S325" s="65" t="s">
        <v>2461</v>
      </c>
      <c r="T325" s="65" t="s">
        <v>2462</v>
      </c>
      <c r="U325" s="65" t="s">
        <v>2463</v>
      </c>
      <c r="V325" s="65" t="s">
        <v>2464</v>
      </c>
      <c r="W325" s="65" t="s">
        <v>2465</v>
      </c>
      <c r="X325" s="65" t="s">
        <v>2466</v>
      </c>
      <c r="Y325" s="65" t="s">
        <v>2554</v>
      </c>
      <c r="Z325" s="65" t="s">
        <v>1886</v>
      </c>
      <c r="AA325" s="65" t="s">
        <v>2555</v>
      </c>
      <c r="AB325" s="65">
        <v>3</v>
      </c>
      <c r="AC325" s="65" t="s">
        <v>2556</v>
      </c>
      <c r="AD325" s="65" t="s">
        <v>2304</v>
      </c>
      <c r="AE325" s="65" t="s">
        <v>2557</v>
      </c>
      <c r="AF325" s="65" t="s">
        <v>1437</v>
      </c>
      <c r="AG325" s="65">
        <v>2</v>
      </c>
      <c r="AH325" s="65">
        <v>1</v>
      </c>
      <c r="AI325" s="65">
        <v>2</v>
      </c>
      <c r="AJ325" s="65">
        <v>1</v>
      </c>
      <c r="AK325" s="65" t="s">
        <v>202</v>
      </c>
      <c r="AL325" s="128">
        <v>45083</v>
      </c>
      <c r="AM325" s="65">
        <v>5</v>
      </c>
      <c r="AN325" s="65">
        <v>1</v>
      </c>
      <c r="AO325" s="65" t="s">
        <v>202</v>
      </c>
      <c r="AP325" s="65">
        <v>2</v>
      </c>
      <c r="AQ325" s="65" t="s">
        <v>355</v>
      </c>
      <c r="AR325" s="65" t="s">
        <v>202</v>
      </c>
      <c r="AS325" s="65">
        <v>1</v>
      </c>
      <c r="AT325" s="65">
        <v>1</v>
      </c>
      <c r="AU325" s="65" t="s">
        <v>1529</v>
      </c>
      <c r="AV325" s="65" t="s">
        <v>1439</v>
      </c>
      <c r="AW325" s="65" t="s">
        <v>202</v>
      </c>
      <c r="AX325" s="65" t="s">
        <v>202</v>
      </c>
      <c r="AY325" s="65" t="s">
        <v>353</v>
      </c>
    </row>
    <row r="326" spans="1:51" x14ac:dyDescent="0.2">
      <c r="A326" s="65" t="s">
        <v>1367</v>
      </c>
      <c r="B326" s="65" t="s">
        <v>6</v>
      </c>
      <c r="C326" s="65" t="s">
        <v>103</v>
      </c>
      <c r="D326" s="65" t="s">
        <v>2558</v>
      </c>
      <c r="E326" s="65" t="s">
        <v>353</v>
      </c>
      <c r="F326" s="65" t="s">
        <v>1872</v>
      </c>
      <c r="G326" s="65" t="s">
        <v>344</v>
      </c>
      <c r="H326" s="65" t="s">
        <v>2452</v>
      </c>
      <c r="I326" s="65" t="s">
        <v>2453</v>
      </c>
      <c r="J326" s="65">
        <v>3144345375</v>
      </c>
      <c r="K326" s="65" t="s">
        <v>2541</v>
      </c>
      <c r="L326" s="65" t="s">
        <v>2542</v>
      </c>
      <c r="M326" s="65" t="s">
        <v>363</v>
      </c>
      <c r="N326" s="65" t="s">
        <v>2543</v>
      </c>
      <c r="O326" s="65" t="s">
        <v>2457</v>
      </c>
      <c r="P326" s="65" t="s">
        <v>2458</v>
      </c>
      <c r="Q326" s="65" t="s">
        <v>2459</v>
      </c>
      <c r="R326" s="65" t="s">
        <v>2460</v>
      </c>
      <c r="S326" s="65" t="s">
        <v>2461</v>
      </c>
      <c r="T326" s="65" t="s">
        <v>2462</v>
      </c>
      <c r="U326" s="65" t="s">
        <v>2463</v>
      </c>
      <c r="V326" s="65" t="s">
        <v>2464</v>
      </c>
      <c r="W326" s="65" t="s">
        <v>2465</v>
      </c>
      <c r="X326" s="65" t="s">
        <v>2466</v>
      </c>
      <c r="Y326" s="65" t="s">
        <v>2559</v>
      </c>
      <c r="Z326" s="65" t="s">
        <v>1886</v>
      </c>
      <c r="AA326" s="65" t="s">
        <v>2560</v>
      </c>
      <c r="AB326" s="65">
        <v>3</v>
      </c>
      <c r="AC326" s="65" t="s">
        <v>2561</v>
      </c>
      <c r="AD326" s="65" t="s">
        <v>2172</v>
      </c>
      <c r="AE326" s="65" t="s">
        <v>2562</v>
      </c>
      <c r="AF326" s="65" t="s">
        <v>1437</v>
      </c>
      <c r="AG326" s="65">
        <v>3</v>
      </c>
      <c r="AH326" s="65">
        <v>3</v>
      </c>
      <c r="AI326" s="65">
        <v>2</v>
      </c>
      <c r="AJ326" s="65">
        <v>2</v>
      </c>
      <c r="AK326" s="65" t="s">
        <v>202</v>
      </c>
      <c r="AL326" s="128">
        <v>45016</v>
      </c>
      <c r="AM326" s="65">
        <v>6</v>
      </c>
      <c r="AN326" s="65">
        <v>2</v>
      </c>
      <c r="AO326" s="65" t="s">
        <v>202</v>
      </c>
      <c r="AP326" s="65">
        <v>4</v>
      </c>
      <c r="AQ326" s="65" t="s">
        <v>355</v>
      </c>
      <c r="AR326" s="65" t="s">
        <v>202</v>
      </c>
      <c r="AS326" s="65">
        <v>1</v>
      </c>
      <c r="AT326" s="65">
        <v>1</v>
      </c>
      <c r="AU326" s="65" t="s">
        <v>1438</v>
      </c>
      <c r="AV326" s="65" t="s">
        <v>1439</v>
      </c>
      <c r="AW326" s="65" t="s">
        <v>202</v>
      </c>
      <c r="AX326" s="65" t="s">
        <v>202</v>
      </c>
      <c r="AY326" s="65" t="s">
        <v>202</v>
      </c>
    </row>
    <row r="327" spans="1:51" x14ac:dyDescent="0.2">
      <c r="A327" s="65" t="s">
        <v>1367</v>
      </c>
      <c r="B327" s="65" t="s">
        <v>37</v>
      </c>
      <c r="C327" s="65" t="s">
        <v>134</v>
      </c>
      <c r="D327" s="65" t="s">
        <v>2563</v>
      </c>
      <c r="E327" s="65" t="s">
        <v>353</v>
      </c>
      <c r="F327" s="65" t="s">
        <v>1872</v>
      </c>
      <c r="G327" s="65" t="s">
        <v>344</v>
      </c>
      <c r="H327" s="65" t="s">
        <v>2452</v>
      </c>
      <c r="I327" s="65" t="s">
        <v>2453</v>
      </c>
      <c r="J327" s="65">
        <v>3144345375</v>
      </c>
      <c r="K327" s="65" t="s">
        <v>2541</v>
      </c>
      <c r="L327" s="65" t="s">
        <v>2542</v>
      </c>
      <c r="M327" s="65" t="s">
        <v>363</v>
      </c>
      <c r="N327" s="65" t="s">
        <v>2543</v>
      </c>
      <c r="O327" s="65" t="s">
        <v>2457</v>
      </c>
      <c r="P327" s="65" t="s">
        <v>2458</v>
      </c>
      <c r="Q327" s="65" t="s">
        <v>2459</v>
      </c>
      <c r="R327" s="65" t="s">
        <v>2460</v>
      </c>
      <c r="S327" s="65" t="s">
        <v>2461</v>
      </c>
      <c r="T327" s="65" t="s">
        <v>2462</v>
      </c>
      <c r="U327" s="65" t="s">
        <v>2463</v>
      </c>
      <c r="V327" s="65" t="s">
        <v>2464</v>
      </c>
      <c r="W327" s="65" t="s">
        <v>2465</v>
      </c>
      <c r="X327" s="65" t="s">
        <v>2466</v>
      </c>
      <c r="Y327" s="65" t="s">
        <v>2564</v>
      </c>
      <c r="Z327" s="65" t="s">
        <v>1886</v>
      </c>
      <c r="AA327" s="65" t="s">
        <v>2565</v>
      </c>
      <c r="AB327" s="65">
        <v>3</v>
      </c>
      <c r="AC327" s="65" t="s">
        <v>2491</v>
      </c>
      <c r="AD327" s="65" t="s">
        <v>2566</v>
      </c>
      <c r="AE327" s="65" t="s">
        <v>2567</v>
      </c>
      <c r="AF327" s="65" t="s">
        <v>1437</v>
      </c>
      <c r="AG327" s="65">
        <v>4</v>
      </c>
      <c r="AH327" s="65">
        <v>4</v>
      </c>
      <c r="AI327" s="65">
        <v>2</v>
      </c>
      <c r="AJ327" s="65">
        <v>2</v>
      </c>
      <c r="AK327" s="65" t="s">
        <v>202</v>
      </c>
      <c r="AL327" s="128">
        <v>44999</v>
      </c>
      <c r="AM327" s="65">
        <v>4</v>
      </c>
      <c r="AN327" s="65">
        <v>2</v>
      </c>
      <c r="AO327" s="65" t="s">
        <v>202</v>
      </c>
      <c r="AP327" s="65">
        <v>4</v>
      </c>
      <c r="AQ327" s="65" t="s">
        <v>355</v>
      </c>
      <c r="AR327" s="65" t="s">
        <v>202</v>
      </c>
      <c r="AS327" s="65">
        <v>1</v>
      </c>
      <c r="AT327" s="65">
        <v>1</v>
      </c>
      <c r="AU327" s="65" t="s">
        <v>1438</v>
      </c>
      <c r="AV327" s="65" t="s">
        <v>1439</v>
      </c>
      <c r="AW327" s="65" t="s">
        <v>202</v>
      </c>
      <c r="AX327" s="65" t="s">
        <v>202</v>
      </c>
      <c r="AY327" s="65" t="s">
        <v>202</v>
      </c>
    </row>
    <row r="328" spans="1:51" x14ac:dyDescent="0.2">
      <c r="A328" s="65" t="s">
        <v>1367</v>
      </c>
      <c r="B328" s="65" t="s">
        <v>43</v>
      </c>
      <c r="C328" s="65" t="s">
        <v>140</v>
      </c>
      <c r="D328" s="65" t="s">
        <v>2568</v>
      </c>
      <c r="E328" s="65" t="s">
        <v>353</v>
      </c>
      <c r="F328" s="65" t="s">
        <v>1872</v>
      </c>
      <c r="G328" s="65" t="s">
        <v>344</v>
      </c>
      <c r="H328" s="65" t="s">
        <v>2452</v>
      </c>
      <c r="I328" s="65" t="s">
        <v>2453</v>
      </c>
      <c r="J328" s="65">
        <v>3144345375</v>
      </c>
      <c r="K328" s="65" t="s">
        <v>2541</v>
      </c>
      <c r="L328" s="65" t="s">
        <v>2542</v>
      </c>
      <c r="M328" s="65" t="s">
        <v>363</v>
      </c>
      <c r="N328" s="65" t="s">
        <v>2543</v>
      </c>
      <c r="O328" s="65" t="s">
        <v>2457</v>
      </c>
      <c r="P328" s="65" t="s">
        <v>2458</v>
      </c>
      <c r="Q328" s="65" t="s">
        <v>2459</v>
      </c>
      <c r="R328" s="65" t="s">
        <v>2460</v>
      </c>
      <c r="S328" s="65" t="s">
        <v>2461</v>
      </c>
      <c r="T328" s="65" t="s">
        <v>2462</v>
      </c>
      <c r="U328" s="65" t="s">
        <v>2463</v>
      </c>
      <c r="V328" s="65" t="s">
        <v>2464</v>
      </c>
      <c r="W328" s="65" t="s">
        <v>2465</v>
      </c>
      <c r="X328" s="65" t="s">
        <v>2466</v>
      </c>
      <c r="Y328" s="65" t="s">
        <v>140</v>
      </c>
      <c r="Z328" s="65" t="s">
        <v>1886</v>
      </c>
      <c r="AA328" s="65" t="s">
        <v>2569</v>
      </c>
      <c r="AB328" s="65">
        <v>3</v>
      </c>
      <c r="AC328" s="65" t="s">
        <v>2570</v>
      </c>
      <c r="AD328" s="65" t="s">
        <v>2525</v>
      </c>
      <c r="AE328" s="65" t="s">
        <v>2571</v>
      </c>
      <c r="AF328" s="65" t="s">
        <v>1437</v>
      </c>
      <c r="AG328" s="65">
        <v>1</v>
      </c>
      <c r="AH328" s="65">
        <v>1</v>
      </c>
      <c r="AI328" s="65">
        <v>2</v>
      </c>
      <c r="AJ328" s="65">
        <v>2</v>
      </c>
      <c r="AK328" s="65" t="s">
        <v>202</v>
      </c>
      <c r="AL328" s="128">
        <v>45073</v>
      </c>
      <c r="AM328" s="65">
        <v>3</v>
      </c>
      <c r="AN328" s="65">
        <v>1</v>
      </c>
      <c r="AO328" s="65" t="s">
        <v>202</v>
      </c>
      <c r="AP328" s="65">
        <v>2</v>
      </c>
      <c r="AQ328" s="65" t="s">
        <v>355</v>
      </c>
      <c r="AR328" s="65" t="s">
        <v>202</v>
      </c>
      <c r="AS328" s="65">
        <v>1</v>
      </c>
      <c r="AT328" s="65">
        <v>1</v>
      </c>
      <c r="AU328" s="65" t="s">
        <v>1529</v>
      </c>
      <c r="AV328" s="65" t="s">
        <v>1439</v>
      </c>
      <c r="AW328" s="65" t="s">
        <v>202</v>
      </c>
      <c r="AX328" s="65" t="s">
        <v>202</v>
      </c>
      <c r="AY328" s="65" t="s">
        <v>202</v>
      </c>
    </row>
    <row r="329" spans="1:51" x14ac:dyDescent="0.2">
      <c r="A329" s="65" t="s">
        <v>1367</v>
      </c>
      <c r="B329" s="65" t="s">
        <v>50</v>
      </c>
      <c r="C329" s="65" t="s">
        <v>147</v>
      </c>
      <c r="D329" s="65" t="s">
        <v>2572</v>
      </c>
      <c r="E329" s="65" t="s">
        <v>353</v>
      </c>
      <c r="F329" s="65" t="s">
        <v>1872</v>
      </c>
      <c r="G329" s="65" t="s">
        <v>344</v>
      </c>
      <c r="H329" s="65" t="s">
        <v>2452</v>
      </c>
      <c r="I329" s="65" t="s">
        <v>2453</v>
      </c>
      <c r="J329" s="65">
        <v>3144345375</v>
      </c>
      <c r="K329" s="65" t="s">
        <v>2541</v>
      </c>
      <c r="L329" s="65" t="s">
        <v>2542</v>
      </c>
      <c r="M329" s="65" t="s">
        <v>363</v>
      </c>
      <c r="N329" s="65" t="s">
        <v>2543</v>
      </c>
      <c r="O329" s="65" t="s">
        <v>2457</v>
      </c>
      <c r="P329" s="65" t="s">
        <v>2458</v>
      </c>
      <c r="Q329" s="65" t="s">
        <v>2459</v>
      </c>
      <c r="R329" s="65" t="s">
        <v>2460</v>
      </c>
      <c r="S329" s="65" t="s">
        <v>2461</v>
      </c>
      <c r="T329" s="65" t="s">
        <v>2462</v>
      </c>
      <c r="U329" s="65" t="s">
        <v>2463</v>
      </c>
      <c r="V329" s="65" t="s">
        <v>2464</v>
      </c>
      <c r="W329" s="65" t="s">
        <v>2465</v>
      </c>
      <c r="X329" s="65" t="s">
        <v>2466</v>
      </c>
      <c r="Y329" s="65" t="s">
        <v>2573</v>
      </c>
      <c r="Z329" s="65" t="s">
        <v>1886</v>
      </c>
      <c r="AA329" s="65" t="s">
        <v>2574</v>
      </c>
      <c r="AB329" s="65">
        <v>3</v>
      </c>
      <c r="AC329" s="65" t="s">
        <v>2575</v>
      </c>
      <c r="AD329" s="65" t="s">
        <v>1588</v>
      </c>
      <c r="AE329" s="65" t="s">
        <v>2576</v>
      </c>
      <c r="AF329" s="65" t="s">
        <v>1437</v>
      </c>
      <c r="AG329" s="65">
        <v>2</v>
      </c>
      <c r="AH329" s="65">
        <v>1</v>
      </c>
      <c r="AI329" s="65">
        <v>2</v>
      </c>
      <c r="AJ329" s="65">
        <v>2</v>
      </c>
      <c r="AK329" s="65" t="s">
        <v>202</v>
      </c>
      <c r="AL329" s="128">
        <v>45088</v>
      </c>
      <c r="AM329" s="65">
        <v>5</v>
      </c>
      <c r="AN329" s="65">
        <v>2</v>
      </c>
      <c r="AO329" s="65" t="s">
        <v>202</v>
      </c>
      <c r="AP329" s="65">
        <v>2</v>
      </c>
      <c r="AQ329" s="65" t="s">
        <v>355</v>
      </c>
      <c r="AR329" s="65" t="s">
        <v>202</v>
      </c>
      <c r="AS329" s="65">
        <v>1</v>
      </c>
      <c r="AT329" s="65">
        <v>1</v>
      </c>
      <c r="AU329" s="65" t="s">
        <v>1438</v>
      </c>
      <c r="AV329" s="65" t="s">
        <v>1439</v>
      </c>
      <c r="AW329" s="65" t="s">
        <v>202</v>
      </c>
      <c r="AX329" s="65" t="s">
        <v>202</v>
      </c>
      <c r="AY329" s="65" t="s">
        <v>202</v>
      </c>
    </row>
    <row r="330" spans="1:51" x14ac:dyDescent="0.2">
      <c r="A330" s="65" t="s">
        <v>1367</v>
      </c>
      <c r="B330" s="65" t="s">
        <v>55</v>
      </c>
      <c r="C330" s="65" t="s">
        <v>521</v>
      </c>
      <c r="D330" s="65" t="s">
        <v>2577</v>
      </c>
      <c r="E330" s="65" t="s">
        <v>353</v>
      </c>
      <c r="F330" s="65" t="s">
        <v>1872</v>
      </c>
      <c r="G330" s="65" t="s">
        <v>344</v>
      </c>
      <c r="H330" s="65" t="s">
        <v>2452</v>
      </c>
      <c r="I330" s="65" t="s">
        <v>2453</v>
      </c>
      <c r="J330" s="65">
        <v>3144345375</v>
      </c>
      <c r="K330" s="65" t="s">
        <v>2541</v>
      </c>
      <c r="L330" s="65" t="s">
        <v>2542</v>
      </c>
      <c r="M330" s="65" t="s">
        <v>363</v>
      </c>
      <c r="N330" s="65" t="s">
        <v>2543</v>
      </c>
      <c r="O330" s="65" t="s">
        <v>2457</v>
      </c>
      <c r="P330" s="65" t="s">
        <v>2458</v>
      </c>
      <c r="Q330" s="65" t="s">
        <v>2459</v>
      </c>
      <c r="R330" s="65" t="s">
        <v>2460</v>
      </c>
      <c r="S330" s="65" t="s">
        <v>2461</v>
      </c>
      <c r="T330" s="65" t="s">
        <v>2462</v>
      </c>
      <c r="U330" s="65" t="s">
        <v>2463</v>
      </c>
      <c r="V330" s="65" t="s">
        <v>2464</v>
      </c>
      <c r="W330" s="65" t="s">
        <v>2465</v>
      </c>
      <c r="X330" s="65" t="s">
        <v>2466</v>
      </c>
      <c r="Y330" s="65" t="s">
        <v>2578</v>
      </c>
      <c r="Z330" s="65" t="s">
        <v>1886</v>
      </c>
      <c r="AA330" s="65" t="s">
        <v>2579</v>
      </c>
      <c r="AB330" s="65">
        <v>3</v>
      </c>
      <c r="AC330" s="65" t="s">
        <v>2580</v>
      </c>
      <c r="AD330" s="65" t="s">
        <v>1570</v>
      </c>
      <c r="AE330" s="65" t="s">
        <v>2581</v>
      </c>
      <c r="AF330" s="65" t="s">
        <v>1437</v>
      </c>
      <c r="AG330" s="65">
        <v>3</v>
      </c>
      <c r="AH330" s="65">
        <v>3</v>
      </c>
      <c r="AI330" s="65">
        <v>2</v>
      </c>
      <c r="AJ330" s="65">
        <v>2</v>
      </c>
      <c r="AK330" s="65" t="s">
        <v>202</v>
      </c>
      <c r="AL330" s="128">
        <v>45535</v>
      </c>
      <c r="AM330" s="65">
        <v>6</v>
      </c>
      <c r="AN330" s="65">
        <v>2</v>
      </c>
      <c r="AO330" s="65" t="s">
        <v>202</v>
      </c>
      <c r="AP330" s="65">
        <v>3</v>
      </c>
      <c r="AQ330" s="65" t="s">
        <v>355</v>
      </c>
      <c r="AR330" s="65" t="s">
        <v>353</v>
      </c>
      <c r="AS330" s="65">
        <v>1</v>
      </c>
      <c r="AT330" s="65">
        <v>1</v>
      </c>
      <c r="AU330" s="65" t="s">
        <v>1477</v>
      </c>
      <c r="AV330" s="65" t="s">
        <v>1439</v>
      </c>
      <c r="AW330" s="65" t="s">
        <v>202</v>
      </c>
      <c r="AX330" s="65" t="s">
        <v>202</v>
      </c>
      <c r="AY330" s="65" t="s">
        <v>353</v>
      </c>
    </row>
    <row r="331" spans="1:51" x14ac:dyDescent="0.2">
      <c r="A331" s="65" t="s">
        <v>1367</v>
      </c>
      <c r="B331" s="65" t="s">
        <v>19</v>
      </c>
      <c r="C331" s="65" t="s">
        <v>524</v>
      </c>
      <c r="D331" s="65" t="s">
        <v>2582</v>
      </c>
      <c r="E331" s="65" t="s">
        <v>353</v>
      </c>
      <c r="F331" s="65" t="s">
        <v>1872</v>
      </c>
      <c r="G331" s="65" t="s">
        <v>344</v>
      </c>
      <c r="H331" s="65" t="s">
        <v>2452</v>
      </c>
      <c r="I331" s="65" t="s">
        <v>2453</v>
      </c>
      <c r="J331" s="65">
        <v>3144345375</v>
      </c>
      <c r="K331" s="65" t="s">
        <v>2541</v>
      </c>
      <c r="L331" s="65" t="s">
        <v>2542</v>
      </c>
      <c r="M331" s="65" t="s">
        <v>363</v>
      </c>
      <c r="N331" s="65" t="s">
        <v>2543</v>
      </c>
      <c r="O331" s="65" t="s">
        <v>2457</v>
      </c>
      <c r="P331" s="65" t="s">
        <v>2458</v>
      </c>
      <c r="Q331" s="65" t="s">
        <v>2459</v>
      </c>
      <c r="R331" s="65" t="s">
        <v>2460</v>
      </c>
      <c r="S331" s="65" t="s">
        <v>2461</v>
      </c>
      <c r="T331" s="65" t="s">
        <v>2462</v>
      </c>
      <c r="U331" s="65" t="s">
        <v>2463</v>
      </c>
      <c r="V331" s="65" t="s">
        <v>2464</v>
      </c>
      <c r="W331" s="65" t="s">
        <v>2465</v>
      </c>
      <c r="X331" s="65" t="s">
        <v>2466</v>
      </c>
      <c r="Y331" s="65" t="s">
        <v>2564</v>
      </c>
      <c r="Z331" s="65" t="s">
        <v>1886</v>
      </c>
      <c r="AA331" s="65" t="s">
        <v>2583</v>
      </c>
      <c r="AB331" s="65">
        <v>3</v>
      </c>
      <c r="AC331" s="65" t="s">
        <v>1570</v>
      </c>
      <c r="AD331" s="65" t="s">
        <v>1558</v>
      </c>
      <c r="AE331" s="65" t="s">
        <v>2584</v>
      </c>
      <c r="AF331" s="65" t="s">
        <v>1437</v>
      </c>
      <c r="AG331" s="65">
        <v>2</v>
      </c>
      <c r="AH331" s="65">
        <v>3</v>
      </c>
      <c r="AI331" s="65">
        <v>2</v>
      </c>
      <c r="AJ331" s="65">
        <v>2</v>
      </c>
      <c r="AK331" s="65" t="s">
        <v>202</v>
      </c>
      <c r="AL331" s="128">
        <v>45563</v>
      </c>
      <c r="AM331" s="65">
        <v>6</v>
      </c>
      <c r="AN331" s="65">
        <v>2</v>
      </c>
      <c r="AO331" s="65" t="s">
        <v>202</v>
      </c>
      <c r="AP331" s="65">
        <v>3</v>
      </c>
      <c r="AQ331" s="65" t="s">
        <v>355</v>
      </c>
      <c r="AR331" s="65" t="s">
        <v>353</v>
      </c>
      <c r="AS331" s="65">
        <v>1</v>
      </c>
      <c r="AT331" s="65">
        <v>1</v>
      </c>
      <c r="AU331" s="65" t="s">
        <v>1438</v>
      </c>
      <c r="AV331" s="65" t="s">
        <v>1439</v>
      </c>
      <c r="AW331" s="65" t="s">
        <v>202</v>
      </c>
      <c r="AX331" s="65" t="s">
        <v>202</v>
      </c>
      <c r="AY331" s="65" t="s">
        <v>353</v>
      </c>
    </row>
    <row r="332" spans="1:51" x14ac:dyDescent="0.2">
      <c r="A332" s="65" t="s">
        <v>1367</v>
      </c>
      <c r="B332" s="65" t="s">
        <v>84</v>
      </c>
      <c r="C332" s="65" t="s">
        <v>181</v>
      </c>
      <c r="D332" s="65" t="s">
        <v>2585</v>
      </c>
      <c r="E332" s="65" t="s">
        <v>353</v>
      </c>
      <c r="F332" s="65" t="s">
        <v>1872</v>
      </c>
      <c r="G332" s="65" t="s">
        <v>344</v>
      </c>
      <c r="H332" s="65" t="s">
        <v>2452</v>
      </c>
      <c r="I332" s="65" t="s">
        <v>2453</v>
      </c>
      <c r="J332" s="65">
        <v>3144345375</v>
      </c>
      <c r="K332" s="65" t="s">
        <v>2541</v>
      </c>
      <c r="L332" s="65" t="s">
        <v>2542</v>
      </c>
      <c r="M332" s="65" t="s">
        <v>363</v>
      </c>
      <c r="N332" s="65" t="s">
        <v>2543</v>
      </c>
      <c r="O332" s="65" t="s">
        <v>2457</v>
      </c>
      <c r="P332" s="65" t="s">
        <v>2458</v>
      </c>
      <c r="Q332" s="65" t="s">
        <v>2459</v>
      </c>
      <c r="R332" s="65" t="s">
        <v>2460</v>
      </c>
      <c r="S332" s="65" t="s">
        <v>2461</v>
      </c>
      <c r="T332" s="65" t="s">
        <v>2462</v>
      </c>
      <c r="U332" s="65" t="s">
        <v>2463</v>
      </c>
      <c r="V332" s="65" t="s">
        <v>2464</v>
      </c>
      <c r="W332" s="65" t="s">
        <v>2465</v>
      </c>
      <c r="X332" s="65" t="s">
        <v>2466</v>
      </c>
      <c r="Y332" s="65" t="s">
        <v>2554</v>
      </c>
      <c r="Z332" s="65" t="s">
        <v>1886</v>
      </c>
      <c r="AA332" s="65" t="s">
        <v>2586</v>
      </c>
      <c r="AB332" s="65">
        <v>4</v>
      </c>
      <c r="AC332" s="65" t="s">
        <v>2587</v>
      </c>
      <c r="AD332" s="65" t="s">
        <v>2588</v>
      </c>
      <c r="AE332" s="65" t="s">
        <v>2589</v>
      </c>
      <c r="AF332" s="65" t="s">
        <v>1437</v>
      </c>
      <c r="AG332" s="65">
        <v>3</v>
      </c>
      <c r="AH332" s="65">
        <v>4</v>
      </c>
      <c r="AI332" s="65">
        <v>2</v>
      </c>
      <c r="AJ332" s="65">
        <v>2</v>
      </c>
      <c r="AK332" s="65" t="s">
        <v>202</v>
      </c>
      <c r="AL332" s="129">
        <v>45626</v>
      </c>
      <c r="AM332" s="65">
        <v>6</v>
      </c>
      <c r="AN332" s="65">
        <v>2</v>
      </c>
      <c r="AO332" s="65" t="s">
        <v>202</v>
      </c>
      <c r="AP332" s="65">
        <v>3</v>
      </c>
      <c r="AQ332" s="65" t="s">
        <v>355</v>
      </c>
      <c r="AR332" s="65" t="s">
        <v>353</v>
      </c>
      <c r="AS332" s="65">
        <v>0</v>
      </c>
      <c r="AT332" s="65">
        <v>0</v>
      </c>
      <c r="AU332" s="65" t="s">
        <v>1477</v>
      </c>
      <c r="AV332" s="65" t="s">
        <v>198</v>
      </c>
      <c r="AW332" s="65" t="s">
        <v>202</v>
      </c>
      <c r="AX332" s="65" t="s">
        <v>202</v>
      </c>
      <c r="AY332" s="65" t="s">
        <v>353</v>
      </c>
    </row>
    <row r="333" spans="1:51" x14ac:dyDescent="0.2">
      <c r="A333" s="65" t="s">
        <v>1367</v>
      </c>
      <c r="B333" s="65" t="s">
        <v>85</v>
      </c>
      <c r="C333" s="65" t="s">
        <v>182</v>
      </c>
      <c r="D333" s="65" t="s">
        <v>2590</v>
      </c>
      <c r="E333" s="65" t="s">
        <v>353</v>
      </c>
      <c r="F333" s="65" t="s">
        <v>1872</v>
      </c>
      <c r="G333" s="65" t="s">
        <v>344</v>
      </c>
      <c r="H333" s="65" t="s">
        <v>2452</v>
      </c>
      <c r="I333" s="65" t="s">
        <v>2453</v>
      </c>
      <c r="J333" s="65">
        <v>3144345375</v>
      </c>
      <c r="K333" s="65" t="s">
        <v>2541</v>
      </c>
      <c r="L333" s="65" t="s">
        <v>2542</v>
      </c>
      <c r="M333" s="65" t="s">
        <v>363</v>
      </c>
      <c r="N333" s="65" t="s">
        <v>2543</v>
      </c>
      <c r="O333" s="65" t="s">
        <v>2457</v>
      </c>
      <c r="P333" s="65" t="s">
        <v>2458</v>
      </c>
      <c r="Q333" s="65" t="s">
        <v>2459</v>
      </c>
      <c r="R333" s="65" t="s">
        <v>2460</v>
      </c>
      <c r="S333" s="65" t="s">
        <v>2461</v>
      </c>
      <c r="T333" s="65" t="s">
        <v>2462</v>
      </c>
      <c r="U333" s="65" t="s">
        <v>2463</v>
      </c>
      <c r="V333" s="65" t="s">
        <v>2464</v>
      </c>
      <c r="W333" s="65" t="s">
        <v>2465</v>
      </c>
      <c r="X333" s="65" t="s">
        <v>2466</v>
      </c>
      <c r="Y333" s="65" t="s">
        <v>2591</v>
      </c>
      <c r="Z333" s="65" t="s">
        <v>1886</v>
      </c>
      <c r="AA333" s="65" t="s">
        <v>2592</v>
      </c>
      <c r="AB333" s="65">
        <v>4</v>
      </c>
      <c r="AC333" s="65" t="s">
        <v>2593</v>
      </c>
      <c r="AD333" s="65" t="s">
        <v>2594</v>
      </c>
      <c r="AE333" s="65" t="s">
        <v>2595</v>
      </c>
      <c r="AF333" s="65" t="s">
        <v>1437</v>
      </c>
      <c r="AG333" s="65">
        <v>4</v>
      </c>
      <c r="AH333" s="65">
        <v>5</v>
      </c>
      <c r="AI333" s="65">
        <v>2</v>
      </c>
      <c r="AJ333" s="65">
        <v>2</v>
      </c>
      <c r="AK333" s="65" t="s">
        <v>202</v>
      </c>
      <c r="AL333" s="129">
        <v>45654</v>
      </c>
      <c r="AM333" s="65">
        <v>6</v>
      </c>
      <c r="AN333" s="65">
        <v>2</v>
      </c>
      <c r="AO333" s="65" t="s">
        <v>202</v>
      </c>
      <c r="AP333" s="65">
        <v>3</v>
      </c>
      <c r="AQ333" s="65" t="s">
        <v>354</v>
      </c>
      <c r="AR333" s="65" t="s">
        <v>353</v>
      </c>
      <c r="AS333" s="65">
        <v>0</v>
      </c>
      <c r="AT333" s="65">
        <v>0</v>
      </c>
      <c r="AU333" s="65" t="s">
        <v>1477</v>
      </c>
      <c r="AV333" s="65" t="s">
        <v>198</v>
      </c>
      <c r="AW333" s="65" t="s">
        <v>353</v>
      </c>
      <c r="AX333" s="65" t="s">
        <v>202</v>
      </c>
      <c r="AY333" s="65" t="s">
        <v>353</v>
      </c>
    </row>
    <row r="334" spans="1:51" x14ac:dyDescent="0.2">
      <c r="A334" s="65" t="s">
        <v>1367</v>
      </c>
      <c r="B334" s="65" t="s">
        <v>22</v>
      </c>
      <c r="C334" s="65" t="s">
        <v>587</v>
      </c>
      <c r="D334" s="65" t="s">
        <v>2596</v>
      </c>
      <c r="E334" s="65" t="s">
        <v>353</v>
      </c>
      <c r="F334" s="65" t="s">
        <v>1872</v>
      </c>
      <c r="G334" s="65" t="s">
        <v>344</v>
      </c>
      <c r="H334" s="65" t="s">
        <v>2452</v>
      </c>
      <c r="I334" s="65" t="s">
        <v>2453</v>
      </c>
      <c r="J334" s="65">
        <v>3144345375</v>
      </c>
      <c r="K334" s="65" t="s">
        <v>2541</v>
      </c>
      <c r="L334" s="65" t="s">
        <v>2542</v>
      </c>
      <c r="M334" s="65" t="s">
        <v>363</v>
      </c>
      <c r="N334" s="65" t="s">
        <v>2543</v>
      </c>
      <c r="O334" s="65" t="s">
        <v>2457</v>
      </c>
      <c r="P334" s="65" t="s">
        <v>2458</v>
      </c>
      <c r="Q334" s="65" t="s">
        <v>2459</v>
      </c>
      <c r="R334" s="65" t="s">
        <v>2460</v>
      </c>
      <c r="S334" s="65" t="s">
        <v>2461</v>
      </c>
      <c r="T334" s="65" t="s">
        <v>2462</v>
      </c>
      <c r="U334" s="65" t="s">
        <v>2463</v>
      </c>
      <c r="V334" s="65" t="s">
        <v>2464</v>
      </c>
      <c r="W334" s="65" t="s">
        <v>2465</v>
      </c>
      <c r="X334" s="65" t="s">
        <v>2466</v>
      </c>
      <c r="Y334" s="65" t="s">
        <v>2554</v>
      </c>
      <c r="Z334" s="65" t="s">
        <v>1886</v>
      </c>
      <c r="AA334" s="65" t="s">
        <v>2597</v>
      </c>
      <c r="AB334" s="65">
        <v>4</v>
      </c>
      <c r="AC334" s="65" t="s">
        <v>1558</v>
      </c>
      <c r="AD334" s="65" t="s">
        <v>2295</v>
      </c>
      <c r="AE334" s="65" t="s">
        <v>2598</v>
      </c>
      <c r="AF334" s="65" t="s">
        <v>1437</v>
      </c>
      <c r="AG334" s="65">
        <v>1</v>
      </c>
      <c r="AH334" s="65">
        <v>2</v>
      </c>
      <c r="AI334" s="65">
        <v>2</v>
      </c>
      <c r="AJ334" s="65">
        <v>2</v>
      </c>
      <c r="AK334" s="65" t="s">
        <v>202</v>
      </c>
      <c r="AL334" s="129">
        <v>45647</v>
      </c>
      <c r="AM334" s="65">
        <v>6</v>
      </c>
      <c r="AN334" s="65">
        <v>2</v>
      </c>
      <c r="AO334" s="65" t="s">
        <v>202</v>
      </c>
      <c r="AP334" s="65">
        <v>3</v>
      </c>
      <c r="AQ334" s="65" t="s">
        <v>355</v>
      </c>
      <c r="AR334" s="65" t="s">
        <v>353</v>
      </c>
      <c r="AS334" s="65">
        <v>0</v>
      </c>
      <c r="AT334" s="65">
        <v>0</v>
      </c>
      <c r="AU334" s="65" t="s">
        <v>1438</v>
      </c>
      <c r="AV334" s="65" t="s">
        <v>198</v>
      </c>
      <c r="AW334" s="65" t="s">
        <v>202</v>
      </c>
      <c r="AX334" s="65" t="s">
        <v>202</v>
      </c>
      <c r="AY334" s="65" t="s">
        <v>353</v>
      </c>
    </row>
    <row r="335" spans="1:51" x14ac:dyDescent="0.2">
      <c r="A335" s="65" t="s">
        <v>1367</v>
      </c>
      <c r="B335" s="65" t="s">
        <v>86</v>
      </c>
      <c r="C335" s="65" t="s">
        <v>334</v>
      </c>
      <c r="D335" s="65" t="s">
        <v>2599</v>
      </c>
      <c r="E335" s="65" t="s">
        <v>353</v>
      </c>
      <c r="F335" s="65" t="s">
        <v>1872</v>
      </c>
      <c r="G335" s="65" t="s">
        <v>344</v>
      </c>
      <c r="H335" s="65" t="s">
        <v>2452</v>
      </c>
      <c r="I335" s="65" t="s">
        <v>2453</v>
      </c>
      <c r="J335" s="65">
        <v>3144345375</v>
      </c>
      <c r="K335" s="65" t="s">
        <v>2541</v>
      </c>
      <c r="L335" s="65" t="s">
        <v>2542</v>
      </c>
      <c r="M335" s="65" t="s">
        <v>363</v>
      </c>
      <c r="N335" s="65" t="s">
        <v>2543</v>
      </c>
      <c r="O335" s="65" t="s">
        <v>2457</v>
      </c>
      <c r="P335" s="65" t="s">
        <v>2458</v>
      </c>
      <c r="Q335" s="65" t="s">
        <v>2459</v>
      </c>
      <c r="R335" s="65" t="s">
        <v>2460</v>
      </c>
      <c r="S335" s="65" t="s">
        <v>2461</v>
      </c>
      <c r="T335" s="65" t="s">
        <v>2462</v>
      </c>
      <c r="U335" s="65" t="s">
        <v>2463</v>
      </c>
      <c r="V335" s="65" t="s">
        <v>2464</v>
      </c>
      <c r="W335" s="65" t="s">
        <v>2465</v>
      </c>
      <c r="X335" s="65" t="s">
        <v>2466</v>
      </c>
      <c r="Y335" s="65" t="s">
        <v>2544</v>
      </c>
      <c r="Z335" s="65" t="s">
        <v>1886</v>
      </c>
      <c r="AA335" s="65" t="s">
        <v>2600</v>
      </c>
      <c r="AB335" s="65">
        <v>3</v>
      </c>
      <c r="AC335" s="65" t="s">
        <v>2071</v>
      </c>
      <c r="AD335" s="65" t="s">
        <v>2257</v>
      </c>
      <c r="AE335" s="65" t="s">
        <v>2601</v>
      </c>
      <c r="AF335" s="65" t="s">
        <v>1437</v>
      </c>
      <c r="AG335" s="65">
        <v>2</v>
      </c>
      <c r="AH335" s="65">
        <v>1</v>
      </c>
      <c r="AI335" s="65">
        <v>2</v>
      </c>
      <c r="AJ335" s="65">
        <v>2</v>
      </c>
      <c r="AK335" s="65" t="s">
        <v>202</v>
      </c>
      <c r="AL335" s="128">
        <v>45688</v>
      </c>
      <c r="AM335" s="65">
        <v>6</v>
      </c>
      <c r="AN335" s="65">
        <v>2</v>
      </c>
      <c r="AO335" s="65" t="s">
        <v>202</v>
      </c>
      <c r="AP335" s="65">
        <v>3</v>
      </c>
      <c r="AQ335" s="65" t="s">
        <v>354</v>
      </c>
      <c r="AR335" s="65" t="s">
        <v>353</v>
      </c>
      <c r="AS335" s="65">
        <v>0</v>
      </c>
      <c r="AT335" s="65">
        <v>0</v>
      </c>
      <c r="AU335" s="65" t="s">
        <v>1438</v>
      </c>
      <c r="AV335" s="65" t="s">
        <v>1439</v>
      </c>
      <c r="AW335" s="65" t="s">
        <v>353</v>
      </c>
      <c r="AX335" s="65" t="s">
        <v>202</v>
      </c>
      <c r="AY335" s="65" t="s">
        <v>353</v>
      </c>
    </row>
    <row r="336" spans="1:51" x14ac:dyDescent="0.2">
      <c r="A336" s="65" t="s">
        <v>1367</v>
      </c>
      <c r="B336" s="65" t="s">
        <v>58</v>
      </c>
      <c r="C336" s="65" t="s">
        <v>735</v>
      </c>
      <c r="D336" s="65" t="s">
        <v>2602</v>
      </c>
      <c r="E336" s="65" t="s">
        <v>353</v>
      </c>
      <c r="F336" s="65" t="s">
        <v>1872</v>
      </c>
      <c r="G336" s="65" t="s">
        <v>344</v>
      </c>
      <c r="H336" s="65" t="s">
        <v>2452</v>
      </c>
      <c r="I336" s="65" t="s">
        <v>2453</v>
      </c>
      <c r="J336" s="65">
        <v>3144345375</v>
      </c>
      <c r="K336" s="65" t="s">
        <v>2541</v>
      </c>
      <c r="L336" s="65" t="s">
        <v>2542</v>
      </c>
      <c r="M336" s="65" t="s">
        <v>363</v>
      </c>
      <c r="N336" s="65" t="s">
        <v>2543</v>
      </c>
      <c r="O336" s="65" t="s">
        <v>2457</v>
      </c>
      <c r="P336" s="65" t="s">
        <v>2458</v>
      </c>
      <c r="Q336" s="65" t="s">
        <v>2459</v>
      </c>
      <c r="R336" s="65" t="s">
        <v>2460</v>
      </c>
      <c r="S336" s="65" t="s">
        <v>2461</v>
      </c>
      <c r="T336" s="65" t="s">
        <v>2462</v>
      </c>
      <c r="U336" s="65" t="s">
        <v>2463</v>
      </c>
      <c r="V336" s="65" t="s">
        <v>2464</v>
      </c>
      <c r="W336" s="65" t="s">
        <v>2465</v>
      </c>
      <c r="X336" s="65" t="s">
        <v>2466</v>
      </c>
      <c r="Y336" s="65" t="s">
        <v>2578</v>
      </c>
      <c r="Z336" s="65" t="s">
        <v>1886</v>
      </c>
      <c r="AA336" s="65" t="s">
        <v>2603</v>
      </c>
      <c r="AB336" s="65">
        <v>3</v>
      </c>
      <c r="AC336" s="65" t="s">
        <v>2604</v>
      </c>
      <c r="AD336" s="65" t="s">
        <v>1588</v>
      </c>
      <c r="AE336" s="65" t="s">
        <v>2605</v>
      </c>
      <c r="AF336" s="65" t="s">
        <v>1446</v>
      </c>
      <c r="AG336" s="65">
        <v>2</v>
      </c>
      <c r="AH336" s="65">
        <v>2</v>
      </c>
      <c r="AI336" s="65">
        <v>2</v>
      </c>
      <c r="AJ336" s="65">
        <v>2</v>
      </c>
      <c r="AK336" s="65" t="s">
        <v>202</v>
      </c>
      <c r="AL336" s="128">
        <v>45777</v>
      </c>
      <c r="AM336" s="65">
        <v>6</v>
      </c>
      <c r="AN336" s="65">
        <v>1</v>
      </c>
      <c r="AO336" s="65" t="s">
        <v>202</v>
      </c>
      <c r="AP336" s="65">
        <v>3</v>
      </c>
      <c r="AQ336" s="65" t="s">
        <v>355</v>
      </c>
      <c r="AR336" s="65" t="s">
        <v>353</v>
      </c>
      <c r="AS336" s="65">
        <v>0</v>
      </c>
      <c r="AT336" s="65">
        <v>0</v>
      </c>
      <c r="AU336" s="65" t="s">
        <v>1438</v>
      </c>
      <c r="AV336" s="65" t="s">
        <v>1439</v>
      </c>
      <c r="AW336" s="65" t="s">
        <v>202</v>
      </c>
      <c r="AX336" s="65" t="s">
        <v>202</v>
      </c>
      <c r="AY336" s="65" t="s">
        <v>353</v>
      </c>
    </row>
    <row r="337" spans="1:51" x14ac:dyDescent="0.2">
      <c r="A337" s="65" t="s">
        <v>1367</v>
      </c>
      <c r="B337" s="65" t="s">
        <v>368</v>
      </c>
      <c r="C337" s="65" t="s">
        <v>369</v>
      </c>
      <c r="D337" s="65" t="s">
        <v>2606</v>
      </c>
      <c r="E337" s="65" t="s">
        <v>353</v>
      </c>
      <c r="F337" s="65" t="s">
        <v>1872</v>
      </c>
      <c r="G337" s="65" t="s">
        <v>344</v>
      </c>
      <c r="H337" s="65" t="s">
        <v>2452</v>
      </c>
      <c r="I337" s="65" t="s">
        <v>2453</v>
      </c>
      <c r="J337" s="65">
        <v>3144345375</v>
      </c>
      <c r="K337" s="65" t="s">
        <v>2607</v>
      </c>
      <c r="L337" s="65" t="s">
        <v>2608</v>
      </c>
      <c r="M337" s="65" t="s">
        <v>361</v>
      </c>
      <c r="N337" s="65" t="s">
        <v>2609</v>
      </c>
      <c r="O337" s="65" t="s">
        <v>2457</v>
      </c>
      <c r="P337" s="65" t="s">
        <v>2458</v>
      </c>
      <c r="Q337" s="65" t="s">
        <v>2459</v>
      </c>
      <c r="R337" s="65" t="s">
        <v>2460</v>
      </c>
      <c r="S337" s="65" t="s">
        <v>2461</v>
      </c>
      <c r="T337" s="65" t="s">
        <v>2462</v>
      </c>
      <c r="U337" s="65" t="s">
        <v>2463</v>
      </c>
      <c r="V337" s="65" t="s">
        <v>2464</v>
      </c>
      <c r="W337" s="65" t="s">
        <v>2465</v>
      </c>
      <c r="X337" s="65" t="s">
        <v>2466</v>
      </c>
      <c r="Y337" s="65" t="s">
        <v>1873</v>
      </c>
      <c r="Z337" s="65" t="s">
        <v>1874</v>
      </c>
      <c r="AA337" s="65" t="s">
        <v>2610</v>
      </c>
      <c r="AB337" s="65">
        <v>3</v>
      </c>
      <c r="AC337" s="65" t="s">
        <v>2611</v>
      </c>
      <c r="AD337" s="65" t="s">
        <v>2612</v>
      </c>
      <c r="AE337" s="65" t="s">
        <v>2613</v>
      </c>
      <c r="AF337" s="65" t="s">
        <v>1437</v>
      </c>
      <c r="AG337" s="65">
        <v>1</v>
      </c>
      <c r="AH337" s="65">
        <v>0</v>
      </c>
      <c r="AI337" s="65">
        <v>2</v>
      </c>
      <c r="AJ337" s="65">
        <v>1</v>
      </c>
      <c r="AK337" s="65" t="s">
        <v>202</v>
      </c>
      <c r="AL337" s="128">
        <v>44981</v>
      </c>
      <c r="AM337" s="65">
        <v>3</v>
      </c>
      <c r="AN337" s="65">
        <v>1</v>
      </c>
      <c r="AO337" s="65" t="s">
        <v>202</v>
      </c>
      <c r="AP337" s="65">
        <v>2</v>
      </c>
      <c r="AQ337" s="65" t="s">
        <v>355</v>
      </c>
      <c r="AR337" s="65" t="s">
        <v>202</v>
      </c>
      <c r="AS337" s="65">
        <v>1</v>
      </c>
      <c r="AT337" s="65">
        <v>1</v>
      </c>
      <c r="AU337" s="65" t="s">
        <v>1529</v>
      </c>
      <c r="AV337" s="65" t="s">
        <v>1439</v>
      </c>
      <c r="AW337" s="65" t="s">
        <v>202</v>
      </c>
      <c r="AX337" s="65" t="s">
        <v>202</v>
      </c>
      <c r="AY337" s="65" t="s">
        <v>202</v>
      </c>
    </row>
    <row r="338" spans="1:51" x14ac:dyDescent="0.2">
      <c r="A338" s="65" t="s">
        <v>1367</v>
      </c>
      <c r="B338" s="65" t="s">
        <v>66</v>
      </c>
      <c r="C338" s="65" t="s">
        <v>163</v>
      </c>
      <c r="D338" s="65" t="s">
        <v>2614</v>
      </c>
      <c r="E338" s="65" t="s">
        <v>353</v>
      </c>
      <c r="F338" s="65" t="s">
        <v>1872</v>
      </c>
      <c r="G338" s="65" t="s">
        <v>344</v>
      </c>
      <c r="H338" s="65" t="s">
        <v>2452</v>
      </c>
      <c r="I338" s="65" t="s">
        <v>2453</v>
      </c>
      <c r="J338" s="65">
        <v>3144345375</v>
      </c>
      <c r="K338" s="65" t="s">
        <v>2607</v>
      </c>
      <c r="L338" s="65" t="s">
        <v>2608</v>
      </c>
      <c r="M338" s="65" t="s">
        <v>361</v>
      </c>
      <c r="N338" s="65" t="s">
        <v>2609</v>
      </c>
      <c r="O338" s="65" t="s">
        <v>2457</v>
      </c>
      <c r="P338" s="65" t="s">
        <v>2458</v>
      </c>
      <c r="Q338" s="65" t="s">
        <v>2459</v>
      </c>
      <c r="R338" s="65" t="s">
        <v>2460</v>
      </c>
      <c r="S338" s="65" t="s">
        <v>2461</v>
      </c>
      <c r="T338" s="65" t="s">
        <v>2462</v>
      </c>
      <c r="U338" s="65" t="s">
        <v>2463</v>
      </c>
      <c r="V338" s="65" t="s">
        <v>2464</v>
      </c>
      <c r="W338" s="65" t="s">
        <v>2465</v>
      </c>
      <c r="X338" s="65" t="s">
        <v>2466</v>
      </c>
      <c r="Y338" s="65" t="s">
        <v>1873</v>
      </c>
      <c r="Z338" s="65" t="s">
        <v>1874</v>
      </c>
      <c r="AA338" s="65" t="s">
        <v>2615</v>
      </c>
      <c r="AB338" s="65">
        <v>5</v>
      </c>
      <c r="AC338" s="65" t="s">
        <v>2059</v>
      </c>
      <c r="AD338" s="65" t="s">
        <v>2616</v>
      </c>
      <c r="AE338" s="65" t="s">
        <v>2617</v>
      </c>
      <c r="AF338" s="65" t="s">
        <v>1437</v>
      </c>
      <c r="AG338" s="65">
        <v>2</v>
      </c>
      <c r="AH338" s="65">
        <v>2</v>
      </c>
      <c r="AI338" s="65">
        <v>3</v>
      </c>
      <c r="AJ338" s="65">
        <v>2</v>
      </c>
      <c r="AK338" s="65" t="s">
        <v>202</v>
      </c>
      <c r="AL338" s="128">
        <v>44981</v>
      </c>
      <c r="AM338" s="65">
        <v>6</v>
      </c>
      <c r="AN338" s="65">
        <v>2</v>
      </c>
      <c r="AO338" s="65" t="s">
        <v>202</v>
      </c>
      <c r="AP338" s="65">
        <v>4</v>
      </c>
      <c r="AQ338" s="65" t="s">
        <v>354</v>
      </c>
      <c r="AR338" s="65" t="s">
        <v>202</v>
      </c>
      <c r="AS338" s="65">
        <v>1</v>
      </c>
      <c r="AT338" s="65">
        <v>1</v>
      </c>
      <c r="AU338" s="65" t="s">
        <v>1529</v>
      </c>
      <c r="AV338" s="65" t="s">
        <v>198</v>
      </c>
      <c r="AW338" s="65" t="s">
        <v>353</v>
      </c>
      <c r="AX338" s="65" t="s">
        <v>202</v>
      </c>
      <c r="AY338" s="65" t="s">
        <v>353</v>
      </c>
    </row>
    <row r="339" spans="1:51" x14ac:dyDescent="0.2">
      <c r="A339" s="65" t="s">
        <v>1367</v>
      </c>
      <c r="B339" s="65" t="s">
        <v>68</v>
      </c>
      <c r="C339" s="65" t="s">
        <v>165</v>
      </c>
      <c r="D339" s="65" t="s">
        <v>2618</v>
      </c>
      <c r="E339" s="65" t="s">
        <v>353</v>
      </c>
      <c r="F339" s="65" t="s">
        <v>1872</v>
      </c>
      <c r="G339" s="65" t="s">
        <v>344</v>
      </c>
      <c r="H339" s="65" t="s">
        <v>2452</v>
      </c>
      <c r="I339" s="65" t="s">
        <v>2453</v>
      </c>
      <c r="J339" s="65">
        <v>3144345375</v>
      </c>
      <c r="K339" s="65" t="s">
        <v>2607</v>
      </c>
      <c r="L339" s="65" t="s">
        <v>2608</v>
      </c>
      <c r="M339" s="65" t="s">
        <v>361</v>
      </c>
      <c r="N339" s="65" t="s">
        <v>2609</v>
      </c>
      <c r="O339" s="65" t="s">
        <v>2457</v>
      </c>
      <c r="P339" s="65" t="s">
        <v>2458</v>
      </c>
      <c r="Q339" s="65" t="s">
        <v>2459</v>
      </c>
      <c r="R339" s="65" t="s">
        <v>2460</v>
      </c>
      <c r="S339" s="65" t="s">
        <v>2461</v>
      </c>
      <c r="T339" s="65" t="s">
        <v>2462</v>
      </c>
      <c r="U339" s="65" t="s">
        <v>2463</v>
      </c>
      <c r="V339" s="65" t="s">
        <v>2464</v>
      </c>
      <c r="W339" s="65" t="s">
        <v>2465</v>
      </c>
      <c r="X339" s="65" t="s">
        <v>2466</v>
      </c>
      <c r="Y339" s="65" t="s">
        <v>1873</v>
      </c>
      <c r="Z339" s="65" t="s">
        <v>1874</v>
      </c>
      <c r="AA339" s="65" t="s">
        <v>2619</v>
      </c>
      <c r="AB339" s="65">
        <v>4</v>
      </c>
      <c r="AC339" s="65" t="s">
        <v>2250</v>
      </c>
      <c r="AD339" s="65" t="s">
        <v>1535</v>
      </c>
      <c r="AE339" s="65" t="s">
        <v>2620</v>
      </c>
      <c r="AF339" s="65" t="s">
        <v>1437</v>
      </c>
      <c r="AG339" s="65">
        <v>3</v>
      </c>
      <c r="AH339" s="65">
        <v>2</v>
      </c>
      <c r="AI339" s="65">
        <v>2</v>
      </c>
      <c r="AJ339" s="65">
        <v>2</v>
      </c>
      <c r="AK339" s="65" t="s">
        <v>202</v>
      </c>
      <c r="AL339" s="128">
        <v>44981</v>
      </c>
      <c r="AM339" s="65">
        <v>6</v>
      </c>
      <c r="AN339" s="65">
        <v>1</v>
      </c>
      <c r="AO339" s="65" t="s">
        <v>353</v>
      </c>
      <c r="AP339" s="65">
        <v>4</v>
      </c>
      <c r="AQ339" s="65" t="s">
        <v>354</v>
      </c>
      <c r="AR339" s="65" t="s">
        <v>202</v>
      </c>
      <c r="AS339" s="65">
        <v>1</v>
      </c>
      <c r="AT339" s="65">
        <v>1</v>
      </c>
      <c r="AU339" s="65" t="s">
        <v>1438</v>
      </c>
      <c r="AV339" s="65" t="s">
        <v>198</v>
      </c>
      <c r="AW339" s="65" t="s">
        <v>353</v>
      </c>
      <c r="AX339" s="65" t="s">
        <v>202</v>
      </c>
      <c r="AY339" s="65" t="s">
        <v>353</v>
      </c>
    </row>
    <row r="340" spans="1:51" x14ac:dyDescent="0.2">
      <c r="A340" s="65" t="s">
        <v>1367</v>
      </c>
      <c r="B340" s="65" t="s">
        <v>77</v>
      </c>
      <c r="C340" s="65" t="s">
        <v>174</v>
      </c>
      <c r="D340" s="65" t="s">
        <v>2621</v>
      </c>
      <c r="E340" s="65" t="s">
        <v>353</v>
      </c>
      <c r="F340" s="65" t="s">
        <v>1872</v>
      </c>
      <c r="G340" s="65" t="s">
        <v>344</v>
      </c>
      <c r="H340" s="65" t="s">
        <v>2452</v>
      </c>
      <c r="I340" s="65" t="s">
        <v>2453</v>
      </c>
      <c r="J340" s="65">
        <v>3144345375</v>
      </c>
      <c r="K340" s="65" t="s">
        <v>2607</v>
      </c>
      <c r="L340" s="65" t="s">
        <v>2608</v>
      </c>
      <c r="M340" s="65" t="s">
        <v>361</v>
      </c>
      <c r="N340" s="65" t="s">
        <v>2609</v>
      </c>
      <c r="O340" s="65" t="s">
        <v>2457</v>
      </c>
      <c r="P340" s="65" t="s">
        <v>2458</v>
      </c>
      <c r="Q340" s="65" t="s">
        <v>2459</v>
      </c>
      <c r="R340" s="65" t="s">
        <v>2460</v>
      </c>
      <c r="S340" s="65" t="s">
        <v>2461</v>
      </c>
      <c r="T340" s="65" t="s">
        <v>2462</v>
      </c>
      <c r="U340" s="65" t="s">
        <v>2463</v>
      </c>
      <c r="V340" s="65" t="s">
        <v>2464</v>
      </c>
      <c r="W340" s="65" t="s">
        <v>2465</v>
      </c>
      <c r="X340" s="65" t="s">
        <v>2466</v>
      </c>
      <c r="Y340" s="65" t="s">
        <v>1873</v>
      </c>
      <c r="Z340" s="65" t="s">
        <v>1874</v>
      </c>
      <c r="AA340" s="65" t="s">
        <v>2622</v>
      </c>
      <c r="AB340" s="65">
        <v>5</v>
      </c>
      <c r="AC340" s="65" t="s">
        <v>2048</v>
      </c>
      <c r="AD340" s="65" t="s">
        <v>2083</v>
      </c>
      <c r="AE340" s="65" t="s">
        <v>2623</v>
      </c>
      <c r="AF340" s="65" t="s">
        <v>1437</v>
      </c>
      <c r="AG340" s="65">
        <v>2</v>
      </c>
      <c r="AH340" s="65">
        <v>1</v>
      </c>
      <c r="AI340" s="65">
        <v>2</v>
      </c>
      <c r="AJ340" s="65">
        <v>2</v>
      </c>
      <c r="AK340" s="65" t="s">
        <v>202</v>
      </c>
      <c r="AL340" s="128">
        <v>45066</v>
      </c>
      <c r="AM340" s="65">
        <v>4</v>
      </c>
      <c r="AN340" s="65">
        <v>1</v>
      </c>
      <c r="AO340" s="65" t="s">
        <v>202</v>
      </c>
      <c r="AP340" s="65">
        <v>2</v>
      </c>
      <c r="AQ340" s="65" t="s">
        <v>354</v>
      </c>
      <c r="AR340" s="65" t="s">
        <v>202</v>
      </c>
      <c r="AS340" s="65">
        <v>1</v>
      </c>
      <c r="AT340" s="65">
        <v>1</v>
      </c>
      <c r="AU340" s="65" t="s">
        <v>1438</v>
      </c>
      <c r="AV340" s="65" t="s">
        <v>198</v>
      </c>
      <c r="AW340" s="65" t="s">
        <v>353</v>
      </c>
      <c r="AX340" s="65" t="s">
        <v>202</v>
      </c>
      <c r="AY340" s="65" t="s">
        <v>353</v>
      </c>
    </row>
    <row r="341" spans="1:51" x14ac:dyDescent="0.2">
      <c r="A341" s="65" t="s">
        <v>1313</v>
      </c>
      <c r="B341" s="65" t="s">
        <v>919</v>
      </c>
      <c r="C341" s="65" t="s">
        <v>920</v>
      </c>
      <c r="D341" s="65" t="s">
        <v>2624</v>
      </c>
      <c r="E341" s="65" t="s">
        <v>341</v>
      </c>
      <c r="F341" s="65" t="s">
        <v>1415</v>
      </c>
      <c r="G341" s="65" t="s">
        <v>1416</v>
      </c>
      <c r="H341" s="65" t="s">
        <v>341</v>
      </c>
      <c r="I341" s="65" t="s">
        <v>341</v>
      </c>
      <c r="J341" s="65" t="s">
        <v>341</v>
      </c>
      <c r="K341" s="65" t="s">
        <v>341</v>
      </c>
      <c r="L341" s="65" t="s">
        <v>341</v>
      </c>
      <c r="M341" s="65" t="s">
        <v>364</v>
      </c>
      <c r="N341" s="65" t="s">
        <v>341</v>
      </c>
      <c r="O341" s="65" t="s">
        <v>341</v>
      </c>
      <c r="P341" s="65" t="s">
        <v>341</v>
      </c>
      <c r="Q341" s="65" t="s">
        <v>341</v>
      </c>
      <c r="R341" s="65" t="s">
        <v>341</v>
      </c>
      <c r="S341" s="65" t="s">
        <v>341</v>
      </c>
      <c r="T341" s="65" t="s">
        <v>341</v>
      </c>
      <c r="U341" s="65" t="s">
        <v>2625</v>
      </c>
      <c r="V341" s="65" t="s">
        <v>341</v>
      </c>
      <c r="W341" s="65" t="s">
        <v>341</v>
      </c>
      <c r="X341" s="65" t="s">
        <v>341</v>
      </c>
      <c r="Y341" s="65" t="s">
        <v>1432</v>
      </c>
      <c r="Z341" s="65" t="s">
        <v>1313</v>
      </c>
      <c r="AA341" s="65" t="s">
        <v>2626</v>
      </c>
      <c r="AB341" s="65" t="s">
        <v>341</v>
      </c>
      <c r="AC341" s="65" t="s">
        <v>341</v>
      </c>
      <c r="AD341" s="65" t="s">
        <v>341</v>
      </c>
      <c r="AE341" s="65" t="s">
        <v>341</v>
      </c>
      <c r="AF341" s="65" t="s">
        <v>341</v>
      </c>
      <c r="AG341" s="65" t="s">
        <v>341</v>
      </c>
      <c r="AH341" s="65" t="s">
        <v>341</v>
      </c>
      <c r="AI341" s="65" t="s">
        <v>341</v>
      </c>
      <c r="AJ341" s="65" t="s">
        <v>341</v>
      </c>
      <c r="AK341" s="65" t="s">
        <v>341</v>
      </c>
      <c r="AL341" s="65" t="s">
        <v>341</v>
      </c>
      <c r="AM341" s="65" t="s">
        <v>341</v>
      </c>
      <c r="AN341" s="65" t="s">
        <v>341</v>
      </c>
      <c r="AO341" s="65" t="s">
        <v>341</v>
      </c>
      <c r="AP341" s="65" t="s">
        <v>341</v>
      </c>
      <c r="AQ341" s="65" t="s">
        <v>341</v>
      </c>
      <c r="AR341" s="65" t="s">
        <v>341</v>
      </c>
      <c r="AS341" s="65" t="s">
        <v>341</v>
      </c>
      <c r="AT341" s="65" t="s">
        <v>341</v>
      </c>
      <c r="AU341" s="65" t="s">
        <v>341</v>
      </c>
      <c r="AV341" s="65" t="s">
        <v>341</v>
      </c>
      <c r="AW341" s="65" t="s">
        <v>341</v>
      </c>
      <c r="AX341" s="65" t="s">
        <v>341</v>
      </c>
      <c r="AY341" s="65" t="s">
        <v>341</v>
      </c>
    </row>
    <row r="342" spans="1:51" x14ac:dyDescent="0.2">
      <c r="A342" s="65" t="s">
        <v>1313</v>
      </c>
      <c r="B342" s="65" t="s">
        <v>921</v>
      </c>
      <c r="C342" s="65" t="s">
        <v>922</v>
      </c>
      <c r="D342" s="65" t="s">
        <v>2627</v>
      </c>
      <c r="E342" s="65" t="s">
        <v>341</v>
      </c>
      <c r="F342" s="65" t="s">
        <v>1415</v>
      </c>
      <c r="G342" s="65" t="s">
        <v>1416</v>
      </c>
      <c r="H342" s="65" t="s">
        <v>341</v>
      </c>
      <c r="I342" s="65" t="s">
        <v>341</v>
      </c>
      <c r="J342" s="65" t="s">
        <v>341</v>
      </c>
      <c r="K342" s="65" t="s">
        <v>341</v>
      </c>
      <c r="L342" s="65" t="s">
        <v>341</v>
      </c>
      <c r="M342" s="65" t="s">
        <v>364</v>
      </c>
      <c r="N342" s="65" t="s">
        <v>341</v>
      </c>
      <c r="O342" s="65" t="s">
        <v>341</v>
      </c>
      <c r="P342" s="65" t="s">
        <v>341</v>
      </c>
      <c r="Q342" s="65" t="s">
        <v>341</v>
      </c>
      <c r="R342" s="65" t="s">
        <v>341</v>
      </c>
      <c r="S342" s="65" t="s">
        <v>341</v>
      </c>
      <c r="T342" s="65" t="s">
        <v>341</v>
      </c>
      <c r="U342" s="65" t="s">
        <v>2625</v>
      </c>
      <c r="V342" s="65" t="s">
        <v>341</v>
      </c>
      <c r="W342" s="65" t="s">
        <v>341</v>
      </c>
      <c r="X342" s="65" t="s">
        <v>341</v>
      </c>
      <c r="Y342" s="65" t="s">
        <v>1432</v>
      </c>
      <c r="Z342" s="65" t="s">
        <v>1313</v>
      </c>
      <c r="AA342" s="65" t="s">
        <v>2628</v>
      </c>
      <c r="AB342" s="65" t="s">
        <v>341</v>
      </c>
      <c r="AC342" s="65" t="s">
        <v>341</v>
      </c>
      <c r="AD342" s="65" t="s">
        <v>341</v>
      </c>
      <c r="AE342" s="65" t="s">
        <v>341</v>
      </c>
      <c r="AF342" s="65" t="s">
        <v>341</v>
      </c>
      <c r="AG342" s="65" t="s">
        <v>341</v>
      </c>
      <c r="AH342" s="65" t="s">
        <v>341</v>
      </c>
      <c r="AI342" s="65" t="s">
        <v>341</v>
      </c>
      <c r="AJ342" s="65" t="s">
        <v>341</v>
      </c>
      <c r="AK342" s="65" t="s">
        <v>341</v>
      </c>
      <c r="AL342" s="65" t="s">
        <v>341</v>
      </c>
      <c r="AM342" s="65" t="s">
        <v>341</v>
      </c>
      <c r="AN342" s="65" t="s">
        <v>341</v>
      </c>
      <c r="AO342" s="65" t="s">
        <v>341</v>
      </c>
      <c r="AP342" s="65" t="s">
        <v>341</v>
      </c>
      <c r="AQ342" s="65" t="s">
        <v>341</v>
      </c>
      <c r="AR342" s="65" t="s">
        <v>341</v>
      </c>
      <c r="AS342" s="65" t="s">
        <v>341</v>
      </c>
      <c r="AT342" s="65" t="s">
        <v>341</v>
      </c>
      <c r="AU342" s="65" t="s">
        <v>341</v>
      </c>
      <c r="AV342" s="65" t="s">
        <v>341</v>
      </c>
      <c r="AW342" s="65" t="s">
        <v>341</v>
      </c>
      <c r="AX342" s="65" t="s">
        <v>341</v>
      </c>
      <c r="AY342" s="65" t="s">
        <v>341</v>
      </c>
    </row>
    <row r="343" spans="1:51" x14ac:dyDescent="0.2">
      <c r="A343" s="65" t="s">
        <v>1313</v>
      </c>
      <c r="B343" s="65" t="s">
        <v>925</v>
      </c>
      <c r="C343" s="65" t="s">
        <v>926</v>
      </c>
      <c r="D343" s="65" t="s">
        <v>2629</v>
      </c>
      <c r="E343" s="65" t="s">
        <v>341</v>
      </c>
      <c r="F343" s="65" t="s">
        <v>1415</v>
      </c>
      <c r="G343" s="65" t="s">
        <v>1416</v>
      </c>
      <c r="H343" s="65" t="s">
        <v>341</v>
      </c>
      <c r="I343" s="65" t="s">
        <v>341</v>
      </c>
      <c r="J343" s="65" t="s">
        <v>341</v>
      </c>
      <c r="K343" s="65" t="s">
        <v>341</v>
      </c>
      <c r="L343" s="65" t="s">
        <v>341</v>
      </c>
      <c r="M343" s="65" t="s">
        <v>364</v>
      </c>
      <c r="N343" s="65" t="s">
        <v>341</v>
      </c>
      <c r="O343" s="65" t="s">
        <v>341</v>
      </c>
      <c r="P343" s="65" t="s">
        <v>341</v>
      </c>
      <c r="Q343" s="65" t="s">
        <v>341</v>
      </c>
      <c r="R343" s="65" t="s">
        <v>341</v>
      </c>
      <c r="S343" s="65" t="s">
        <v>341</v>
      </c>
      <c r="T343" s="65" t="s">
        <v>341</v>
      </c>
      <c r="U343" s="65" t="s">
        <v>2625</v>
      </c>
      <c r="V343" s="65" t="s">
        <v>341</v>
      </c>
      <c r="W343" s="65" t="s">
        <v>341</v>
      </c>
      <c r="X343" s="65" t="s">
        <v>341</v>
      </c>
      <c r="Y343" s="65" t="s">
        <v>1441</v>
      </c>
      <c r="Z343" s="65" t="s">
        <v>1313</v>
      </c>
      <c r="AA343" s="65" t="s">
        <v>2630</v>
      </c>
      <c r="AB343" s="65" t="s">
        <v>341</v>
      </c>
      <c r="AC343" s="65" t="s">
        <v>341</v>
      </c>
      <c r="AD343" s="65" t="s">
        <v>341</v>
      </c>
      <c r="AE343" s="65" t="s">
        <v>341</v>
      </c>
      <c r="AF343" s="65" t="s">
        <v>341</v>
      </c>
      <c r="AG343" s="65" t="s">
        <v>341</v>
      </c>
      <c r="AH343" s="65" t="s">
        <v>341</v>
      </c>
      <c r="AI343" s="65" t="s">
        <v>341</v>
      </c>
      <c r="AJ343" s="65" t="s">
        <v>341</v>
      </c>
      <c r="AK343" s="65" t="s">
        <v>341</v>
      </c>
      <c r="AL343" s="65" t="s">
        <v>341</v>
      </c>
      <c r="AM343" s="65" t="s">
        <v>341</v>
      </c>
      <c r="AN343" s="65" t="s">
        <v>341</v>
      </c>
      <c r="AO343" s="65" t="s">
        <v>341</v>
      </c>
      <c r="AP343" s="65" t="s">
        <v>341</v>
      </c>
      <c r="AQ343" s="65" t="s">
        <v>341</v>
      </c>
      <c r="AR343" s="65" t="s">
        <v>341</v>
      </c>
      <c r="AS343" s="65" t="s">
        <v>341</v>
      </c>
      <c r="AT343" s="65" t="s">
        <v>341</v>
      </c>
      <c r="AU343" s="65" t="s">
        <v>341</v>
      </c>
      <c r="AV343" s="65" t="s">
        <v>341</v>
      </c>
      <c r="AW343" s="65" t="s">
        <v>341</v>
      </c>
      <c r="AX343" s="65" t="s">
        <v>341</v>
      </c>
      <c r="AY343" s="65" t="s">
        <v>341</v>
      </c>
    </row>
    <row r="344" spans="1:51" x14ac:dyDescent="0.2">
      <c r="A344" s="65" t="s">
        <v>1313</v>
      </c>
      <c r="B344" s="65" t="s">
        <v>927</v>
      </c>
      <c r="C344" s="65" t="s">
        <v>928</v>
      </c>
      <c r="D344" s="65" t="s">
        <v>2631</v>
      </c>
      <c r="E344" s="65" t="s">
        <v>341</v>
      </c>
      <c r="F344" s="65" t="s">
        <v>1415</v>
      </c>
      <c r="G344" s="65" t="s">
        <v>1416</v>
      </c>
      <c r="H344" s="65" t="s">
        <v>341</v>
      </c>
      <c r="I344" s="65" t="s">
        <v>341</v>
      </c>
      <c r="J344" s="65" t="s">
        <v>341</v>
      </c>
      <c r="K344" s="65" t="s">
        <v>341</v>
      </c>
      <c r="L344" s="65" t="s">
        <v>341</v>
      </c>
      <c r="M344" s="65" t="s">
        <v>364</v>
      </c>
      <c r="N344" s="65" t="s">
        <v>341</v>
      </c>
      <c r="O344" s="65" t="s">
        <v>341</v>
      </c>
      <c r="P344" s="65" t="s">
        <v>341</v>
      </c>
      <c r="Q344" s="65" t="s">
        <v>341</v>
      </c>
      <c r="R344" s="65" t="s">
        <v>341</v>
      </c>
      <c r="S344" s="65" t="s">
        <v>341</v>
      </c>
      <c r="T344" s="65" t="s">
        <v>341</v>
      </c>
      <c r="U344" s="65" t="s">
        <v>2625</v>
      </c>
      <c r="V344" s="65" t="s">
        <v>341</v>
      </c>
      <c r="W344" s="65" t="s">
        <v>341</v>
      </c>
      <c r="X344" s="65" t="s">
        <v>341</v>
      </c>
      <c r="Y344" s="65" t="s">
        <v>2632</v>
      </c>
      <c r="Z344" s="65" t="s">
        <v>1313</v>
      </c>
      <c r="AA344" s="65" t="s">
        <v>2633</v>
      </c>
      <c r="AB344" s="65" t="s">
        <v>341</v>
      </c>
      <c r="AC344" s="65" t="s">
        <v>341</v>
      </c>
      <c r="AD344" s="65" t="s">
        <v>341</v>
      </c>
      <c r="AE344" s="65" t="s">
        <v>341</v>
      </c>
      <c r="AF344" s="65" t="s">
        <v>341</v>
      </c>
      <c r="AG344" s="65" t="s">
        <v>341</v>
      </c>
      <c r="AH344" s="65" t="s">
        <v>341</v>
      </c>
      <c r="AI344" s="65" t="s">
        <v>341</v>
      </c>
      <c r="AJ344" s="65" t="s">
        <v>341</v>
      </c>
      <c r="AK344" s="65" t="s">
        <v>341</v>
      </c>
      <c r="AL344" s="65" t="s">
        <v>341</v>
      </c>
      <c r="AM344" s="65" t="s">
        <v>341</v>
      </c>
      <c r="AN344" s="65" t="s">
        <v>341</v>
      </c>
      <c r="AO344" s="65" t="s">
        <v>341</v>
      </c>
      <c r="AP344" s="65" t="s">
        <v>341</v>
      </c>
      <c r="AQ344" s="65" t="s">
        <v>341</v>
      </c>
      <c r="AR344" s="65" t="s">
        <v>341</v>
      </c>
      <c r="AS344" s="65" t="s">
        <v>341</v>
      </c>
      <c r="AT344" s="65" t="s">
        <v>341</v>
      </c>
      <c r="AU344" s="65" t="s">
        <v>341</v>
      </c>
      <c r="AV344" s="65" t="s">
        <v>341</v>
      </c>
      <c r="AW344" s="65" t="s">
        <v>341</v>
      </c>
      <c r="AX344" s="65" t="s">
        <v>341</v>
      </c>
      <c r="AY344" s="65" t="s">
        <v>341</v>
      </c>
    </row>
    <row r="345" spans="1:51" x14ac:dyDescent="0.2">
      <c r="A345" s="65" t="s">
        <v>1313</v>
      </c>
      <c r="B345" s="65" t="s">
        <v>931</v>
      </c>
      <c r="C345" s="65" t="s">
        <v>932</v>
      </c>
      <c r="D345" s="65" t="s">
        <v>2634</v>
      </c>
      <c r="E345" s="65" t="s">
        <v>341</v>
      </c>
      <c r="F345" s="65" t="s">
        <v>1415</v>
      </c>
      <c r="G345" s="65" t="s">
        <v>1416</v>
      </c>
      <c r="H345" s="65" t="s">
        <v>341</v>
      </c>
      <c r="I345" s="65" t="s">
        <v>341</v>
      </c>
      <c r="J345" s="65" t="s">
        <v>341</v>
      </c>
      <c r="K345" s="65" t="s">
        <v>341</v>
      </c>
      <c r="L345" s="65" t="s">
        <v>341</v>
      </c>
      <c r="M345" s="65" t="s">
        <v>364</v>
      </c>
      <c r="N345" s="65" t="s">
        <v>341</v>
      </c>
      <c r="O345" s="65" t="s">
        <v>341</v>
      </c>
      <c r="P345" s="65" t="s">
        <v>341</v>
      </c>
      <c r="Q345" s="65" t="s">
        <v>341</v>
      </c>
      <c r="R345" s="65" t="s">
        <v>341</v>
      </c>
      <c r="S345" s="65" t="s">
        <v>341</v>
      </c>
      <c r="T345" s="65" t="s">
        <v>341</v>
      </c>
      <c r="U345" s="65" t="s">
        <v>2625</v>
      </c>
      <c r="V345" s="65" t="s">
        <v>341</v>
      </c>
      <c r="W345" s="65" t="s">
        <v>341</v>
      </c>
      <c r="X345" s="65" t="s">
        <v>341</v>
      </c>
      <c r="Y345" s="65" t="s">
        <v>1441</v>
      </c>
      <c r="Z345" s="65" t="s">
        <v>1313</v>
      </c>
      <c r="AA345" s="65" t="s">
        <v>2635</v>
      </c>
      <c r="AB345" s="65" t="s">
        <v>341</v>
      </c>
      <c r="AC345" s="65" t="s">
        <v>341</v>
      </c>
      <c r="AD345" s="65" t="s">
        <v>341</v>
      </c>
      <c r="AE345" s="65" t="s">
        <v>341</v>
      </c>
      <c r="AF345" s="65" t="s">
        <v>341</v>
      </c>
      <c r="AG345" s="65" t="s">
        <v>341</v>
      </c>
      <c r="AH345" s="65" t="s">
        <v>341</v>
      </c>
      <c r="AI345" s="65" t="s">
        <v>341</v>
      </c>
      <c r="AJ345" s="65" t="s">
        <v>341</v>
      </c>
      <c r="AK345" s="65" t="s">
        <v>341</v>
      </c>
      <c r="AL345" s="65" t="s">
        <v>341</v>
      </c>
      <c r="AM345" s="65" t="s">
        <v>341</v>
      </c>
      <c r="AN345" s="65" t="s">
        <v>341</v>
      </c>
      <c r="AO345" s="65" t="s">
        <v>341</v>
      </c>
      <c r="AP345" s="65" t="s">
        <v>341</v>
      </c>
      <c r="AQ345" s="65" t="s">
        <v>341</v>
      </c>
      <c r="AR345" s="65" t="s">
        <v>341</v>
      </c>
      <c r="AS345" s="65" t="s">
        <v>341</v>
      </c>
      <c r="AT345" s="65" t="s">
        <v>341</v>
      </c>
      <c r="AU345" s="65" t="s">
        <v>341</v>
      </c>
      <c r="AV345" s="65" t="s">
        <v>341</v>
      </c>
      <c r="AW345" s="65" t="s">
        <v>341</v>
      </c>
      <c r="AX345" s="65" t="s">
        <v>341</v>
      </c>
      <c r="AY345" s="65" t="s">
        <v>341</v>
      </c>
    </row>
    <row r="346" spans="1:51" x14ac:dyDescent="0.2">
      <c r="A346" s="65" t="s">
        <v>1313</v>
      </c>
      <c r="B346" s="65" t="s">
        <v>933</v>
      </c>
      <c r="C346" s="65" t="s">
        <v>934</v>
      </c>
      <c r="D346" s="65" t="s">
        <v>2636</v>
      </c>
      <c r="E346" s="65" t="s">
        <v>341</v>
      </c>
      <c r="F346" s="65" t="s">
        <v>1415</v>
      </c>
      <c r="G346" s="65" t="s">
        <v>1416</v>
      </c>
      <c r="H346" s="65" t="s">
        <v>341</v>
      </c>
      <c r="I346" s="65" t="s">
        <v>341</v>
      </c>
      <c r="J346" s="65" t="s">
        <v>341</v>
      </c>
      <c r="K346" s="65" t="s">
        <v>341</v>
      </c>
      <c r="L346" s="65" t="s">
        <v>341</v>
      </c>
      <c r="M346" s="65" t="s">
        <v>364</v>
      </c>
      <c r="N346" s="65" t="s">
        <v>341</v>
      </c>
      <c r="O346" s="65" t="s">
        <v>341</v>
      </c>
      <c r="P346" s="65" t="s">
        <v>341</v>
      </c>
      <c r="Q346" s="65" t="s">
        <v>341</v>
      </c>
      <c r="R346" s="65" t="s">
        <v>341</v>
      </c>
      <c r="S346" s="65" t="s">
        <v>341</v>
      </c>
      <c r="T346" s="65" t="s">
        <v>341</v>
      </c>
      <c r="U346" s="65" t="s">
        <v>2625</v>
      </c>
      <c r="V346" s="65" t="s">
        <v>341</v>
      </c>
      <c r="W346" s="65" t="s">
        <v>341</v>
      </c>
      <c r="X346" s="65" t="s">
        <v>341</v>
      </c>
      <c r="Y346" s="65" t="s">
        <v>1515</v>
      </c>
      <c r="Z346" s="65" t="s">
        <v>1313</v>
      </c>
      <c r="AA346" s="65" t="s">
        <v>2637</v>
      </c>
      <c r="AB346" s="65" t="s">
        <v>341</v>
      </c>
      <c r="AC346" s="65" t="s">
        <v>341</v>
      </c>
      <c r="AD346" s="65" t="s">
        <v>341</v>
      </c>
      <c r="AE346" s="65" t="s">
        <v>341</v>
      </c>
      <c r="AF346" s="65" t="s">
        <v>341</v>
      </c>
      <c r="AG346" s="65" t="s">
        <v>341</v>
      </c>
      <c r="AH346" s="65" t="s">
        <v>341</v>
      </c>
      <c r="AI346" s="65" t="s">
        <v>341</v>
      </c>
      <c r="AJ346" s="65" t="s">
        <v>341</v>
      </c>
      <c r="AK346" s="65" t="s">
        <v>341</v>
      </c>
      <c r="AL346" s="65" t="s">
        <v>341</v>
      </c>
      <c r="AM346" s="65" t="s">
        <v>341</v>
      </c>
      <c r="AN346" s="65" t="s">
        <v>341</v>
      </c>
      <c r="AO346" s="65" t="s">
        <v>341</v>
      </c>
      <c r="AP346" s="65" t="s">
        <v>341</v>
      </c>
      <c r="AQ346" s="65" t="s">
        <v>341</v>
      </c>
      <c r="AR346" s="65" t="s">
        <v>341</v>
      </c>
      <c r="AS346" s="65" t="s">
        <v>341</v>
      </c>
      <c r="AT346" s="65" t="s">
        <v>341</v>
      </c>
      <c r="AU346" s="65" t="s">
        <v>341</v>
      </c>
      <c r="AV346" s="65" t="s">
        <v>341</v>
      </c>
      <c r="AW346" s="65" t="s">
        <v>341</v>
      </c>
      <c r="AX346" s="65" t="s">
        <v>341</v>
      </c>
      <c r="AY346" s="65" t="s">
        <v>341</v>
      </c>
    </row>
    <row r="347" spans="1:51" x14ac:dyDescent="0.2">
      <c r="A347" s="65" t="s">
        <v>1313</v>
      </c>
      <c r="B347" s="65" t="s">
        <v>935</v>
      </c>
      <c r="C347" s="65" t="s">
        <v>936</v>
      </c>
      <c r="D347" s="65" t="s">
        <v>2638</v>
      </c>
      <c r="E347" s="65" t="s">
        <v>341</v>
      </c>
      <c r="F347" s="65" t="s">
        <v>1415</v>
      </c>
      <c r="G347" s="65" t="s">
        <v>1416</v>
      </c>
      <c r="H347" s="65" t="s">
        <v>341</v>
      </c>
      <c r="I347" s="65" t="s">
        <v>341</v>
      </c>
      <c r="J347" s="65" t="s">
        <v>341</v>
      </c>
      <c r="K347" s="65" t="s">
        <v>341</v>
      </c>
      <c r="L347" s="65" t="s">
        <v>341</v>
      </c>
      <c r="M347" s="65" t="s">
        <v>341</v>
      </c>
      <c r="N347" s="65" t="s">
        <v>341</v>
      </c>
      <c r="O347" s="65" t="s">
        <v>341</v>
      </c>
      <c r="P347" s="65" t="s">
        <v>341</v>
      </c>
      <c r="Q347" s="65" t="s">
        <v>341</v>
      </c>
      <c r="R347" s="65" t="s">
        <v>341</v>
      </c>
      <c r="S347" s="65" t="s">
        <v>341</v>
      </c>
      <c r="T347" s="65" t="s">
        <v>341</v>
      </c>
      <c r="U347" s="65" t="s">
        <v>2625</v>
      </c>
      <c r="V347" s="65" t="s">
        <v>341</v>
      </c>
      <c r="W347" s="65" t="s">
        <v>341</v>
      </c>
      <c r="X347" s="65" t="s">
        <v>341</v>
      </c>
      <c r="Y347" s="65" t="s">
        <v>1441</v>
      </c>
      <c r="Z347" s="65" t="s">
        <v>1313</v>
      </c>
      <c r="AA347" s="65" t="s">
        <v>2639</v>
      </c>
      <c r="AB347" s="65" t="s">
        <v>341</v>
      </c>
      <c r="AC347" s="65" t="s">
        <v>341</v>
      </c>
      <c r="AD347" s="65" t="s">
        <v>341</v>
      </c>
      <c r="AE347" s="65" t="s">
        <v>341</v>
      </c>
      <c r="AF347" s="65" t="s">
        <v>341</v>
      </c>
      <c r="AG347" s="65" t="s">
        <v>341</v>
      </c>
      <c r="AH347" s="65" t="s">
        <v>341</v>
      </c>
      <c r="AI347" s="65" t="s">
        <v>341</v>
      </c>
      <c r="AJ347" s="65" t="s">
        <v>341</v>
      </c>
      <c r="AK347" s="65" t="s">
        <v>341</v>
      </c>
      <c r="AL347" s="65" t="s">
        <v>341</v>
      </c>
      <c r="AM347" s="65" t="s">
        <v>341</v>
      </c>
      <c r="AN347" s="65" t="s">
        <v>341</v>
      </c>
      <c r="AO347" s="65" t="s">
        <v>341</v>
      </c>
      <c r="AP347" s="65" t="s">
        <v>341</v>
      </c>
      <c r="AQ347" s="65" t="s">
        <v>341</v>
      </c>
      <c r="AR347" s="65" t="s">
        <v>341</v>
      </c>
      <c r="AS347" s="65" t="s">
        <v>341</v>
      </c>
      <c r="AT347" s="65" t="s">
        <v>341</v>
      </c>
      <c r="AU347" s="65" t="s">
        <v>341</v>
      </c>
      <c r="AV347" s="65" t="s">
        <v>341</v>
      </c>
      <c r="AW347" s="65" t="s">
        <v>341</v>
      </c>
      <c r="AX347" s="65" t="s">
        <v>341</v>
      </c>
      <c r="AY347" s="65" t="s">
        <v>341</v>
      </c>
    </row>
    <row r="348" spans="1:51" x14ac:dyDescent="0.2">
      <c r="A348" s="65" t="s">
        <v>1313</v>
      </c>
      <c r="B348" s="65" t="s">
        <v>937</v>
      </c>
      <c r="C348" s="65" t="s">
        <v>938</v>
      </c>
      <c r="D348" s="65" t="s">
        <v>2640</v>
      </c>
      <c r="E348" s="65" t="s">
        <v>341</v>
      </c>
      <c r="F348" s="65" t="s">
        <v>1415</v>
      </c>
      <c r="G348" s="65" t="s">
        <v>1416</v>
      </c>
      <c r="H348" s="65" t="s">
        <v>341</v>
      </c>
      <c r="I348" s="65" t="s">
        <v>341</v>
      </c>
      <c r="J348" s="65" t="s">
        <v>341</v>
      </c>
      <c r="K348" s="65" t="s">
        <v>341</v>
      </c>
      <c r="L348" s="65" t="s">
        <v>341</v>
      </c>
      <c r="M348" s="65" t="s">
        <v>341</v>
      </c>
      <c r="N348" s="65" t="s">
        <v>341</v>
      </c>
      <c r="O348" s="65" t="s">
        <v>341</v>
      </c>
      <c r="P348" s="65" t="s">
        <v>341</v>
      </c>
      <c r="Q348" s="65" t="s">
        <v>341</v>
      </c>
      <c r="R348" s="65" t="s">
        <v>341</v>
      </c>
      <c r="S348" s="65" t="s">
        <v>341</v>
      </c>
      <c r="T348" s="65" t="s">
        <v>341</v>
      </c>
      <c r="U348" s="65" t="s">
        <v>2625</v>
      </c>
      <c r="V348" s="65" t="s">
        <v>341</v>
      </c>
      <c r="W348" s="65" t="s">
        <v>341</v>
      </c>
      <c r="X348" s="65" t="s">
        <v>341</v>
      </c>
      <c r="Y348" s="65" t="s">
        <v>1432</v>
      </c>
      <c r="Z348" s="65" t="s">
        <v>1313</v>
      </c>
      <c r="AA348" s="65" t="s">
        <v>2641</v>
      </c>
      <c r="AB348" s="65" t="s">
        <v>341</v>
      </c>
      <c r="AC348" s="65" t="s">
        <v>341</v>
      </c>
      <c r="AD348" s="65" t="s">
        <v>341</v>
      </c>
      <c r="AE348" s="65" t="s">
        <v>341</v>
      </c>
      <c r="AF348" s="65" t="s">
        <v>341</v>
      </c>
      <c r="AG348" s="65" t="s">
        <v>341</v>
      </c>
      <c r="AH348" s="65" t="s">
        <v>341</v>
      </c>
      <c r="AI348" s="65" t="s">
        <v>341</v>
      </c>
      <c r="AJ348" s="65" t="s">
        <v>341</v>
      </c>
      <c r="AK348" s="65" t="s">
        <v>341</v>
      </c>
      <c r="AL348" s="65" t="s">
        <v>341</v>
      </c>
      <c r="AM348" s="65" t="s">
        <v>341</v>
      </c>
      <c r="AN348" s="65" t="s">
        <v>341</v>
      </c>
      <c r="AO348" s="65" t="s">
        <v>341</v>
      </c>
      <c r="AP348" s="65" t="s">
        <v>341</v>
      </c>
      <c r="AQ348" s="65" t="s">
        <v>341</v>
      </c>
      <c r="AR348" s="65" t="s">
        <v>341</v>
      </c>
      <c r="AS348" s="65" t="s">
        <v>341</v>
      </c>
      <c r="AT348" s="65" t="s">
        <v>341</v>
      </c>
      <c r="AU348" s="65" t="s">
        <v>341</v>
      </c>
      <c r="AV348" s="65" t="s">
        <v>341</v>
      </c>
      <c r="AW348" s="65" t="s">
        <v>341</v>
      </c>
      <c r="AX348" s="65" t="s">
        <v>341</v>
      </c>
      <c r="AY348" s="65" t="s">
        <v>341</v>
      </c>
    </row>
    <row r="349" spans="1:51" x14ac:dyDescent="0.2">
      <c r="A349" s="65" t="s">
        <v>1313</v>
      </c>
      <c r="B349" s="65" t="s">
        <v>939</v>
      </c>
      <c r="C349" s="65" t="s">
        <v>940</v>
      </c>
      <c r="D349" s="65" t="s">
        <v>2642</v>
      </c>
      <c r="E349" s="65" t="s">
        <v>341</v>
      </c>
      <c r="F349" s="65" t="s">
        <v>1415</v>
      </c>
      <c r="G349" s="65" t="s">
        <v>1416</v>
      </c>
      <c r="H349" s="65" t="s">
        <v>341</v>
      </c>
      <c r="I349" s="65" t="s">
        <v>341</v>
      </c>
      <c r="J349" s="65" t="s">
        <v>341</v>
      </c>
      <c r="K349" s="65" t="s">
        <v>341</v>
      </c>
      <c r="L349" s="65" t="s">
        <v>341</v>
      </c>
      <c r="M349" s="65" t="s">
        <v>341</v>
      </c>
      <c r="N349" s="65" t="s">
        <v>341</v>
      </c>
      <c r="O349" s="65" t="s">
        <v>341</v>
      </c>
      <c r="P349" s="65" t="s">
        <v>341</v>
      </c>
      <c r="Q349" s="65" t="s">
        <v>341</v>
      </c>
      <c r="R349" s="65" t="s">
        <v>341</v>
      </c>
      <c r="S349" s="65" t="s">
        <v>341</v>
      </c>
      <c r="T349" s="65" t="s">
        <v>341</v>
      </c>
      <c r="U349" s="65" t="s">
        <v>2625</v>
      </c>
      <c r="V349" s="65" t="s">
        <v>341</v>
      </c>
      <c r="W349" s="65" t="s">
        <v>341</v>
      </c>
      <c r="X349" s="65" t="s">
        <v>341</v>
      </c>
      <c r="Y349" s="65" t="s">
        <v>940</v>
      </c>
      <c r="Z349" s="65" t="s">
        <v>1313</v>
      </c>
      <c r="AA349" s="65" t="s">
        <v>2643</v>
      </c>
      <c r="AB349" s="65" t="s">
        <v>341</v>
      </c>
      <c r="AC349" s="65" t="s">
        <v>341</v>
      </c>
      <c r="AD349" s="65" t="s">
        <v>341</v>
      </c>
      <c r="AE349" s="65" t="s">
        <v>341</v>
      </c>
      <c r="AF349" s="65" t="s">
        <v>341</v>
      </c>
      <c r="AG349" s="65" t="s">
        <v>341</v>
      </c>
      <c r="AH349" s="65" t="s">
        <v>341</v>
      </c>
      <c r="AI349" s="65" t="s">
        <v>341</v>
      </c>
      <c r="AJ349" s="65" t="s">
        <v>341</v>
      </c>
      <c r="AK349" s="65" t="s">
        <v>341</v>
      </c>
      <c r="AL349" s="65" t="s">
        <v>341</v>
      </c>
      <c r="AM349" s="65" t="s">
        <v>341</v>
      </c>
      <c r="AN349" s="65" t="s">
        <v>341</v>
      </c>
      <c r="AO349" s="65" t="s">
        <v>341</v>
      </c>
      <c r="AP349" s="65" t="s">
        <v>341</v>
      </c>
      <c r="AQ349" s="65" t="s">
        <v>341</v>
      </c>
      <c r="AR349" s="65" t="s">
        <v>341</v>
      </c>
      <c r="AS349" s="65" t="s">
        <v>341</v>
      </c>
      <c r="AT349" s="65" t="s">
        <v>341</v>
      </c>
      <c r="AU349" s="65" t="s">
        <v>341</v>
      </c>
      <c r="AV349" s="65" t="s">
        <v>341</v>
      </c>
      <c r="AW349" s="65" t="s">
        <v>341</v>
      </c>
      <c r="AX349" s="65" t="s">
        <v>341</v>
      </c>
      <c r="AY349" s="65" t="s">
        <v>341</v>
      </c>
    </row>
    <row r="350" spans="1:51" x14ac:dyDescent="0.2">
      <c r="A350" s="65" t="s">
        <v>1313</v>
      </c>
      <c r="B350" s="65" t="s">
        <v>941</v>
      </c>
      <c r="C350" s="65" t="s">
        <v>942</v>
      </c>
      <c r="D350" s="65" t="s">
        <v>2644</v>
      </c>
      <c r="E350" s="65" t="s">
        <v>341</v>
      </c>
      <c r="F350" s="65" t="s">
        <v>1415</v>
      </c>
      <c r="G350" s="65" t="s">
        <v>1416</v>
      </c>
      <c r="H350" s="65" t="s">
        <v>341</v>
      </c>
      <c r="I350" s="65" t="s">
        <v>341</v>
      </c>
      <c r="J350" s="65" t="s">
        <v>341</v>
      </c>
      <c r="K350" s="65" t="s">
        <v>341</v>
      </c>
      <c r="L350" s="65" t="s">
        <v>341</v>
      </c>
      <c r="M350" s="65" t="s">
        <v>341</v>
      </c>
      <c r="N350" s="65" t="s">
        <v>341</v>
      </c>
      <c r="O350" s="65" t="s">
        <v>341</v>
      </c>
      <c r="P350" s="65" t="s">
        <v>341</v>
      </c>
      <c r="Q350" s="65" t="s">
        <v>341</v>
      </c>
      <c r="R350" s="65" t="s">
        <v>341</v>
      </c>
      <c r="S350" s="65" t="s">
        <v>341</v>
      </c>
      <c r="T350" s="65" t="s">
        <v>341</v>
      </c>
      <c r="U350" s="65" t="s">
        <v>2625</v>
      </c>
      <c r="V350" s="65" t="s">
        <v>341</v>
      </c>
      <c r="W350" s="65" t="s">
        <v>341</v>
      </c>
      <c r="X350" s="65" t="s">
        <v>341</v>
      </c>
      <c r="Y350" s="65" t="s">
        <v>1432</v>
      </c>
      <c r="Z350" s="65" t="s">
        <v>1313</v>
      </c>
      <c r="AA350" s="65" t="s">
        <v>2645</v>
      </c>
      <c r="AB350" s="65" t="s">
        <v>341</v>
      </c>
      <c r="AC350" s="65" t="s">
        <v>341</v>
      </c>
      <c r="AD350" s="65" t="s">
        <v>341</v>
      </c>
      <c r="AE350" s="65" t="s">
        <v>341</v>
      </c>
      <c r="AF350" s="65" t="s">
        <v>341</v>
      </c>
      <c r="AG350" s="65" t="s">
        <v>341</v>
      </c>
      <c r="AH350" s="65" t="s">
        <v>341</v>
      </c>
      <c r="AI350" s="65" t="s">
        <v>341</v>
      </c>
      <c r="AJ350" s="65" t="s">
        <v>341</v>
      </c>
      <c r="AK350" s="65" t="s">
        <v>341</v>
      </c>
      <c r="AL350" s="65" t="s">
        <v>341</v>
      </c>
      <c r="AM350" s="65" t="s">
        <v>341</v>
      </c>
      <c r="AN350" s="65" t="s">
        <v>341</v>
      </c>
      <c r="AO350" s="65" t="s">
        <v>341</v>
      </c>
      <c r="AP350" s="65" t="s">
        <v>341</v>
      </c>
      <c r="AQ350" s="65" t="s">
        <v>341</v>
      </c>
      <c r="AR350" s="65" t="s">
        <v>341</v>
      </c>
      <c r="AS350" s="65" t="s">
        <v>341</v>
      </c>
      <c r="AT350" s="65" t="s">
        <v>341</v>
      </c>
      <c r="AU350" s="65" t="s">
        <v>341</v>
      </c>
      <c r="AV350" s="65" t="s">
        <v>341</v>
      </c>
      <c r="AW350" s="65" t="s">
        <v>341</v>
      </c>
      <c r="AX350" s="65" t="s">
        <v>341</v>
      </c>
      <c r="AY350" s="65" t="s">
        <v>341</v>
      </c>
    </row>
    <row r="351" spans="1:51" x14ac:dyDescent="0.2">
      <c r="A351" s="65" t="s">
        <v>1367</v>
      </c>
      <c r="B351" s="65" t="s">
        <v>450</v>
      </c>
      <c r="C351" s="65" t="s">
        <v>737</v>
      </c>
      <c r="D351" s="65" t="s">
        <v>2646</v>
      </c>
      <c r="E351" s="65" t="s">
        <v>353</v>
      </c>
      <c r="F351" s="65" t="s">
        <v>1872</v>
      </c>
      <c r="G351" s="65" t="s">
        <v>344</v>
      </c>
      <c r="H351" s="65" t="s">
        <v>2452</v>
      </c>
      <c r="I351" s="65" t="s">
        <v>2453</v>
      </c>
      <c r="J351" s="65">
        <v>3144345375</v>
      </c>
      <c r="K351" s="65" t="s">
        <v>2607</v>
      </c>
      <c r="L351" s="65" t="s">
        <v>2608</v>
      </c>
      <c r="M351" s="65" t="s">
        <v>361</v>
      </c>
      <c r="N351" s="65" t="s">
        <v>2609</v>
      </c>
      <c r="O351" s="65" t="s">
        <v>2457</v>
      </c>
      <c r="P351" s="65" t="s">
        <v>2458</v>
      </c>
      <c r="Q351" s="65" t="s">
        <v>2459</v>
      </c>
      <c r="R351" s="65" t="s">
        <v>2460</v>
      </c>
      <c r="S351" s="65" t="s">
        <v>2461</v>
      </c>
      <c r="T351" s="65" t="s">
        <v>2462</v>
      </c>
      <c r="U351" s="65" t="s">
        <v>2463</v>
      </c>
      <c r="V351" s="65" t="s">
        <v>2464</v>
      </c>
      <c r="W351" s="65" t="s">
        <v>2465</v>
      </c>
      <c r="X351" s="65" t="s">
        <v>2466</v>
      </c>
      <c r="Y351" s="65" t="s">
        <v>1873</v>
      </c>
      <c r="Z351" s="65" t="s">
        <v>1874</v>
      </c>
      <c r="AA351" s="65" t="s">
        <v>2647</v>
      </c>
      <c r="AB351" s="65">
        <v>5</v>
      </c>
      <c r="AC351" s="65" t="s">
        <v>2648</v>
      </c>
      <c r="AD351" s="65" t="s">
        <v>2649</v>
      </c>
      <c r="AE351" s="65" t="s">
        <v>2650</v>
      </c>
      <c r="AF351" s="65" t="s">
        <v>1437</v>
      </c>
      <c r="AG351" s="65">
        <v>1</v>
      </c>
      <c r="AH351" s="65">
        <v>3</v>
      </c>
      <c r="AI351" s="65">
        <v>2</v>
      </c>
      <c r="AJ351" s="65">
        <v>2</v>
      </c>
      <c r="AK351" s="65" t="s">
        <v>202</v>
      </c>
      <c r="AL351" s="128">
        <v>45532</v>
      </c>
      <c r="AM351" s="65">
        <v>6</v>
      </c>
      <c r="AN351" s="65">
        <v>1</v>
      </c>
      <c r="AO351" s="65" t="s">
        <v>202</v>
      </c>
      <c r="AP351" s="65">
        <v>3</v>
      </c>
      <c r="AQ351" s="65" t="s">
        <v>354</v>
      </c>
      <c r="AR351" s="65" t="s">
        <v>353</v>
      </c>
      <c r="AS351" s="65">
        <v>0</v>
      </c>
      <c r="AT351" s="65">
        <v>0</v>
      </c>
      <c r="AU351" s="65" t="s">
        <v>1438</v>
      </c>
      <c r="AV351" s="65" t="s">
        <v>198</v>
      </c>
      <c r="AW351" s="65" t="s">
        <v>353</v>
      </c>
      <c r="AX351" s="65" t="s">
        <v>202</v>
      </c>
      <c r="AY351" s="65" t="s">
        <v>353</v>
      </c>
    </row>
    <row r="352" spans="1:51" x14ac:dyDescent="0.2">
      <c r="A352" s="65" t="s">
        <v>1367</v>
      </c>
      <c r="B352" s="65" t="s">
        <v>83</v>
      </c>
      <c r="C352" s="65" t="s">
        <v>530</v>
      </c>
      <c r="D352" s="65" t="s">
        <v>2651</v>
      </c>
      <c r="E352" s="65" t="s">
        <v>353</v>
      </c>
      <c r="F352" s="65" t="s">
        <v>1872</v>
      </c>
      <c r="G352" s="65" t="s">
        <v>344</v>
      </c>
      <c r="H352" s="65" t="s">
        <v>2452</v>
      </c>
      <c r="I352" s="65" t="s">
        <v>2453</v>
      </c>
      <c r="J352" s="65">
        <v>3144345375</v>
      </c>
      <c r="K352" s="65" t="s">
        <v>2607</v>
      </c>
      <c r="L352" s="65" t="s">
        <v>2608</v>
      </c>
      <c r="M352" s="65" t="s">
        <v>361</v>
      </c>
      <c r="N352" s="65" t="s">
        <v>2609</v>
      </c>
      <c r="O352" s="65" t="s">
        <v>2457</v>
      </c>
      <c r="P352" s="65" t="s">
        <v>2458</v>
      </c>
      <c r="Q352" s="65" t="s">
        <v>2459</v>
      </c>
      <c r="R352" s="65" t="s">
        <v>2460</v>
      </c>
      <c r="S352" s="65" t="s">
        <v>2461</v>
      </c>
      <c r="T352" s="65" t="s">
        <v>2462</v>
      </c>
      <c r="U352" s="65" t="s">
        <v>2463</v>
      </c>
      <c r="V352" s="65" t="s">
        <v>2464</v>
      </c>
      <c r="W352" s="65" t="s">
        <v>2465</v>
      </c>
      <c r="X352" s="65" t="s">
        <v>2466</v>
      </c>
      <c r="Y352" s="65" t="s">
        <v>1873</v>
      </c>
      <c r="Z352" s="65" t="s">
        <v>1874</v>
      </c>
      <c r="AA352" s="65" t="s">
        <v>2652</v>
      </c>
      <c r="AB352" s="65">
        <v>4</v>
      </c>
      <c r="AC352" s="65" t="s">
        <v>2653</v>
      </c>
      <c r="AD352" s="65" t="s">
        <v>2386</v>
      </c>
      <c r="AE352" s="65" t="s">
        <v>2654</v>
      </c>
      <c r="AF352" s="65" t="s">
        <v>1437</v>
      </c>
      <c r="AG352" s="65">
        <v>2</v>
      </c>
      <c r="AH352" s="65">
        <v>1</v>
      </c>
      <c r="AI352" s="65">
        <v>2</v>
      </c>
      <c r="AJ352" s="65">
        <v>2</v>
      </c>
      <c r="AK352" s="65" t="s">
        <v>202</v>
      </c>
      <c r="AL352" s="129">
        <v>45570</v>
      </c>
      <c r="AM352" s="65">
        <v>6</v>
      </c>
      <c r="AN352" s="65">
        <v>1</v>
      </c>
      <c r="AO352" s="65" t="s">
        <v>202</v>
      </c>
      <c r="AP352" s="65">
        <v>3</v>
      </c>
      <c r="AQ352" s="65" t="s">
        <v>354</v>
      </c>
      <c r="AR352" s="65" t="s">
        <v>353</v>
      </c>
      <c r="AS352" s="65">
        <v>0</v>
      </c>
      <c r="AT352" s="65">
        <v>0</v>
      </c>
      <c r="AU352" s="65" t="s">
        <v>1438</v>
      </c>
      <c r="AV352" s="65" t="s">
        <v>198</v>
      </c>
      <c r="AW352" s="65" t="s">
        <v>353</v>
      </c>
      <c r="AX352" s="65" t="s">
        <v>202</v>
      </c>
      <c r="AY352" s="65" t="s">
        <v>353</v>
      </c>
    </row>
    <row r="353" spans="1:51" x14ac:dyDescent="0.2">
      <c r="A353" s="65" t="s">
        <v>1367</v>
      </c>
      <c r="B353" s="65" t="s">
        <v>57</v>
      </c>
      <c r="C353" s="65" t="s">
        <v>736</v>
      </c>
      <c r="D353" s="65" t="s">
        <v>2655</v>
      </c>
      <c r="E353" s="65" t="s">
        <v>353</v>
      </c>
      <c r="F353" s="65" t="s">
        <v>1872</v>
      </c>
      <c r="G353" s="65" t="s">
        <v>344</v>
      </c>
      <c r="H353" s="65" t="s">
        <v>2452</v>
      </c>
      <c r="I353" s="65" t="s">
        <v>2453</v>
      </c>
      <c r="J353" s="65">
        <v>3144345375</v>
      </c>
      <c r="K353" s="65" t="s">
        <v>2607</v>
      </c>
      <c r="L353" s="65" t="s">
        <v>2608</v>
      </c>
      <c r="M353" s="65" t="s">
        <v>361</v>
      </c>
      <c r="N353" s="65" t="s">
        <v>2609</v>
      </c>
      <c r="O353" s="65" t="s">
        <v>2457</v>
      </c>
      <c r="P353" s="65" t="s">
        <v>2458</v>
      </c>
      <c r="Q353" s="65" t="s">
        <v>2459</v>
      </c>
      <c r="R353" s="65" t="s">
        <v>2460</v>
      </c>
      <c r="S353" s="65" t="s">
        <v>2461</v>
      </c>
      <c r="T353" s="65" t="s">
        <v>2462</v>
      </c>
      <c r="U353" s="65" t="s">
        <v>2463</v>
      </c>
      <c r="V353" s="65" t="s">
        <v>2464</v>
      </c>
      <c r="W353" s="65" t="s">
        <v>2465</v>
      </c>
      <c r="X353" s="65" t="s">
        <v>2466</v>
      </c>
      <c r="Y353" s="65" t="s">
        <v>1873</v>
      </c>
      <c r="Z353" s="65" t="s">
        <v>1874</v>
      </c>
      <c r="AA353" s="65" t="s">
        <v>2656</v>
      </c>
      <c r="AB353" s="65">
        <v>3</v>
      </c>
      <c r="AC353" s="65" t="s">
        <v>1444</v>
      </c>
      <c r="AD353" s="65" t="s">
        <v>2072</v>
      </c>
      <c r="AE353" s="65" t="s">
        <v>2657</v>
      </c>
      <c r="AF353" s="65" t="s">
        <v>1437</v>
      </c>
      <c r="AG353" s="65">
        <v>2</v>
      </c>
      <c r="AH353" s="65">
        <v>2</v>
      </c>
      <c r="AI353" s="65">
        <v>2</v>
      </c>
      <c r="AJ353" s="65">
        <v>2</v>
      </c>
      <c r="AK353" s="65" t="s">
        <v>202</v>
      </c>
      <c r="AL353" s="128">
        <v>45744</v>
      </c>
      <c r="AM353" s="65">
        <v>6</v>
      </c>
      <c r="AN353" s="65">
        <v>1</v>
      </c>
      <c r="AO353" s="65" t="s">
        <v>202</v>
      </c>
      <c r="AP353" s="65">
        <v>3</v>
      </c>
      <c r="AQ353" s="65" t="s">
        <v>354</v>
      </c>
      <c r="AR353" s="65" t="s">
        <v>353</v>
      </c>
      <c r="AS353" s="65">
        <v>0</v>
      </c>
      <c r="AT353" s="65">
        <v>0</v>
      </c>
      <c r="AU353" s="65" t="s">
        <v>1438</v>
      </c>
      <c r="AV353" s="65" t="s">
        <v>1439</v>
      </c>
      <c r="AW353" s="65" t="s">
        <v>353</v>
      </c>
      <c r="AX353" s="65" t="s">
        <v>202</v>
      </c>
      <c r="AY353" s="65" t="s">
        <v>353</v>
      </c>
    </row>
    <row r="354" spans="1:51" x14ac:dyDescent="0.2">
      <c r="A354" s="65" t="s">
        <v>1367</v>
      </c>
      <c r="B354" s="65" t="s">
        <v>67</v>
      </c>
      <c r="C354" s="65" t="s">
        <v>331</v>
      </c>
      <c r="D354" s="65" t="s">
        <v>2658</v>
      </c>
      <c r="E354" s="65" t="s">
        <v>353</v>
      </c>
      <c r="F354" s="65" t="s">
        <v>1872</v>
      </c>
      <c r="G354" s="65" t="s">
        <v>344</v>
      </c>
      <c r="H354" s="65" t="s">
        <v>2452</v>
      </c>
      <c r="I354" s="65" t="s">
        <v>2453</v>
      </c>
      <c r="J354" s="65">
        <v>3144345375</v>
      </c>
      <c r="K354" s="65" t="s">
        <v>2607</v>
      </c>
      <c r="L354" s="65" t="s">
        <v>2608</v>
      </c>
      <c r="M354" s="65" t="s">
        <v>361</v>
      </c>
      <c r="N354" s="65" t="s">
        <v>2609</v>
      </c>
      <c r="O354" s="65" t="s">
        <v>2457</v>
      </c>
      <c r="P354" s="65" t="s">
        <v>2458</v>
      </c>
      <c r="Q354" s="65" t="s">
        <v>2459</v>
      </c>
      <c r="R354" s="65" t="s">
        <v>2460</v>
      </c>
      <c r="S354" s="65" t="s">
        <v>2461</v>
      </c>
      <c r="T354" s="65" t="s">
        <v>2462</v>
      </c>
      <c r="U354" s="65" t="s">
        <v>2463</v>
      </c>
      <c r="V354" s="65" t="s">
        <v>2464</v>
      </c>
      <c r="W354" s="65" t="s">
        <v>2465</v>
      </c>
      <c r="X354" s="65" t="s">
        <v>2466</v>
      </c>
      <c r="Y354" s="65" t="s">
        <v>1873</v>
      </c>
      <c r="Z354" s="65" t="s">
        <v>1874</v>
      </c>
      <c r="AA354" s="65" t="s">
        <v>2659</v>
      </c>
      <c r="AB354" s="65">
        <v>4</v>
      </c>
      <c r="AC354" s="65" t="s">
        <v>2223</v>
      </c>
      <c r="AD354" s="65" t="s">
        <v>2295</v>
      </c>
      <c r="AE354" s="65" t="s">
        <v>2660</v>
      </c>
      <c r="AF354" s="65" t="s">
        <v>1437</v>
      </c>
      <c r="AG354" s="65">
        <v>2</v>
      </c>
      <c r="AH354" s="65">
        <v>1</v>
      </c>
      <c r="AI354" s="65">
        <v>3</v>
      </c>
      <c r="AJ354" s="65">
        <v>3</v>
      </c>
      <c r="AK354" s="65" t="s">
        <v>202</v>
      </c>
      <c r="AL354" s="128">
        <v>44981</v>
      </c>
      <c r="AM354" s="65">
        <v>6</v>
      </c>
      <c r="AN354" s="65">
        <v>1</v>
      </c>
      <c r="AO354" s="65" t="s">
        <v>202</v>
      </c>
      <c r="AP354" s="65">
        <v>4</v>
      </c>
      <c r="AQ354" s="65" t="s">
        <v>354</v>
      </c>
      <c r="AR354" s="65" t="s">
        <v>202</v>
      </c>
      <c r="AS354" s="65">
        <v>1</v>
      </c>
      <c r="AT354" s="65">
        <v>1</v>
      </c>
      <c r="AU354" s="65" t="s">
        <v>1438</v>
      </c>
      <c r="AV354" s="65" t="s">
        <v>198</v>
      </c>
      <c r="AW354" s="65" t="s">
        <v>353</v>
      </c>
      <c r="AX354" s="65" t="s">
        <v>202</v>
      </c>
      <c r="AY354" s="65" t="s">
        <v>353</v>
      </c>
    </row>
    <row r="355" spans="1:51" x14ac:dyDescent="0.2">
      <c r="A355" s="65" t="s">
        <v>1367</v>
      </c>
      <c r="B355" s="65" t="s">
        <v>10</v>
      </c>
      <c r="C355" s="65" t="s">
        <v>107</v>
      </c>
      <c r="D355" s="65" t="s">
        <v>2661</v>
      </c>
      <c r="E355" s="65" t="s">
        <v>353</v>
      </c>
      <c r="F355" s="65" t="s">
        <v>1872</v>
      </c>
      <c r="G355" s="65" t="s">
        <v>344</v>
      </c>
      <c r="H355" s="65" t="s">
        <v>2452</v>
      </c>
      <c r="I355" s="65" t="s">
        <v>2453</v>
      </c>
      <c r="J355" s="65">
        <v>3144345375</v>
      </c>
      <c r="K355" s="65" t="s">
        <v>2662</v>
      </c>
      <c r="L355" s="65" t="s">
        <v>2663</v>
      </c>
      <c r="M355" s="65" t="s">
        <v>358</v>
      </c>
      <c r="N355" s="65" t="s">
        <v>2664</v>
      </c>
      <c r="O355" s="65" t="s">
        <v>2457</v>
      </c>
      <c r="P355" s="65" t="s">
        <v>2458</v>
      </c>
      <c r="Q355" s="65" t="s">
        <v>2459</v>
      </c>
      <c r="R355" s="65" t="s">
        <v>2460</v>
      </c>
      <c r="S355" s="65" t="s">
        <v>2461</v>
      </c>
      <c r="T355" s="65" t="s">
        <v>2462</v>
      </c>
      <c r="U355" s="65" t="s">
        <v>2463</v>
      </c>
      <c r="V355" s="65" t="s">
        <v>2464</v>
      </c>
      <c r="W355" s="65" t="s">
        <v>2465</v>
      </c>
      <c r="X355" s="65" t="s">
        <v>2466</v>
      </c>
      <c r="Y355" s="65" t="s">
        <v>2665</v>
      </c>
      <c r="Z355" s="65" t="s">
        <v>1886</v>
      </c>
      <c r="AA355" s="65" t="s">
        <v>2666</v>
      </c>
      <c r="AB355" s="65">
        <v>2</v>
      </c>
      <c r="AC355" s="65" t="s">
        <v>2649</v>
      </c>
      <c r="AD355" s="65" t="s">
        <v>2667</v>
      </c>
      <c r="AE355" s="65" t="s">
        <v>2668</v>
      </c>
      <c r="AF355" s="65" t="s">
        <v>1437</v>
      </c>
      <c r="AG355" s="65">
        <v>0</v>
      </c>
      <c r="AH355" s="65">
        <v>0</v>
      </c>
      <c r="AI355" s="65">
        <v>2</v>
      </c>
      <c r="AJ355" s="65">
        <v>1</v>
      </c>
      <c r="AK355" s="65" t="s">
        <v>202</v>
      </c>
      <c r="AL355" s="128">
        <v>45008</v>
      </c>
      <c r="AM355" s="65">
        <v>3</v>
      </c>
      <c r="AN355" s="65">
        <v>1</v>
      </c>
      <c r="AO355" s="65" t="s">
        <v>202</v>
      </c>
      <c r="AP355" s="65">
        <v>2</v>
      </c>
      <c r="AQ355" s="65" t="s">
        <v>352</v>
      </c>
      <c r="AR355" s="65" t="s">
        <v>202</v>
      </c>
      <c r="AS355" s="65">
        <v>1</v>
      </c>
      <c r="AT355" s="65">
        <v>1</v>
      </c>
      <c r="AU355" s="65" t="s">
        <v>1529</v>
      </c>
      <c r="AV355" s="65" t="s">
        <v>1439</v>
      </c>
      <c r="AW355" s="65" t="s">
        <v>202</v>
      </c>
      <c r="AX355" s="65" t="s">
        <v>202</v>
      </c>
      <c r="AY355" s="65" t="s">
        <v>202</v>
      </c>
    </row>
    <row r="356" spans="1:51" x14ac:dyDescent="0.2">
      <c r="A356" s="65" t="s">
        <v>1367</v>
      </c>
      <c r="B356" s="65" t="s">
        <v>8</v>
      </c>
      <c r="C356" s="65" t="s">
        <v>105</v>
      </c>
      <c r="D356" s="65" t="s">
        <v>2669</v>
      </c>
      <c r="E356" s="65" t="s">
        <v>353</v>
      </c>
      <c r="F356" s="65" t="s">
        <v>1872</v>
      </c>
      <c r="G356" s="65" t="s">
        <v>344</v>
      </c>
      <c r="H356" s="65" t="s">
        <v>2452</v>
      </c>
      <c r="I356" s="65" t="s">
        <v>2453</v>
      </c>
      <c r="J356" s="65">
        <v>3144345375</v>
      </c>
      <c r="K356" s="65" t="s">
        <v>2662</v>
      </c>
      <c r="L356" s="65" t="s">
        <v>2663</v>
      </c>
      <c r="M356" s="65" t="s">
        <v>358</v>
      </c>
      <c r="N356" s="65" t="s">
        <v>2664</v>
      </c>
      <c r="O356" s="65" t="s">
        <v>2457</v>
      </c>
      <c r="P356" s="65" t="s">
        <v>2458</v>
      </c>
      <c r="Q356" s="65" t="s">
        <v>2459</v>
      </c>
      <c r="R356" s="65" t="s">
        <v>2460</v>
      </c>
      <c r="S356" s="65" t="s">
        <v>2461</v>
      </c>
      <c r="T356" s="65" t="s">
        <v>2462</v>
      </c>
      <c r="U356" s="65" t="s">
        <v>2463</v>
      </c>
      <c r="V356" s="65" t="s">
        <v>2464</v>
      </c>
      <c r="W356" s="65" t="s">
        <v>2465</v>
      </c>
      <c r="X356" s="65" t="s">
        <v>2466</v>
      </c>
      <c r="Y356" s="65" t="s">
        <v>1873</v>
      </c>
      <c r="Z356" s="65" t="s">
        <v>1874</v>
      </c>
      <c r="AA356" s="65" t="s">
        <v>2670</v>
      </c>
      <c r="AB356" s="65">
        <v>2</v>
      </c>
      <c r="AC356" s="65" t="s">
        <v>2556</v>
      </c>
      <c r="AD356" s="65" t="s">
        <v>2671</v>
      </c>
      <c r="AE356" s="65" t="s">
        <v>2672</v>
      </c>
      <c r="AF356" s="65" t="s">
        <v>1437</v>
      </c>
      <c r="AG356" s="65">
        <v>1</v>
      </c>
      <c r="AH356" s="65">
        <v>0</v>
      </c>
      <c r="AI356" s="65">
        <v>2</v>
      </c>
      <c r="AJ356" s="65">
        <v>2</v>
      </c>
      <c r="AK356" s="65" t="s">
        <v>202</v>
      </c>
      <c r="AL356" s="128">
        <v>44999</v>
      </c>
      <c r="AM356" s="65">
        <v>4</v>
      </c>
      <c r="AN356" s="65">
        <v>1</v>
      </c>
      <c r="AO356" s="65" t="s">
        <v>202</v>
      </c>
      <c r="AP356" s="65">
        <v>2</v>
      </c>
      <c r="AQ356" s="65" t="s">
        <v>355</v>
      </c>
      <c r="AR356" s="65" t="s">
        <v>202</v>
      </c>
      <c r="AS356" s="65">
        <v>1</v>
      </c>
      <c r="AT356" s="65">
        <v>1</v>
      </c>
      <c r="AU356" s="65" t="s">
        <v>1529</v>
      </c>
      <c r="AV356" s="65" t="s">
        <v>1439</v>
      </c>
      <c r="AW356" s="65" t="s">
        <v>202</v>
      </c>
      <c r="AX356" s="65" t="s">
        <v>202</v>
      </c>
      <c r="AY356" s="65" t="s">
        <v>202</v>
      </c>
    </row>
    <row r="357" spans="1:51" x14ac:dyDescent="0.2">
      <c r="A357" s="65" t="s">
        <v>1367</v>
      </c>
      <c r="B357" s="65" t="s">
        <v>9</v>
      </c>
      <c r="C357" s="65" t="s">
        <v>106</v>
      </c>
      <c r="D357" s="65" t="s">
        <v>2673</v>
      </c>
      <c r="E357" s="65" t="s">
        <v>353</v>
      </c>
      <c r="F357" s="65" t="s">
        <v>1872</v>
      </c>
      <c r="G357" s="65" t="s">
        <v>344</v>
      </c>
      <c r="H357" s="65" t="s">
        <v>2452</v>
      </c>
      <c r="I357" s="65" t="s">
        <v>2453</v>
      </c>
      <c r="J357" s="65">
        <v>3144345375</v>
      </c>
      <c r="K357" s="65" t="s">
        <v>2662</v>
      </c>
      <c r="L357" s="65" t="s">
        <v>2663</v>
      </c>
      <c r="M357" s="65" t="s">
        <v>358</v>
      </c>
      <c r="N357" s="65" t="s">
        <v>2664</v>
      </c>
      <c r="O357" s="65" t="s">
        <v>2457</v>
      </c>
      <c r="P357" s="65" t="s">
        <v>2458</v>
      </c>
      <c r="Q357" s="65" t="s">
        <v>2459</v>
      </c>
      <c r="R357" s="65" t="s">
        <v>2460</v>
      </c>
      <c r="S357" s="65" t="s">
        <v>2461</v>
      </c>
      <c r="T357" s="65" t="s">
        <v>2462</v>
      </c>
      <c r="U357" s="65" t="s">
        <v>2463</v>
      </c>
      <c r="V357" s="65" t="s">
        <v>2464</v>
      </c>
      <c r="W357" s="65" t="s">
        <v>2465</v>
      </c>
      <c r="X357" s="65" t="s">
        <v>2466</v>
      </c>
      <c r="Y357" s="65" t="s">
        <v>1873</v>
      </c>
      <c r="Z357" s="65" t="s">
        <v>1874</v>
      </c>
      <c r="AA357" s="65" t="s">
        <v>2674</v>
      </c>
      <c r="AB357" s="65">
        <v>2</v>
      </c>
      <c r="AC357" s="65" t="s">
        <v>2675</v>
      </c>
      <c r="AD357" s="65" t="s">
        <v>1444</v>
      </c>
      <c r="AE357" s="65" t="s">
        <v>2676</v>
      </c>
      <c r="AF357" s="65" t="s">
        <v>1437</v>
      </c>
      <c r="AG357" s="65">
        <v>2</v>
      </c>
      <c r="AH357" s="65">
        <v>0</v>
      </c>
      <c r="AI357" s="65">
        <v>2</v>
      </c>
      <c r="AJ357" s="65">
        <v>2</v>
      </c>
      <c r="AK357" s="65" t="s">
        <v>202</v>
      </c>
      <c r="AL357" s="128">
        <v>45008</v>
      </c>
      <c r="AM357" s="65">
        <v>5</v>
      </c>
      <c r="AN357" s="65">
        <v>1</v>
      </c>
      <c r="AO357" s="65" t="s">
        <v>202</v>
      </c>
      <c r="AP357" s="65">
        <v>2</v>
      </c>
      <c r="AQ357" s="65" t="s">
        <v>352</v>
      </c>
      <c r="AR357" s="65" t="s">
        <v>202</v>
      </c>
      <c r="AS357" s="65">
        <v>1</v>
      </c>
      <c r="AT357" s="65">
        <v>1</v>
      </c>
      <c r="AU357" s="65" t="s">
        <v>1438</v>
      </c>
      <c r="AV357" s="65" t="s">
        <v>1439</v>
      </c>
      <c r="AW357" s="65" t="s">
        <v>202</v>
      </c>
      <c r="AX357" s="65" t="s">
        <v>202</v>
      </c>
      <c r="AY357" s="65" t="s">
        <v>202</v>
      </c>
    </row>
    <row r="358" spans="1:51" x14ac:dyDescent="0.2">
      <c r="A358" s="65" t="s">
        <v>1367</v>
      </c>
      <c r="B358" s="65" t="s">
        <v>40</v>
      </c>
      <c r="C358" s="65" t="s">
        <v>137</v>
      </c>
      <c r="D358" s="65" t="s">
        <v>2677</v>
      </c>
      <c r="E358" s="65" t="s">
        <v>353</v>
      </c>
      <c r="F358" s="65" t="s">
        <v>1872</v>
      </c>
      <c r="G358" s="65" t="s">
        <v>344</v>
      </c>
      <c r="H358" s="65" t="s">
        <v>2452</v>
      </c>
      <c r="I358" s="65" t="s">
        <v>2453</v>
      </c>
      <c r="J358" s="65">
        <v>3144345375</v>
      </c>
      <c r="K358" s="65" t="s">
        <v>2662</v>
      </c>
      <c r="L358" s="65" t="s">
        <v>2663</v>
      </c>
      <c r="M358" s="65" t="s">
        <v>358</v>
      </c>
      <c r="N358" s="65" t="s">
        <v>2664</v>
      </c>
      <c r="O358" s="65" t="s">
        <v>2457</v>
      </c>
      <c r="P358" s="65" t="s">
        <v>2458</v>
      </c>
      <c r="Q358" s="65" t="s">
        <v>2459</v>
      </c>
      <c r="R358" s="65" t="s">
        <v>2460</v>
      </c>
      <c r="S358" s="65" t="s">
        <v>2461</v>
      </c>
      <c r="T358" s="65" t="s">
        <v>2462</v>
      </c>
      <c r="U358" s="65" t="s">
        <v>2463</v>
      </c>
      <c r="V358" s="65" t="s">
        <v>2464</v>
      </c>
      <c r="W358" s="65" t="s">
        <v>2465</v>
      </c>
      <c r="X358" s="65" t="s">
        <v>2466</v>
      </c>
      <c r="Y358" s="65" t="s">
        <v>1873</v>
      </c>
      <c r="Z358" s="65" t="s">
        <v>1874</v>
      </c>
      <c r="AA358" s="65" t="s">
        <v>2678</v>
      </c>
      <c r="AB358" s="65">
        <v>2</v>
      </c>
      <c r="AC358" s="65" t="s">
        <v>2354</v>
      </c>
      <c r="AD358" s="65" t="s">
        <v>2679</v>
      </c>
      <c r="AE358" s="65" t="s">
        <v>2680</v>
      </c>
      <c r="AF358" s="65" t="s">
        <v>1437</v>
      </c>
      <c r="AG358" s="65">
        <v>1</v>
      </c>
      <c r="AH358" s="65">
        <v>0</v>
      </c>
      <c r="AI358" s="65">
        <v>2</v>
      </c>
      <c r="AJ358" s="65">
        <v>2</v>
      </c>
      <c r="AK358" s="65" t="s">
        <v>202</v>
      </c>
      <c r="AL358" s="128">
        <v>45008</v>
      </c>
      <c r="AM358" s="65">
        <v>5</v>
      </c>
      <c r="AN358" s="65">
        <v>2</v>
      </c>
      <c r="AO358" s="65" t="s">
        <v>202</v>
      </c>
      <c r="AP358" s="65">
        <v>4</v>
      </c>
      <c r="AQ358" s="65" t="s">
        <v>354</v>
      </c>
      <c r="AR358" s="65" t="s">
        <v>202</v>
      </c>
      <c r="AS358" s="65">
        <v>1</v>
      </c>
      <c r="AT358" s="65">
        <v>1</v>
      </c>
      <c r="AU358" s="65" t="s">
        <v>1438</v>
      </c>
      <c r="AV358" s="65" t="s">
        <v>1439</v>
      </c>
      <c r="AW358" s="65" t="s">
        <v>353</v>
      </c>
      <c r="AX358" s="65" t="s">
        <v>202</v>
      </c>
      <c r="AY358" s="65" t="s">
        <v>353</v>
      </c>
    </row>
    <row r="359" spans="1:51" x14ac:dyDescent="0.2">
      <c r="A359" s="65" t="s">
        <v>1367</v>
      </c>
      <c r="B359" s="65" t="s">
        <v>72</v>
      </c>
      <c r="C359" s="65" t="s">
        <v>169</v>
      </c>
      <c r="D359" s="65" t="s">
        <v>2681</v>
      </c>
      <c r="E359" s="65" t="s">
        <v>353</v>
      </c>
      <c r="F359" s="65" t="s">
        <v>1872</v>
      </c>
      <c r="G359" s="65" t="s">
        <v>344</v>
      </c>
      <c r="H359" s="65" t="s">
        <v>2452</v>
      </c>
      <c r="I359" s="65" t="s">
        <v>2453</v>
      </c>
      <c r="J359" s="65">
        <v>3144345375</v>
      </c>
      <c r="K359" s="65" t="s">
        <v>2662</v>
      </c>
      <c r="L359" s="65" t="s">
        <v>2663</v>
      </c>
      <c r="M359" s="65" t="s">
        <v>358</v>
      </c>
      <c r="N359" s="65" t="s">
        <v>2664</v>
      </c>
      <c r="O359" s="65" t="s">
        <v>2457</v>
      </c>
      <c r="P359" s="65" t="s">
        <v>2458</v>
      </c>
      <c r="Q359" s="65" t="s">
        <v>2459</v>
      </c>
      <c r="R359" s="65" t="s">
        <v>2460</v>
      </c>
      <c r="S359" s="65" t="s">
        <v>2461</v>
      </c>
      <c r="T359" s="65" t="s">
        <v>2462</v>
      </c>
      <c r="U359" s="65" t="s">
        <v>2463</v>
      </c>
      <c r="V359" s="65" t="s">
        <v>2464</v>
      </c>
      <c r="W359" s="65" t="s">
        <v>2465</v>
      </c>
      <c r="X359" s="65" t="s">
        <v>2466</v>
      </c>
      <c r="Y359" s="65" t="s">
        <v>1873</v>
      </c>
      <c r="Z359" s="65" t="s">
        <v>1874</v>
      </c>
      <c r="AA359" s="65" t="s">
        <v>2682</v>
      </c>
      <c r="AB359" s="65">
        <v>2</v>
      </c>
      <c r="AC359" s="65" t="s">
        <v>1547</v>
      </c>
      <c r="AD359" s="65" t="s">
        <v>2683</v>
      </c>
      <c r="AE359" s="65" t="s">
        <v>2684</v>
      </c>
      <c r="AF359" s="65" t="s">
        <v>1437</v>
      </c>
      <c r="AG359" s="65">
        <v>1</v>
      </c>
      <c r="AH359" s="65">
        <v>0</v>
      </c>
      <c r="AI359" s="65">
        <v>2</v>
      </c>
      <c r="AJ359" s="65">
        <v>2</v>
      </c>
      <c r="AK359" s="65" t="s">
        <v>202</v>
      </c>
      <c r="AL359" s="128">
        <v>45024</v>
      </c>
      <c r="AM359" s="65">
        <v>3</v>
      </c>
      <c r="AN359" s="65">
        <v>1</v>
      </c>
      <c r="AO359" s="65" t="s">
        <v>202</v>
      </c>
      <c r="AP359" s="65">
        <v>2</v>
      </c>
      <c r="AQ359" s="65" t="s">
        <v>354</v>
      </c>
      <c r="AR359" s="65" t="s">
        <v>202</v>
      </c>
      <c r="AS359" s="65">
        <v>1</v>
      </c>
      <c r="AT359" s="65">
        <v>1</v>
      </c>
      <c r="AU359" s="65" t="s">
        <v>1529</v>
      </c>
      <c r="AV359" s="65" t="s">
        <v>1439</v>
      </c>
      <c r="AW359" s="65" t="s">
        <v>353</v>
      </c>
      <c r="AX359" s="65" t="s">
        <v>202</v>
      </c>
      <c r="AY359" s="65" t="s">
        <v>353</v>
      </c>
    </row>
    <row r="360" spans="1:51" x14ac:dyDescent="0.2">
      <c r="A360" s="65" t="s">
        <v>1367</v>
      </c>
      <c r="B360" s="65" t="s">
        <v>41</v>
      </c>
      <c r="C360" s="65" t="s">
        <v>138</v>
      </c>
      <c r="D360" s="65" t="s">
        <v>2685</v>
      </c>
      <c r="E360" s="65" t="s">
        <v>353</v>
      </c>
      <c r="F360" s="65" t="s">
        <v>1872</v>
      </c>
      <c r="G360" s="65" t="s">
        <v>344</v>
      </c>
      <c r="H360" s="65" t="s">
        <v>2452</v>
      </c>
      <c r="I360" s="65" t="s">
        <v>2453</v>
      </c>
      <c r="J360" s="65">
        <v>3144345375</v>
      </c>
      <c r="K360" s="65" t="s">
        <v>2662</v>
      </c>
      <c r="L360" s="65" t="s">
        <v>2663</v>
      </c>
      <c r="M360" s="65" t="s">
        <v>358</v>
      </c>
      <c r="N360" s="65" t="s">
        <v>2664</v>
      </c>
      <c r="O360" s="65" t="s">
        <v>2457</v>
      </c>
      <c r="P360" s="65" t="s">
        <v>2458</v>
      </c>
      <c r="Q360" s="65" t="s">
        <v>2459</v>
      </c>
      <c r="R360" s="65" t="s">
        <v>2460</v>
      </c>
      <c r="S360" s="65" t="s">
        <v>2461</v>
      </c>
      <c r="T360" s="65" t="s">
        <v>2462</v>
      </c>
      <c r="U360" s="65" t="s">
        <v>2463</v>
      </c>
      <c r="V360" s="65" t="s">
        <v>2464</v>
      </c>
      <c r="W360" s="65" t="s">
        <v>2465</v>
      </c>
      <c r="X360" s="65" t="s">
        <v>2466</v>
      </c>
      <c r="Y360" s="65" t="s">
        <v>138</v>
      </c>
      <c r="Z360" s="65" t="s">
        <v>1886</v>
      </c>
      <c r="AA360" s="65" t="s">
        <v>2686</v>
      </c>
      <c r="AB360" s="65">
        <v>3</v>
      </c>
      <c r="AC360" s="65" t="s">
        <v>2687</v>
      </c>
      <c r="AD360" s="65" t="s">
        <v>1592</v>
      </c>
      <c r="AE360" s="65" t="s">
        <v>2688</v>
      </c>
      <c r="AF360" s="65" t="s">
        <v>1437</v>
      </c>
      <c r="AG360" s="65">
        <v>2</v>
      </c>
      <c r="AH360" s="65">
        <v>1</v>
      </c>
      <c r="AI360" s="65">
        <v>2</v>
      </c>
      <c r="AJ360" s="65">
        <v>2</v>
      </c>
      <c r="AK360" s="65" t="s">
        <v>202</v>
      </c>
      <c r="AL360" s="128">
        <v>45008</v>
      </c>
      <c r="AM360" s="65">
        <v>5</v>
      </c>
      <c r="AN360" s="65">
        <v>2</v>
      </c>
      <c r="AO360" s="65" t="s">
        <v>202</v>
      </c>
      <c r="AP360" s="65">
        <v>4</v>
      </c>
      <c r="AQ360" s="65" t="s">
        <v>352</v>
      </c>
      <c r="AR360" s="65" t="s">
        <v>202</v>
      </c>
      <c r="AS360" s="65">
        <v>1</v>
      </c>
      <c r="AT360" s="65">
        <v>1</v>
      </c>
      <c r="AU360" s="65" t="s">
        <v>1438</v>
      </c>
      <c r="AV360" s="65" t="s">
        <v>1439</v>
      </c>
      <c r="AW360" s="65" t="s">
        <v>202</v>
      </c>
      <c r="AX360" s="65" t="s">
        <v>202</v>
      </c>
      <c r="AY360" s="65" t="s">
        <v>353</v>
      </c>
    </row>
    <row r="361" spans="1:51" x14ac:dyDescent="0.2">
      <c r="A361" s="65" t="s">
        <v>1367</v>
      </c>
      <c r="B361" s="65" t="s">
        <v>75</v>
      </c>
      <c r="C361" s="65" t="s">
        <v>172</v>
      </c>
      <c r="D361" s="65" t="s">
        <v>2689</v>
      </c>
      <c r="E361" s="65" t="s">
        <v>353</v>
      </c>
      <c r="F361" s="65" t="s">
        <v>1872</v>
      </c>
      <c r="G361" s="65" t="s">
        <v>344</v>
      </c>
      <c r="H361" s="65" t="s">
        <v>2452</v>
      </c>
      <c r="I361" s="65" t="s">
        <v>2453</v>
      </c>
      <c r="J361" s="65">
        <v>3144345375</v>
      </c>
      <c r="K361" s="65" t="s">
        <v>2662</v>
      </c>
      <c r="L361" s="65" t="s">
        <v>2663</v>
      </c>
      <c r="M361" s="65" t="s">
        <v>358</v>
      </c>
      <c r="N361" s="65" t="s">
        <v>2664</v>
      </c>
      <c r="O361" s="65" t="s">
        <v>2457</v>
      </c>
      <c r="P361" s="65" t="s">
        <v>2458</v>
      </c>
      <c r="Q361" s="65" t="s">
        <v>2459</v>
      </c>
      <c r="R361" s="65" t="s">
        <v>2460</v>
      </c>
      <c r="S361" s="65" t="s">
        <v>2461</v>
      </c>
      <c r="T361" s="65" t="s">
        <v>2462</v>
      </c>
      <c r="U361" s="65" t="s">
        <v>2463</v>
      </c>
      <c r="V361" s="65" t="s">
        <v>2464</v>
      </c>
      <c r="W361" s="65" t="s">
        <v>2465</v>
      </c>
      <c r="X361" s="65" t="s">
        <v>2466</v>
      </c>
      <c r="Y361" s="65" t="s">
        <v>1873</v>
      </c>
      <c r="Z361" s="65" t="s">
        <v>1874</v>
      </c>
      <c r="AA361" s="65" t="s">
        <v>2690</v>
      </c>
      <c r="AB361" s="65">
        <v>3</v>
      </c>
      <c r="AC361" s="65" t="s">
        <v>2089</v>
      </c>
      <c r="AD361" s="65" t="s">
        <v>2524</v>
      </c>
      <c r="AE361" s="65" t="s">
        <v>2691</v>
      </c>
      <c r="AF361" s="65" t="s">
        <v>1437</v>
      </c>
      <c r="AG361" s="65">
        <v>2</v>
      </c>
      <c r="AH361" s="65">
        <v>0</v>
      </c>
      <c r="AI361" s="65">
        <v>2</v>
      </c>
      <c r="AJ361" s="65">
        <v>2</v>
      </c>
      <c r="AK361" s="65" t="s">
        <v>202</v>
      </c>
      <c r="AL361" s="128">
        <v>45097</v>
      </c>
      <c r="AM361" s="65">
        <v>6</v>
      </c>
      <c r="AN361" s="65">
        <v>1</v>
      </c>
      <c r="AO361" s="65" t="s">
        <v>202</v>
      </c>
      <c r="AP361" s="65">
        <v>4</v>
      </c>
      <c r="AQ361" s="65" t="s">
        <v>354</v>
      </c>
      <c r="AR361" s="65" t="s">
        <v>202</v>
      </c>
      <c r="AS361" s="65">
        <v>1</v>
      </c>
      <c r="AT361" s="65">
        <v>1</v>
      </c>
      <c r="AU361" s="65" t="s">
        <v>1529</v>
      </c>
      <c r="AV361" s="65" t="s">
        <v>1439</v>
      </c>
      <c r="AW361" s="65" t="s">
        <v>353</v>
      </c>
      <c r="AX361" s="65" t="s">
        <v>202</v>
      </c>
      <c r="AY361" s="65" t="s">
        <v>353</v>
      </c>
    </row>
    <row r="362" spans="1:51" x14ac:dyDescent="0.2">
      <c r="A362" s="65" t="s">
        <v>1367</v>
      </c>
      <c r="B362" s="65" t="s">
        <v>14</v>
      </c>
      <c r="C362" s="65" t="s">
        <v>111</v>
      </c>
      <c r="D362" s="65" t="s">
        <v>2692</v>
      </c>
      <c r="E362" s="65" t="s">
        <v>353</v>
      </c>
      <c r="F362" s="65" t="s">
        <v>1872</v>
      </c>
      <c r="G362" s="65" t="s">
        <v>344</v>
      </c>
      <c r="H362" s="65" t="s">
        <v>2452</v>
      </c>
      <c r="I362" s="65" t="s">
        <v>2453</v>
      </c>
      <c r="J362" s="65">
        <v>3144345375</v>
      </c>
      <c r="K362" s="65" t="s">
        <v>2662</v>
      </c>
      <c r="L362" s="65" t="s">
        <v>2663</v>
      </c>
      <c r="M362" s="65" t="s">
        <v>358</v>
      </c>
      <c r="N362" s="65" t="s">
        <v>2664</v>
      </c>
      <c r="O362" s="65" t="s">
        <v>2457</v>
      </c>
      <c r="P362" s="65" t="s">
        <v>2458</v>
      </c>
      <c r="Q362" s="65" t="s">
        <v>2459</v>
      </c>
      <c r="R362" s="65" t="s">
        <v>2460</v>
      </c>
      <c r="S362" s="65" t="s">
        <v>2461</v>
      </c>
      <c r="T362" s="65" t="s">
        <v>2462</v>
      </c>
      <c r="U362" s="65" t="s">
        <v>2463</v>
      </c>
      <c r="V362" s="65" t="s">
        <v>2464</v>
      </c>
      <c r="W362" s="65" t="s">
        <v>2465</v>
      </c>
      <c r="X362" s="65" t="s">
        <v>2466</v>
      </c>
      <c r="Y362" s="65" t="s">
        <v>111</v>
      </c>
      <c r="Z362" s="65" t="s">
        <v>1886</v>
      </c>
      <c r="AA362" s="65" t="s">
        <v>2693</v>
      </c>
      <c r="AB362" s="65">
        <v>2</v>
      </c>
      <c r="AC362" s="65" t="s">
        <v>2218</v>
      </c>
      <c r="AD362" s="65" t="s">
        <v>2694</v>
      </c>
      <c r="AE362" s="65" t="s">
        <v>2695</v>
      </c>
      <c r="AF362" s="65" t="s">
        <v>2253</v>
      </c>
      <c r="AG362" s="65">
        <v>1</v>
      </c>
      <c r="AH362" s="65">
        <v>0</v>
      </c>
      <c r="AI362" s="65">
        <v>2</v>
      </c>
      <c r="AJ362" s="65">
        <v>2</v>
      </c>
      <c r="AK362" s="65" t="s">
        <v>202</v>
      </c>
      <c r="AL362" s="128">
        <v>45059</v>
      </c>
      <c r="AM362" s="65">
        <v>4</v>
      </c>
      <c r="AN362" s="65">
        <v>1</v>
      </c>
      <c r="AO362" s="65" t="s">
        <v>202</v>
      </c>
      <c r="AP362" s="65">
        <v>2</v>
      </c>
      <c r="AQ362" s="65" t="s">
        <v>352</v>
      </c>
      <c r="AR362" s="65" t="s">
        <v>202</v>
      </c>
      <c r="AS362" s="65">
        <v>1</v>
      </c>
      <c r="AT362" s="65">
        <v>1</v>
      </c>
      <c r="AU362" s="65" t="s">
        <v>1529</v>
      </c>
      <c r="AV362" s="65" t="s">
        <v>1439</v>
      </c>
      <c r="AW362" s="65" t="s">
        <v>202</v>
      </c>
      <c r="AX362" s="65" t="s">
        <v>202</v>
      </c>
      <c r="AY362" s="65" t="s">
        <v>202</v>
      </c>
    </row>
    <row r="363" spans="1:51" x14ac:dyDescent="0.2">
      <c r="A363" s="65" t="s">
        <v>1367</v>
      </c>
      <c r="B363" s="65" t="s">
        <v>46</v>
      </c>
      <c r="C363" s="65" t="s">
        <v>143</v>
      </c>
      <c r="D363" s="65" t="s">
        <v>2696</v>
      </c>
      <c r="E363" s="65" t="s">
        <v>353</v>
      </c>
      <c r="F363" s="65" t="s">
        <v>1872</v>
      </c>
      <c r="G363" s="65" t="s">
        <v>344</v>
      </c>
      <c r="H363" s="65" t="s">
        <v>2452</v>
      </c>
      <c r="I363" s="65" t="s">
        <v>2453</v>
      </c>
      <c r="J363" s="65">
        <v>3144345375</v>
      </c>
      <c r="K363" s="65" t="s">
        <v>2662</v>
      </c>
      <c r="L363" s="65" t="s">
        <v>2663</v>
      </c>
      <c r="M363" s="65" t="s">
        <v>358</v>
      </c>
      <c r="N363" s="65" t="s">
        <v>2664</v>
      </c>
      <c r="O363" s="65" t="s">
        <v>2457</v>
      </c>
      <c r="P363" s="65" t="s">
        <v>2458</v>
      </c>
      <c r="Q363" s="65" t="s">
        <v>2459</v>
      </c>
      <c r="R363" s="65" t="s">
        <v>2460</v>
      </c>
      <c r="S363" s="65" t="s">
        <v>2461</v>
      </c>
      <c r="T363" s="65" t="s">
        <v>2462</v>
      </c>
      <c r="U363" s="65" t="s">
        <v>2463</v>
      </c>
      <c r="V363" s="65" t="s">
        <v>2464</v>
      </c>
      <c r="W363" s="65" t="s">
        <v>2465</v>
      </c>
      <c r="X363" s="65" t="s">
        <v>2466</v>
      </c>
      <c r="Y363" s="65" t="s">
        <v>1873</v>
      </c>
      <c r="Z363" s="65" t="s">
        <v>2531</v>
      </c>
      <c r="AA363" s="65" t="s">
        <v>2697</v>
      </c>
      <c r="AB363" s="65">
        <v>2</v>
      </c>
      <c r="AC363" s="65" t="s">
        <v>2294</v>
      </c>
      <c r="AD363" s="65" t="s">
        <v>2698</v>
      </c>
      <c r="AE363" s="65" t="s">
        <v>2699</v>
      </c>
      <c r="AF363" s="65" t="s">
        <v>1437</v>
      </c>
      <c r="AG363" s="65">
        <v>2</v>
      </c>
      <c r="AH363" s="65">
        <v>0</v>
      </c>
      <c r="AI363" s="65">
        <v>2</v>
      </c>
      <c r="AJ363" s="65">
        <v>2</v>
      </c>
      <c r="AK363" s="65" t="s">
        <v>202</v>
      </c>
      <c r="AL363" s="128">
        <v>45138</v>
      </c>
      <c r="AM363" s="65">
        <v>6</v>
      </c>
      <c r="AN363" s="65">
        <v>1</v>
      </c>
      <c r="AO363" s="65" t="s">
        <v>202</v>
      </c>
      <c r="AP363" s="65">
        <v>2</v>
      </c>
      <c r="AQ363" s="65" t="s">
        <v>355</v>
      </c>
      <c r="AR363" s="65" t="s">
        <v>202</v>
      </c>
      <c r="AS363" s="65">
        <v>1</v>
      </c>
      <c r="AT363" s="65">
        <v>1</v>
      </c>
      <c r="AU363" s="65" t="s">
        <v>1529</v>
      </c>
      <c r="AV363" s="65" t="s">
        <v>1439</v>
      </c>
      <c r="AW363" s="65" t="s">
        <v>202</v>
      </c>
      <c r="AX363" s="65" t="s">
        <v>202</v>
      </c>
      <c r="AY363" s="65" t="s">
        <v>202</v>
      </c>
    </row>
    <row r="364" spans="1:51" x14ac:dyDescent="0.2">
      <c r="A364" s="65" t="s">
        <v>1367</v>
      </c>
      <c r="B364" s="65" t="s">
        <v>49</v>
      </c>
      <c r="C364" s="65" t="s">
        <v>146</v>
      </c>
      <c r="D364" s="65" t="s">
        <v>2700</v>
      </c>
      <c r="E364" s="65" t="s">
        <v>353</v>
      </c>
      <c r="F364" s="65" t="s">
        <v>1872</v>
      </c>
      <c r="G364" s="65" t="s">
        <v>344</v>
      </c>
      <c r="H364" s="65" t="s">
        <v>2452</v>
      </c>
      <c r="I364" s="65" t="s">
        <v>2453</v>
      </c>
      <c r="J364" s="65">
        <v>3144345375</v>
      </c>
      <c r="K364" s="65" t="s">
        <v>2662</v>
      </c>
      <c r="L364" s="65" t="s">
        <v>2663</v>
      </c>
      <c r="M364" s="65" t="s">
        <v>358</v>
      </c>
      <c r="N364" s="65" t="s">
        <v>2664</v>
      </c>
      <c r="O364" s="65" t="s">
        <v>2457</v>
      </c>
      <c r="P364" s="65" t="s">
        <v>2458</v>
      </c>
      <c r="Q364" s="65" t="s">
        <v>2459</v>
      </c>
      <c r="R364" s="65" t="s">
        <v>2460</v>
      </c>
      <c r="S364" s="65" t="s">
        <v>2461</v>
      </c>
      <c r="T364" s="65" t="s">
        <v>2462</v>
      </c>
      <c r="U364" s="65" t="s">
        <v>2463</v>
      </c>
      <c r="V364" s="65" t="s">
        <v>2464</v>
      </c>
      <c r="W364" s="65" t="s">
        <v>2465</v>
      </c>
      <c r="X364" s="65" t="s">
        <v>2466</v>
      </c>
      <c r="Y364" s="65" t="s">
        <v>1873</v>
      </c>
      <c r="Z364" s="65" t="s">
        <v>1874</v>
      </c>
      <c r="AA364" s="65" t="s">
        <v>2701</v>
      </c>
      <c r="AB364" s="65">
        <v>2</v>
      </c>
      <c r="AC364" s="65" t="s">
        <v>2257</v>
      </c>
      <c r="AD364" s="65" t="s">
        <v>2702</v>
      </c>
      <c r="AE364" s="65" t="s">
        <v>2703</v>
      </c>
      <c r="AF364" s="65" t="s">
        <v>1437</v>
      </c>
      <c r="AG364" s="65">
        <v>1</v>
      </c>
      <c r="AH364" s="65">
        <v>0</v>
      </c>
      <c r="AI364" s="65">
        <v>2</v>
      </c>
      <c r="AJ364" s="65">
        <v>2</v>
      </c>
      <c r="AK364" s="65" t="s">
        <v>202</v>
      </c>
      <c r="AL364" s="128">
        <v>45077</v>
      </c>
      <c r="AM364" s="65">
        <v>4</v>
      </c>
      <c r="AN364" s="65">
        <v>1</v>
      </c>
      <c r="AO364" s="65" t="s">
        <v>202</v>
      </c>
      <c r="AP364" s="65">
        <v>2</v>
      </c>
      <c r="AQ364" s="65" t="s">
        <v>352</v>
      </c>
      <c r="AR364" s="65" t="s">
        <v>202</v>
      </c>
      <c r="AS364" s="65">
        <v>1</v>
      </c>
      <c r="AT364" s="65">
        <v>1</v>
      </c>
      <c r="AU364" s="65" t="s">
        <v>1529</v>
      </c>
      <c r="AV364" s="65" t="s">
        <v>1439</v>
      </c>
      <c r="AW364" s="65" t="s">
        <v>202</v>
      </c>
      <c r="AX364" s="65" t="s">
        <v>202</v>
      </c>
      <c r="AY364" s="65" t="s">
        <v>202</v>
      </c>
    </row>
    <row r="365" spans="1:51" x14ac:dyDescent="0.2">
      <c r="A365" s="65" t="s">
        <v>1367</v>
      </c>
      <c r="B365" s="65" t="s">
        <v>54</v>
      </c>
      <c r="C365" s="65" t="s">
        <v>321</v>
      </c>
      <c r="D365" s="65" t="s">
        <v>2704</v>
      </c>
      <c r="E365" s="65" t="s">
        <v>353</v>
      </c>
      <c r="F365" s="65" t="s">
        <v>1872</v>
      </c>
      <c r="G365" s="65" t="s">
        <v>344</v>
      </c>
      <c r="H365" s="65" t="s">
        <v>2452</v>
      </c>
      <c r="I365" s="65" t="s">
        <v>2453</v>
      </c>
      <c r="J365" s="65">
        <v>3144345375</v>
      </c>
      <c r="K365" s="65" t="s">
        <v>2662</v>
      </c>
      <c r="L365" s="65" t="s">
        <v>2663</v>
      </c>
      <c r="M365" s="65" t="s">
        <v>358</v>
      </c>
      <c r="N365" s="65" t="s">
        <v>2664</v>
      </c>
      <c r="O365" s="65" t="s">
        <v>2457</v>
      </c>
      <c r="P365" s="65" t="s">
        <v>2458</v>
      </c>
      <c r="Q365" s="65" t="s">
        <v>2459</v>
      </c>
      <c r="R365" s="65" t="s">
        <v>2460</v>
      </c>
      <c r="S365" s="65" t="s">
        <v>2461</v>
      </c>
      <c r="T365" s="65" t="s">
        <v>2462</v>
      </c>
      <c r="U365" s="65" t="s">
        <v>2463</v>
      </c>
      <c r="V365" s="65" t="s">
        <v>2464</v>
      </c>
      <c r="W365" s="65" t="s">
        <v>2465</v>
      </c>
      <c r="X365" s="65" t="s">
        <v>2466</v>
      </c>
      <c r="Y365" s="65" t="s">
        <v>1873</v>
      </c>
      <c r="Z365" s="65" t="s">
        <v>1874</v>
      </c>
      <c r="AA365" s="65" t="s">
        <v>2705</v>
      </c>
      <c r="AB365" s="65">
        <v>3</v>
      </c>
      <c r="AC365" s="65" t="s">
        <v>1507</v>
      </c>
      <c r="AD365" s="65" t="s">
        <v>2190</v>
      </c>
      <c r="AE365" s="65" t="s">
        <v>2706</v>
      </c>
      <c r="AF365" s="65" t="s">
        <v>1437</v>
      </c>
      <c r="AG365" s="65">
        <v>0</v>
      </c>
      <c r="AH365" s="65">
        <v>4</v>
      </c>
      <c r="AI365" s="65">
        <v>2</v>
      </c>
      <c r="AJ365" s="65">
        <v>2</v>
      </c>
      <c r="AK365" s="65" t="s">
        <v>202</v>
      </c>
      <c r="AL365" s="128">
        <v>45443</v>
      </c>
      <c r="AM365" s="65">
        <v>6</v>
      </c>
      <c r="AN365" s="65">
        <v>2</v>
      </c>
      <c r="AO365" s="65" t="s">
        <v>202</v>
      </c>
      <c r="AP365" s="65">
        <v>3</v>
      </c>
      <c r="AQ365" s="65" t="s">
        <v>355</v>
      </c>
      <c r="AR365" s="65" t="s">
        <v>353</v>
      </c>
      <c r="AS365" s="65">
        <v>0</v>
      </c>
      <c r="AT365" s="65">
        <v>0</v>
      </c>
      <c r="AU365" s="65" t="s">
        <v>1438</v>
      </c>
      <c r="AV365" s="65" t="s">
        <v>1439</v>
      </c>
      <c r="AW365" s="65" t="s">
        <v>202</v>
      </c>
      <c r="AX365" s="65" t="s">
        <v>202</v>
      </c>
      <c r="AY365" s="65" t="s">
        <v>353</v>
      </c>
    </row>
    <row r="366" spans="1:51" x14ac:dyDescent="0.2">
      <c r="A366" s="65" t="s">
        <v>1367</v>
      </c>
      <c r="B366" s="65" t="s">
        <v>18</v>
      </c>
      <c r="C366" s="65" t="s">
        <v>866</v>
      </c>
      <c r="D366" s="65" t="s">
        <v>2707</v>
      </c>
      <c r="E366" s="65" t="s">
        <v>353</v>
      </c>
      <c r="F366" s="65" t="s">
        <v>1872</v>
      </c>
      <c r="G366" s="65" t="s">
        <v>344</v>
      </c>
      <c r="H366" s="65" t="s">
        <v>2452</v>
      </c>
      <c r="I366" s="65" t="s">
        <v>2453</v>
      </c>
      <c r="J366" s="65">
        <v>3144345375</v>
      </c>
      <c r="K366" s="65" t="s">
        <v>2662</v>
      </c>
      <c r="L366" s="65" t="s">
        <v>2663</v>
      </c>
      <c r="M366" s="65" t="s">
        <v>358</v>
      </c>
      <c r="N366" s="65" t="s">
        <v>2664</v>
      </c>
      <c r="O366" s="65" t="s">
        <v>2457</v>
      </c>
      <c r="P366" s="65" t="s">
        <v>2458</v>
      </c>
      <c r="Q366" s="65" t="s">
        <v>2459</v>
      </c>
      <c r="R366" s="65" t="s">
        <v>2460</v>
      </c>
      <c r="S366" s="65" t="s">
        <v>2461</v>
      </c>
      <c r="T366" s="65" t="s">
        <v>2462</v>
      </c>
      <c r="U366" s="65" t="s">
        <v>2463</v>
      </c>
      <c r="V366" s="65" t="s">
        <v>2464</v>
      </c>
      <c r="W366" s="65" t="s">
        <v>2465</v>
      </c>
      <c r="X366" s="65" t="s">
        <v>2466</v>
      </c>
      <c r="Y366" s="65" t="s">
        <v>1873</v>
      </c>
      <c r="Z366" s="65" t="s">
        <v>1874</v>
      </c>
      <c r="AA366" s="65" t="s">
        <v>2708</v>
      </c>
      <c r="AB366" s="65">
        <v>2</v>
      </c>
      <c r="AC366" s="65" t="s">
        <v>2150</v>
      </c>
      <c r="AD366" s="65" t="s">
        <v>1511</v>
      </c>
      <c r="AE366" s="65" t="s">
        <v>2709</v>
      </c>
      <c r="AF366" s="65" t="s">
        <v>1437</v>
      </c>
      <c r="AG366" s="65">
        <v>2</v>
      </c>
      <c r="AH366" s="65">
        <v>2</v>
      </c>
      <c r="AI366" s="65">
        <v>2</v>
      </c>
      <c r="AJ366" s="65">
        <v>2</v>
      </c>
      <c r="AK366" s="65" t="s">
        <v>202</v>
      </c>
      <c r="AL366" s="128">
        <v>45550</v>
      </c>
      <c r="AM366" s="65">
        <v>6</v>
      </c>
      <c r="AN366" s="65">
        <v>3</v>
      </c>
      <c r="AO366" s="65" t="s">
        <v>202</v>
      </c>
      <c r="AP366" s="65">
        <v>3</v>
      </c>
      <c r="AQ366" s="65" t="s">
        <v>355</v>
      </c>
      <c r="AR366" s="65" t="s">
        <v>353</v>
      </c>
      <c r="AS366" s="65">
        <v>1</v>
      </c>
      <c r="AT366" s="65">
        <v>1</v>
      </c>
      <c r="AU366" s="65" t="s">
        <v>1477</v>
      </c>
      <c r="AV366" s="65" t="s">
        <v>1439</v>
      </c>
      <c r="AW366" s="65" t="s">
        <v>202</v>
      </c>
      <c r="AX366" s="65" t="s">
        <v>202</v>
      </c>
      <c r="AY366" s="65" t="s">
        <v>353</v>
      </c>
    </row>
    <row r="367" spans="1:51" x14ac:dyDescent="0.2">
      <c r="A367" s="65" t="s">
        <v>1367</v>
      </c>
      <c r="B367" s="65" t="s">
        <v>25</v>
      </c>
      <c r="C367" s="65" t="s">
        <v>122</v>
      </c>
      <c r="D367" s="65" t="s">
        <v>2710</v>
      </c>
      <c r="E367" s="65" t="s">
        <v>353</v>
      </c>
      <c r="F367" s="65" t="s">
        <v>1872</v>
      </c>
      <c r="G367" s="65" t="s">
        <v>344</v>
      </c>
      <c r="H367" s="65" t="s">
        <v>2452</v>
      </c>
      <c r="I367" s="65" t="s">
        <v>2453</v>
      </c>
      <c r="J367" s="65">
        <v>3144345375</v>
      </c>
      <c r="K367" s="65" t="s">
        <v>2662</v>
      </c>
      <c r="L367" s="65" t="s">
        <v>2663</v>
      </c>
      <c r="M367" s="65" t="s">
        <v>358</v>
      </c>
      <c r="N367" s="65" t="s">
        <v>2664</v>
      </c>
      <c r="O367" s="65" t="s">
        <v>2457</v>
      </c>
      <c r="P367" s="65" t="s">
        <v>2458</v>
      </c>
      <c r="Q367" s="65" t="s">
        <v>2459</v>
      </c>
      <c r="R367" s="65" t="s">
        <v>2460</v>
      </c>
      <c r="S367" s="65" t="s">
        <v>2461</v>
      </c>
      <c r="T367" s="65" t="s">
        <v>2462</v>
      </c>
      <c r="U367" s="65" t="s">
        <v>2463</v>
      </c>
      <c r="V367" s="65" t="s">
        <v>2464</v>
      </c>
      <c r="W367" s="65" t="s">
        <v>2465</v>
      </c>
      <c r="X367" s="65" t="s">
        <v>2466</v>
      </c>
      <c r="Y367" s="65" t="s">
        <v>1873</v>
      </c>
      <c r="Z367" s="65" t="s">
        <v>1874</v>
      </c>
      <c r="AA367" s="65" t="s">
        <v>2711</v>
      </c>
      <c r="AB367" s="65">
        <v>3</v>
      </c>
      <c r="AC367" s="65" t="s">
        <v>2071</v>
      </c>
      <c r="AD367" s="65" t="s">
        <v>1588</v>
      </c>
      <c r="AE367" s="65" t="s">
        <v>2712</v>
      </c>
      <c r="AF367" s="65" t="s">
        <v>1437</v>
      </c>
      <c r="AG367" s="65">
        <v>2</v>
      </c>
      <c r="AH367" s="65">
        <v>1</v>
      </c>
      <c r="AI367" s="65">
        <v>2</v>
      </c>
      <c r="AJ367" s="65">
        <v>2</v>
      </c>
      <c r="AK367" s="65" t="s">
        <v>202</v>
      </c>
      <c r="AL367" s="128">
        <v>45747</v>
      </c>
      <c r="AM367" s="65">
        <v>6</v>
      </c>
      <c r="AN367" s="65">
        <v>1</v>
      </c>
      <c r="AO367" s="65" t="s">
        <v>202</v>
      </c>
      <c r="AP367" s="65">
        <v>3</v>
      </c>
      <c r="AQ367" s="65" t="s">
        <v>355</v>
      </c>
      <c r="AR367" s="65" t="s">
        <v>353</v>
      </c>
      <c r="AS367" s="65">
        <v>0</v>
      </c>
      <c r="AT367" s="65">
        <v>0</v>
      </c>
      <c r="AU367" s="65" t="s">
        <v>1438</v>
      </c>
      <c r="AV367" s="65" t="s">
        <v>1439</v>
      </c>
      <c r="AW367" s="65" t="s">
        <v>202</v>
      </c>
      <c r="AX367" s="65" t="s">
        <v>202</v>
      </c>
      <c r="AY367" s="65" t="s">
        <v>353</v>
      </c>
    </row>
    <row r="368" spans="1:51" x14ac:dyDescent="0.2">
      <c r="A368" s="65" t="s">
        <v>1367</v>
      </c>
      <c r="B368" s="65" t="s">
        <v>59</v>
      </c>
      <c r="C368" s="65" t="s">
        <v>336</v>
      </c>
      <c r="D368" s="65" t="s">
        <v>2713</v>
      </c>
      <c r="E368" s="65" t="s">
        <v>353</v>
      </c>
      <c r="F368" s="65" t="s">
        <v>1872</v>
      </c>
      <c r="G368" s="65" t="s">
        <v>344</v>
      </c>
      <c r="H368" s="65" t="s">
        <v>2452</v>
      </c>
      <c r="I368" s="65" t="s">
        <v>2453</v>
      </c>
      <c r="J368" s="65">
        <v>3144345375</v>
      </c>
      <c r="K368" s="65" t="s">
        <v>2662</v>
      </c>
      <c r="L368" s="65" t="s">
        <v>2663</v>
      </c>
      <c r="M368" s="65" t="s">
        <v>358</v>
      </c>
      <c r="N368" s="65" t="s">
        <v>2664</v>
      </c>
      <c r="O368" s="65" t="s">
        <v>2457</v>
      </c>
      <c r="P368" s="65" t="s">
        <v>2458</v>
      </c>
      <c r="Q368" s="65" t="s">
        <v>2459</v>
      </c>
      <c r="R368" s="65" t="s">
        <v>2460</v>
      </c>
      <c r="S368" s="65" t="s">
        <v>2461</v>
      </c>
      <c r="T368" s="65" t="s">
        <v>2462</v>
      </c>
      <c r="U368" s="65" t="s">
        <v>2463</v>
      </c>
      <c r="V368" s="65" t="s">
        <v>2464</v>
      </c>
      <c r="W368" s="65" t="s">
        <v>2465</v>
      </c>
      <c r="X368" s="65" t="s">
        <v>2466</v>
      </c>
      <c r="Y368" s="65" t="s">
        <v>1873</v>
      </c>
      <c r="Z368" s="65" t="s">
        <v>1874</v>
      </c>
      <c r="AA368" s="65" t="s">
        <v>2714</v>
      </c>
      <c r="AB368" s="65">
        <v>3</v>
      </c>
      <c r="AC368" s="65" t="s">
        <v>1489</v>
      </c>
      <c r="AD368" s="65" t="s">
        <v>1576</v>
      </c>
      <c r="AE368" s="65" t="s">
        <v>2715</v>
      </c>
      <c r="AF368" s="65" t="s">
        <v>1437</v>
      </c>
      <c r="AG368" s="65">
        <v>1</v>
      </c>
      <c r="AH368" s="65">
        <v>1</v>
      </c>
      <c r="AI368" s="65">
        <v>2</v>
      </c>
      <c r="AJ368" s="65">
        <v>2</v>
      </c>
      <c r="AK368" s="65" t="s">
        <v>202</v>
      </c>
      <c r="AL368" s="128">
        <v>45808</v>
      </c>
      <c r="AM368" s="65">
        <v>6</v>
      </c>
      <c r="AN368" s="65">
        <v>2</v>
      </c>
      <c r="AO368" s="65" t="s">
        <v>202</v>
      </c>
      <c r="AP368" s="65">
        <v>3</v>
      </c>
      <c r="AQ368" s="65" t="s">
        <v>354</v>
      </c>
      <c r="AR368" s="65" t="s">
        <v>353</v>
      </c>
      <c r="AS368" s="65" t="s">
        <v>202</v>
      </c>
      <c r="AT368" s="65" t="s">
        <v>202</v>
      </c>
      <c r="AU368" s="65" t="s">
        <v>1477</v>
      </c>
      <c r="AV368" s="65" t="s">
        <v>1439</v>
      </c>
      <c r="AW368" s="65" t="s">
        <v>353</v>
      </c>
      <c r="AX368" s="65" t="s">
        <v>202</v>
      </c>
      <c r="AY368" s="65" t="s">
        <v>353</v>
      </c>
    </row>
    <row r="369" spans="1:51" x14ac:dyDescent="0.2">
      <c r="A369" s="65" t="s">
        <v>1367</v>
      </c>
      <c r="B369" s="65" t="s">
        <v>88</v>
      </c>
      <c r="C369" s="65" t="s">
        <v>335</v>
      </c>
      <c r="D369" s="65" t="s">
        <v>2716</v>
      </c>
      <c r="E369" s="65" t="s">
        <v>353</v>
      </c>
      <c r="F369" s="65" t="s">
        <v>1872</v>
      </c>
      <c r="G369" s="65" t="s">
        <v>344</v>
      </c>
      <c r="H369" s="65" t="s">
        <v>2452</v>
      </c>
      <c r="I369" s="65" t="s">
        <v>2453</v>
      </c>
      <c r="J369" s="65">
        <v>3144345375</v>
      </c>
      <c r="K369" s="65" t="s">
        <v>2454</v>
      </c>
      <c r="L369" s="65" t="s">
        <v>2455</v>
      </c>
      <c r="M369" s="65" t="s">
        <v>364</v>
      </c>
      <c r="N369" s="65" t="s">
        <v>2456</v>
      </c>
      <c r="O369" s="65" t="s">
        <v>2457</v>
      </c>
      <c r="P369" s="65" t="s">
        <v>2458</v>
      </c>
      <c r="Q369" s="65" t="s">
        <v>2459</v>
      </c>
      <c r="R369" s="65" t="s">
        <v>2460</v>
      </c>
      <c r="S369" s="65" t="s">
        <v>2461</v>
      </c>
      <c r="T369" s="65" t="s">
        <v>2462</v>
      </c>
      <c r="U369" s="65" t="s">
        <v>2463</v>
      </c>
      <c r="V369" s="65" t="s">
        <v>2464</v>
      </c>
      <c r="W369" s="65" t="s">
        <v>2465</v>
      </c>
      <c r="X369" s="65" t="s">
        <v>2466</v>
      </c>
      <c r="Y369" s="65" t="s">
        <v>1873</v>
      </c>
      <c r="Z369" s="65" t="s">
        <v>1874</v>
      </c>
      <c r="AA369" s="65" t="s">
        <v>2717</v>
      </c>
      <c r="AB369" s="65">
        <v>4</v>
      </c>
      <c r="AC369" s="65" t="s">
        <v>2718</v>
      </c>
      <c r="AD369" s="65" t="s">
        <v>2612</v>
      </c>
      <c r="AE369" s="65" t="s">
        <v>2719</v>
      </c>
      <c r="AF369" s="65" t="s">
        <v>1437</v>
      </c>
      <c r="AG369" s="65">
        <v>1</v>
      </c>
      <c r="AH369" s="65">
        <v>1</v>
      </c>
      <c r="AI369" s="65">
        <v>2</v>
      </c>
      <c r="AJ369" s="65">
        <v>1</v>
      </c>
      <c r="AK369" s="65" t="s">
        <v>202</v>
      </c>
      <c r="AL369" s="128">
        <v>45806</v>
      </c>
      <c r="AM369" s="65">
        <v>4</v>
      </c>
      <c r="AN369" s="65">
        <v>1</v>
      </c>
      <c r="AO369" s="65" t="s">
        <v>202</v>
      </c>
      <c r="AP369" s="65">
        <v>3</v>
      </c>
      <c r="AQ369" s="65" t="s">
        <v>354</v>
      </c>
      <c r="AR369" s="65" t="s">
        <v>353</v>
      </c>
      <c r="AS369" s="65" t="s">
        <v>202</v>
      </c>
      <c r="AT369" s="65" t="s">
        <v>202</v>
      </c>
      <c r="AU369" s="65" t="s">
        <v>1529</v>
      </c>
      <c r="AV369" s="65" t="s">
        <v>198</v>
      </c>
      <c r="AW369" s="65" t="s">
        <v>353</v>
      </c>
      <c r="AX369" s="65" t="s">
        <v>202</v>
      </c>
      <c r="AY369" s="65" t="s">
        <v>353</v>
      </c>
    </row>
    <row r="370" spans="1:51" x14ac:dyDescent="0.2">
      <c r="A370" s="65" t="s">
        <v>1367</v>
      </c>
      <c r="B370" s="65" t="s">
        <v>15</v>
      </c>
      <c r="C370" s="65" t="s">
        <v>112</v>
      </c>
      <c r="D370" s="65" t="s">
        <v>2720</v>
      </c>
      <c r="E370" s="65" t="s">
        <v>353</v>
      </c>
      <c r="F370" s="65" t="s">
        <v>1872</v>
      </c>
      <c r="G370" s="65" t="s">
        <v>344</v>
      </c>
      <c r="H370" s="65" t="s">
        <v>2452</v>
      </c>
      <c r="I370" s="65" t="s">
        <v>2453</v>
      </c>
      <c r="J370" s="65">
        <v>3144345375</v>
      </c>
      <c r="K370" s="65" t="s">
        <v>2498</v>
      </c>
      <c r="L370" s="65" t="s">
        <v>2499</v>
      </c>
      <c r="M370" s="65" t="s">
        <v>362</v>
      </c>
      <c r="N370" s="65" t="s">
        <v>2500</v>
      </c>
      <c r="O370" s="65" t="s">
        <v>2457</v>
      </c>
      <c r="P370" s="65" t="s">
        <v>2458</v>
      </c>
      <c r="Q370" s="65" t="s">
        <v>2459</v>
      </c>
      <c r="R370" s="65" t="s">
        <v>2460</v>
      </c>
      <c r="S370" s="65" t="s">
        <v>2461</v>
      </c>
      <c r="T370" s="65" t="s">
        <v>2462</v>
      </c>
      <c r="U370" s="65" t="s">
        <v>2463</v>
      </c>
      <c r="V370" s="65" t="s">
        <v>2464</v>
      </c>
      <c r="W370" s="65" t="s">
        <v>2465</v>
      </c>
      <c r="X370" s="65" t="s">
        <v>2466</v>
      </c>
      <c r="Y370" s="65" t="s">
        <v>1873</v>
      </c>
      <c r="Z370" s="65" t="s">
        <v>2531</v>
      </c>
      <c r="AA370" s="65" t="s">
        <v>2721</v>
      </c>
      <c r="AB370" s="65">
        <v>2</v>
      </c>
      <c r="AC370" s="65" t="s">
        <v>2472</v>
      </c>
      <c r="AD370" s="65" t="s">
        <v>2359</v>
      </c>
      <c r="AE370" s="65" t="s">
        <v>2722</v>
      </c>
      <c r="AF370" s="65" t="s">
        <v>1437</v>
      </c>
      <c r="AG370" s="65">
        <v>1</v>
      </c>
      <c r="AH370" s="65">
        <v>0</v>
      </c>
      <c r="AI370" s="65">
        <v>3</v>
      </c>
      <c r="AJ370" s="65">
        <v>2</v>
      </c>
      <c r="AK370" s="65" t="s">
        <v>202</v>
      </c>
      <c r="AL370" s="128">
        <v>45123</v>
      </c>
      <c r="AM370" s="65">
        <v>4</v>
      </c>
      <c r="AN370" s="65">
        <v>1</v>
      </c>
      <c r="AO370" s="65" t="s">
        <v>202</v>
      </c>
      <c r="AP370" s="65">
        <v>2</v>
      </c>
      <c r="AQ370" s="65" t="s">
        <v>352</v>
      </c>
      <c r="AR370" s="65" t="s">
        <v>202</v>
      </c>
      <c r="AS370" s="65">
        <v>1</v>
      </c>
      <c r="AT370" s="65">
        <v>1</v>
      </c>
      <c r="AU370" s="65" t="s">
        <v>1529</v>
      </c>
      <c r="AV370" s="65" t="s">
        <v>1439</v>
      </c>
      <c r="AW370" s="65" t="s">
        <v>202</v>
      </c>
      <c r="AX370" s="65" t="s">
        <v>202</v>
      </c>
      <c r="AY370" s="65" t="s">
        <v>202</v>
      </c>
    </row>
    <row r="371" spans="1:51" x14ac:dyDescent="0.2">
      <c r="A371" s="65" t="s">
        <v>1367</v>
      </c>
      <c r="B371" s="65" t="s">
        <v>21</v>
      </c>
      <c r="C371" s="65" t="s">
        <v>533</v>
      </c>
      <c r="D371" s="65" t="s">
        <v>2723</v>
      </c>
      <c r="E371" s="65" t="s">
        <v>353</v>
      </c>
      <c r="F371" s="65" t="s">
        <v>1872</v>
      </c>
      <c r="G371" s="65" t="s">
        <v>344</v>
      </c>
      <c r="H371" s="65" t="s">
        <v>2452</v>
      </c>
      <c r="I371" s="65" t="s">
        <v>2453</v>
      </c>
      <c r="J371" s="65">
        <v>3144345375</v>
      </c>
      <c r="K371" s="65" t="s">
        <v>2498</v>
      </c>
      <c r="L371" s="65" t="s">
        <v>2499</v>
      </c>
      <c r="M371" s="65" t="s">
        <v>362</v>
      </c>
      <c r="N371" s="65" t="s">
        <v>2500</v>
      </c>
      <c r="O371" s="65" t="s">
        <v>2457</v>
      </c>
      <c r="P371" s="65" t="s">
        <v>2458</v>
      </c>
      <c r="Q371" s="65" t="s">
        <v>2459</v>
      </c>
      <c r="R371" s="65" t="s">
        <v>2460</v>
      </c>
      <c r="S371" s="65" t="s">
        <v>2461</v>
      </c>
      <c r="T371" s="65" t="s">
        <v>2462</v>
      </c>
      <c r="U371" s="65" t="s">
        <v>2463</v>
      </c>
      <c r="V371" s="65" t="s">
        <v>2464</v>
      </c>
      <c r="W371" s="65" t="s">
        <v>2465</v>
      </c>
      <c r="X371" s="65" t="s">
        <v>2466</v>
      </c>
      <c r="Y371" s="65" t="s">
        <v>1873</v>
      </c>
      <c r="Z371" s="65" t="s">
        <v>1874</v>
      </c>
      <c r="AA371" s="65" t="s">
        <v>2724</v>
      </c>
      <c r="AB371" s="65">
        <v>2</v>
      </c>
      <c r="AC371" s="65" t="s">
        <v>2675</v>
      </c>
      <c r="AD371" s="65" t="s">
        <v>1434</v>
      </c>
      <c r="AE371" s="65" t="s">
        <v>2725</v>
      </c>
      <c r="AF371" s="65" t="s">
        <v>1437</v>
      </c>
      <c r="AG371" s="65">
        <v>1</v>
      </c>
      <c r="AH371" s="65">
        <v>2</v>
      </c>
      <c r="AI371" s="65">
        <v>2</v>
      </c>
      <c r="AJ371" s="65">
        <v>2</v>
      </c>
      <c r="AK371" s="65" t="s">
        <v>202</v>
      </c>
      <c r="AL371" s="129">
        <v>45570</v>
      </c>
      <c r="AM371" s="65">
        <v>6</v>
      </c>
      <c r="AN371" s="65">
        <v>2</v>
      </c>
      <c r="AO371" s="65" t="s">
        <v>202</v>
      </c>
      <c r="AP371" s="65">
        <v>3</v>
      </c>
      <c r="AQ371" s="65" t="s">
        <v>355</v>
      </c>
      <c r="AR371" s="65" t="s">
        <v>353</v>
      </c>
      <c r="AS371" s="65">
        <v>1</v>
      </c>
      <c r="AT371" s="65">
        <v>1</v>
      </c>
      <c r="AU371" s="65" t="s">
        <v>1438</v>
      </c>
      <c r="AV371" s="65" t="s">
        <v>1439</v>
      </c>
      <c r="AW371" s="65" t="s">
        <v>202</v>
      </c>
      <c r="AX371" s="65" t="s">
        <v>202</v>
      </c>
      <c r="AY371" s="65" t="s">
        <v>353</v>
      </c>
    </row>
    <row r="372" spans="1:51" x14ac:dyDescent="0.2">
      <c r="A372" s="65" t="s">
        <v>1367</v>
      </c>
      <c r="B372" s="65" t="s">
        <v>39</v>
      </c>
      <c r="C372" s="65" t="s">
        <v>136</v>
      </c>
      <c r="D372" s="65" t="s">
        <v>2726</v>
      </c>
      <c r="E372" s="65" t="s">
        <v>353</v>
      </c>
      <c r="F372" s="65" t="s">
        <v>1872</v>
      </c>
      <c r="G372" s="65" t="s">
        <v>344</v>
      </c>
      <c r="H372" s="65" t="s">
        <v>2452</v>
      </c>
      <c r="I372" s="65" t="s">
        <v>2453</v>
      </c>
      <c r="J372" s="65">
        <v>3144345375</v>
      </c>
      <c r="K372" s="65" t="s">
        <v>2498</v>
      </c>
      <c r="L372" s="65" t="s">
        <v>2499</v>
      </c>
      <c r="M372" s="65" t="s">
        <v>362</v>
      </c>
      <c r="N372" s="65" t="s">
        <v>2500</v>
      </c>
      <c r="O372" s="65" t="s">
        <v>2457</v>
      </c>
      <c r="P372" s="65" t="s">
        <v>2458</v>
      </c>
      <c r="Q372" s="65" t="s">
        <v>2459</v>
      </c>
      <c r="R372" s="65" t="s">
        <v>2460</v>
      </c>
      <c r="S372" s="65" t="s">
        <v>2461</v>
      </c>
      <c r="T372" s="65" t="s">
        <v>2462</v>
      </c>
      <c r="U372" s="65" t="s">
        <v>2463</v>
      </c>
      <c r="V372" s="65" t="s">
        <v>2464</v>
      </c>
      <c r="W372" s="65" t="s">
        <v>2465</v>
      </c>
      <c r="X372" s="65" t="s">
        <v>2466</v>
      </c>
      <c r="Y372" s="65" t="s">
        <v>1873</v>
      </c>
      <c r="Z372" s="65" t="s">
        <v>1874</v>
      </c>
      <c r="AA372" s="65" t="s">
        <v>2727</v>
      </c>
      <c r="AB372" s="65">
        <v>3</v>
      </c>
      <c r="AC372" s="65" t="s">
        <v>2376</v>
      </c>
      <c r="AD372" s="65" t="s">
        <v>2718</v>
      </c>
      <c r="AE372" s="65" t="s">
        <v>2728</v>
      </c>
      <c r="AF372" s="65" t="s">
        <v>1437</v>
      </c>
      <c r="AG372" s="65">
        <v>2</v>
      </c>
      <c r="AH372" s="65">
        <v>0</v>
      </c>
      <c r="AI372" s="65">
        <v>2</v>
      </c>
      <c r="AJ372" s="65">
        <v>2</v>
      </c>
      <c r="AK372" s="65" t="s">
        <v>202</v>
      </c>
      <c r="AL372" s="128">
        <v>45010</v>
      </c>
      <c r="AM372" s="65">
        <v>5</v>
      </c>
      <c r="AN372" s="65">
        <v>1</v>
      </c>
      <c r="AO372" s="65" t="s">
        <v>202</v>
      </c>
      <c r="AP372" s="65">
        <v>2</v>
      </c>
      <c r="AQ372" s="65" t="s">
        <v>355</v>
      </c>
      <c r="AR372" s="65" t="s">
        <v>202</v>
      </c>
      <c r="AS372" s="65">
        <v>1</v>
      </c>
      <c r="AT372" s="65">
        <v>1</v>
      </c>
      <c r="AU372" s="65" t="s">
        <v>1529</v>
      </c>
      <c r="AV372" s="65" t="s">
        <v>1439</v>
      </c>
      <c r="AW372" s="65" t="s">
        <v>202</v>
      </c>
      <c r="AX372" s="65" t="s">
        <v>202</v>
      </c>
      <c r="AY372" s="65" t="s">
        <v>202</v>
      </c>
    </row>
    <row r="373" spans="1:51" x14ac:dyDescent="0.2">
      <c r="A373" s="65" t="s">
        <v>1367</v>
      </c>
      <c r="B373" s="65" t="s">
        <v>11</v>
      </c>
      <c r="C373" s="65" t="s">
        <v>108</v>
      </c>
      <c r="D373" s="65" t="s">
        <v>2729</v>
      </c>
      <c r="E373" s="65" t="s">
        <v>353</v>
      </c>
      <c r="F373" s="65" t="s">
        <v>1872</v>
      </c>
      <c r="G373" s="65" t="s">
        <v>344</v>
      </c>
      <c r="H373" s="65" t="s">
        <v>2452</v>
      </c>
      <c r="I373" s="65" t="s">
        <v>2453</v>
      </c>
      <c r="J373" s="65">
        <v>3144345375</v>
      </c>
      <c r="K373" s="65" t="s">
        <v>2498</v>
      </c>
      <c r="L373" s="65" t="s">
        <v>2499</v>
      </c>
      <c r="M373" s="65" t="s">
        <v>362</v>
      </c>
      <c r="N373" s="65" t="s">
        <v>2500</v>
      </c>
      <c r="O373" s="65" t="s">
        <v>2457</v>
      </c>
      <c r="P373" s="65" t="s">
        <v>2458</v>
      </c>
      <c r="Q373" s="65" t="s">
        <v>2459</v>
      </c>
      <c r="R373" s="65" t="s">
        <v>2460</v>
      </c>
      <c r="S373" s="65" t="s">
        <v>2461</v>
      </c>
      <c r="T373" s="65" t="s">
        <v>2462</v>
      </c>
      <c r="U373" s="65" t="s">
        <v>2463</v>
      </c>
      <c r="V373" s="65" t="s">
        <v>2464</v>
      </c>
      <c r="W373" s="65" t="s">
        <v>2465</v>
      </c>
      <c r="X373" s="65" t="s">
        <v>2466</v>
      </c>
      <c r="Y373" s="65" t="s">
        <v>1885</v>
      </c>
      <c r="Z373" s="65" t="s">
        <v>1886</v>
      </c>
      <c r="AA373" s="65" t="s">
        <v>2730</v>
      </c>
      <c r="AB373" s="65">
        <v>3</v>
      </c>
      <c r="AC373" s="65" t="s">
        <v>1588</v>
      </c>
      <c r="AD373" s="65" t="s">
        <v>2731</v>
      </c>
      <c r="AE373" s="65" t="s">
        <v>2732</v>
      </c>
      <c r="AF373" s="65" t="s">
        <v>1437</v>
      </c>
      <c r="AG373" s="65">
        <v>1</v>
      </c>
      <c r="AH373" s="65">
        <v>1</v>
      </c>
      <c r="AI373" s="65">
        <v>2</v>
      </c>
      <c r="AJ373" s="65">
        <v>2</v>
      </c>
      <c r="AK373" s="65" t="s">
        <v>202</v>
      </c>
      <c r="AL373" s="128">
        <v>44985</v>
      </c>
      <c r="AM373" s="65">
        <v>3</v>
      </c>
      <c r="AN373" s="65">
        <v>1</v>
      </c>
      <c r="AO373" s="65" t="s">
        <v>202</v>
      </c>
      <c r="AP373" s="65">
        <v>2</v>
      </c>
      <c r="AQ373" s="65" t="s">
        <v>352</v>
      </c>
      <c r="AR373" s="65" t="s">
        <v>202</v>
      </c>
      <c r="AS373" s="65">
        <v>1</v>
      </c>
      <c r="AT373" s="65">
        <v>1</v>
      </c>
      <c r="AU373" s="65" t="s">
        <v>1529</v>
      </c>
      <c r="AV373" s="65" t="s">
        <v>1439</v>
      </c>
      <c r="AW373" s="65" t="s">
        <v>202</v>
      </c>
      <c r="AX373" s="65" t="s">
        <v>202</v>
      </c>
      <c r="AY373" s="65" t="s">
        <v>202</v>
      </c>
    </row>
    <row r="374" spans="1:51" x14ac:dyDescent="0.2">
      <c r="A374" s="65" t="s">
        <v>1367</v>
      </c>
      <c r="B374" s="65" t="s">
        <v>12</v>
      </c>
      <c r="C374" s="65" t="s">
        <v>109</v>
      </c>
      <c r="D374" s="65" t="s">
        <v>2733</v>
      </c>
      <c r="E374" s="65" t="s">
        <v>353</v>
      </c>
      <c r="F374" s="65" t="s">
        <v>1872</v>
      </c>
      <c r="G374" s="65" t="s">
        <v>344</v>
      </c>
      <c r="H374" s="65" t="s">
        <v>2452</v>
      </c>
      <c r="I374" s="65" t="s">
        <v>2453</v>
      </c>
      <c r="J374" s="65">
        <v>3144345375</v>
      </c>
      <c r="K374" s="65" t="s">
        <v>2498</v>
      </c>
      <c r="L374" s="65" t="s">
        <v>2499</v>
      </c>
      <c r="M374" s="65" t="s">
        <v>362</v>
      </c>
      <c r="N374" s="65" t="s">
        <v>2500</v>
      </c>
      <c r="O374" s="65" t="s">
        <v>2457</v>
      </c>
      <c r="P374" s="65" t="s">
        <v>2458</v>
      </c>
      <c r="Q374" s="65" t="s">
        <v>2459</v>
      </c>
      <c r="R374" s="65" t="s">
        <v>2460</v>
      </c>
      <c r="S374" s="65" t="s">
        <v>2461</v>
      </c>
      <c r="T374" s="65" t="s">
        <v>2462</v>
      </c>
      <c r="U374" s="65" t="s">
        <v>2463</v>
      </c>
      <c r="V374" s="65" t="s">
        <v>2464</v>
      </c>
      <c r="W374" s="65" t="s">
        <v>2465</v>
      </c>
      <c r="X374" s="65" t="s">
        <v>2466</v>
      </c>
      <c r="Y374" s="65" t="s">
        <v>1873</v>
      </c>
      <c r="Z374" s="65" t="s">
        <v>1874</v>
      </c>
      <c r="AA374" s="65" t="s">
        <v>2734</v>
      </c>
      <c r="AB374" s="65">
        <v>2</v>
      </c>
      <c r="AC374" s="65" t="s">
        <v>1542</v>
      </c>
      <c r="AD374" s="65" t="s">
        <v>2735</v>
      </c>
      <c r="AE374" s="65" t="s">
        <v>2736</v>
      </c>
      <c r="AF374" s="65" t="s">
        <v>1437</v>
      </c>
      <c r="AG374" s="65">
        <v>1</v>
      </c>
      <c r="AH374" s="65">
        <v>0</v>
      </c>
      <c r="AI374" s="65">
        <v>2</v>
      </c>
      <c r="AJ374" s="65">
        <v>2</v>
      </c>
      <c r="AK374" s="65" t="s">
        <v>202</v>
      </c>
      <c r="AL374" s="128">
        <v>45058</v>
      </c>
      <c r="AM374" s="65">
        <v>4</v>
      </c>
      <c r="AN374" s="65">
        <v>1</v>
      </c>
      <c r="AO374" s="65" t="s">
        <v>202</v>
      </c>
      <c r="AP374" s="65">
        <v>2</v>
      </c>
      <c r="AQ374" s="65" t="s">
        <v>352</v>
      </c>
      <c r="AR374" s="65" t="s">
        <v>202</v>
      </c>
      <c r="AS374" s="65">
        <v>1</v>
      </c>
      <c r="AT374" s="65">
        <v>1</v>
      </c>
      <c r="AU374" s="65" t="s">
        <v>1529</v>
      </c>
      <c r="AV374" s="65" t="s">
        <v>1439</v>
      </c>
      <c r="AW374" s="65" t="s">
        <v>202</v>
      </c>
      <c r="AX374" s="65" t="s">
        <v>202</v>
      </c>
      <c r="AY374" s="65" t="s">
        <v>353</v>
      </c>
    </row>
    <row r="375" spans="1:51" x14ac:dyDescent="0.2">
      <c r="A375" s="65" t="s">
        <v>1367</v>
      </c>
      <c r="B375" s="65" t="s">
        <v>78</v>
      </c>
      <c r="C375" s="65" t="s">
        <v>175</v>
      </c>
      <c r="D375" s="65" t="s">
        <v>2737</v>
      </c>
      <c r="E375" s="65" t="s">
        <v>353</v>
      </c>
      <c r="F375" s="65" t="s">
        <v>1872</v>
      </c>
      <c r="G375" s="65" t="s">
        <v>344</v>
      </c>
      <c r="H375" s="65" t="s">
        <v>2452</v>
      </c>
      <c r="I375" s="65" t="s">
        <v>2453</v>
      </c>
      <c r="J375" s="65">
        <v>3144345375</v>
      </c>
      <c r="K375" s="65" t="s">
        <v>2498</v>
      </c>
      <c r="L375" s="65" t="s">
        <v>2499</v>
      </c>
      <c r="M375" s="65" t="s">
        <v>362</v>
      </c>
      <c r="N375" s="65" t="s">
        <v>2500</v>
      </c>
      <c r="O375" s="65" t="s">
        <v>2457</v>
      </c>
      <c r="P375" s="65" t="s">
        <v>2458</v>
      </c>
      <c r="Q375" s="65" t="s">
        <v>2459</v>
      </c>
      <c r="R375" s="65" t="s">
        <v>2460</v>
      </c>
      <c r="S375" s="65" t="s">
        <v>2461</v>
      </c>
      <c r="T375" s="65" t="s">
        <v>2462</v>
      </c>
      <c r="U375" s="65" t="s">
        <v>2463</v>
      </c>
      <c r="V375" s="65" t="s">
        <v>2464</v>
      </c>
      <c r="W375" s="65" t="s">
        <v>2465</v>
      </c>
      <c r="X375" s="65" t="s">
        <v>2466</v>
      </c>
      <c r="Y375" s="65" t="s">
        <v>1873</v>
      </c>
      <c r="Z375" s="65" t="s">
        <v>1874</v>
      </c>
      <c r="AA375" s="65" t="s">
        <v>2738</v>
      </c>
      <c r="AB375" s="65">
        <v>3</v>
      </c>
      <c r="AC375" s="65" t="s">
        <v>2556</v>
      </c>
      <c r="AD375" s="65" t="s">
        <v>2611</v>
      </c>
      <c r="AE375" s="65" t="s">
        <v>2739</v>
      </c>
      <c r="AF375" s="65" t="s">
        <v>1437</v>
      </c>
      <c r="AG375" s="65">
        <v>2</v>
      </c>
      <c r="AH375" s="65">
        <v>1</v>
      </c>
      <c r="AI375" s="65">
        <v>3</v>
      </c>
      <c r="AJ375" s="65">
        <v>2</v>
      </c>
      <c r="AK375" s="65" t="s">
        <v>202</v>
      </c>
      <c r="AL375" s="128">
        <v>45070</v>
      </c>
      <c r="AM375" s="65">
        <v>6</v>
      </c>
      <c r="AN375" s="65">
        <v>2</v>
      </c>
      <c r="AO375" s="65" t="s">
        <v>353</v>
      </c>
      <c r="AP375" s="65">
        <v>2</v>
      </c>
      <c r="AQ375" s="65" t="s">
        <v>354</v>
      </c>
      <c r="AR375" s="65" t="s">
        <v>202</v>
      </c>
      <c r="AS375" s="65">
        <v>1</v>
      </c>
      <c r="AT375" s="65">
        <v>1</v>
      </c>
      <c r="AU375" s="65" t="s">
        <v>1529</v>
      </c>
      <c r="AV375" s="65" t="s">
        <v>1439</v>
      </c>
      <c r="AW375" s="65" t="s">
        <v>353</v>
      </c>
      <c r="AX375" s="65" t="s">
        <v>202</v>
      </c>
      <c r="AY375" s="65" t="s">
        <v>353</v>
      </c>
    </row>
    <row r="376" spans="1:51" x14ac:dyDescent="0.2">
      <c r="A376" s="65" t="s">
        <v>1367</v>
      </c>
      <c r="B376" s="65" t="s">
        <v>48</v>
      </c>
      <c r="C376" s="65" t="s">
        <v>145</v>
      </c>
      <c r="D376" s="65" t="s">
        <v>2740</v>
      </c>
      <c r="E376" s="65" t="s">
        <v>353</v>
      </c>
      <c r="F376" s="65" t="s">
        <v>1872</v>
      </c>
      <c r="G376" s="65" t="s">
        <v>344</v>
      </c>
      <c r="H376" s="65" t="s">
        <v>2452</v>
      </c>
      <c r="I376" s="65" t="s">
        <v>2453</v>
      </c>
      <c r="J376" s="65">
        <v>3144345375</v>
      </c>
      <c r="K376" s="65" t="s">
        <v>2498</v>
      </c>
      <c r="L376" s="65" t="s">
        <v>2499</v>
      </c>
      <c r="M376" s="65" t="s">
        <v>362</v>
      </c>
      <c r="N376" s="65" t="s">
        <v>2500</v>
      </c>
      <c r="O376" s="65" t="s">
        <v>2457</v>
      </c>
      <c r="P376" s="65" t="s">
        <v>2458</v>
      </c>
      <c r="Q376" s="65" t="s">
        <v>2459</v>
      </c>
      <c r="R376" s="65" t="s">
        <v>2460</v>
      </c>
      <c r="S376" s="65" t="s">
        <v>2461</v>
      </c>
      <c r="T376" s="65" t="s">
        <v>2462</v>
      </c>
      <c r="U376" s="65" t="s">
        <v>2463</v>
      </c>
      <c r="V376" s="65" t="s">
        <v>2464</v>
      </c>
      <c r="W376" s="65" t="s">
        <v>2465</v>
      </c>
      <c r="X376" s="65" t="s">
        <v>2466</v>
      </c>
      <c r="Y376" s="65" t="s">
        <v>1885</v>
      </c>
      <c r="Z376" s="65" t="s">
        <v>1886</v>
      </c>
      <c r="AA376" s="65" t="s">
        <v>2741</v>
      </c>
      <c r="AB376" s="65">
        <v>3</v>
      </c>
      <c r="AC376" s="65" t="s">
        <v>2742</v>
      </c>
      <c r="AD376" s="65" t="s">
        <v>2743</v>
      </c>
      <c r="AE376" s="65" t="s">
        <v>2744</v>
      </c>
      <c r="AF376" s="65" t="s">
        <v>1437</v>
      </c>
      <c r="AG376" s="65">
        <v>1</v>
      </c>
      <c r="AH376" s="65">
        <v>0</v>
      </c>
      <c r="AI376" s="65">
        <v>2</v>
      </c>
      <c r="AJ376" s="65">
        <v>2</v>
      </c>
      <c r="AK376" s="65" t="s">
        <v>202</v>
      </c>
      <c r="AL376" s="128">
        <v>45163</v>
      </c>
      <c r="AM376" s="65">
        <v>6</v>
      </c>
      <c r="AN376" s="65">
        <v>3</v>
      </c>
      <c r="AO376" s="65" t="s">
        <v>353</v>
      </c>
      <c r="AP376" s="65">
        <v>4</v>
      </c>
      <c r="AQ376" s="65" t="s">
        <v>352</v>
      </c>
      <c r="AR376" s="65" t="s">
        <v>202</v>
      </c>
      <c r="AS376" s="65">
        <v>1</v>
      </c>
      <c r="AT376" s="65">
        <v>1</v>
      </c>
      <c r="AU376" s="65" t="s">
        <v>1477</v>
      </c>
      <c r="AV376" s="65" t="s">
        <v>1439</v>
      </c>
      <c r="AW376" s="65" t="s">
        <v>202</v>
      </c>
      <c r="AX376" s="65" t="s">
        <v>202</v>
      </c>
      <c r="AY376" s="65" t="s">
        <v>353</v>
      </c>
    </row>
    <row r="377" spans="1:51" x14ac:dyDescent="0.2">
      <c r="A377" s="65" t="s">
        <v>1367</v>
      </c>
      <c r="B377" s="65" t="s">
        <v>81</v>
      </c>
      <c r="C377" s="65" t="s">
        <v>178</v>
      </c>
      <c r="D377" s="65" t="s">
        <v>2745</v>
      </c>
      <c r="E377" s="65" t="s">
        <v>353</v>
      </c>
      <c r="F377" s="65" t="s">
        <v>1872</v>
      </c>
      <c r="G377" s="65" t="s">
        <v>344</v>
      </c>
      <c r="H377" s="65" t="s">
        <v>2452</v>
      </c>
      <c r="I377" s="65" t="s">
        <v>2453</v>
      </c>
      <c r="J377" s="65">
        <v>3144345375</v>
      </c>
      <c r="K377" s="65" t="s">
        <v>2498</v>
      </c>
      <c r="L377" s="65" t="s">
        <v>2499</v>
      </c>
      <c r="M377" s="65" t="s">
        <v>362</v>
      </c>
      <c r="N377" s="65" t="s">
        <v>2500</v>
      </c>
      <c r="O377" s="65" t="s">
        <v>2457</v>
      </c>
      <c r="P377" s="65" t="s">
        <v>2458</v>
      </c>
      <c r="Q377" s="65" t="s">
        <v>2459</v>
      </c>
      <c r="R377" s="65" t="s">
        <v>2460</v>
      </c>
      <c r="S377" s="65" t="s">
        <v>2461</v>
      </c>
      <c r="T377" s="65" t="s">
        <v>2462</v>
      </c>
      <c r="U377" s="65" t="s">
        <v>2463</v>
      </c>
      <c r="V377" s="65" t="s">
        <v>2464</v>
      </c>
      <c r="W377" s="65" t="s">
        <v>2465</v>
      </c>
      <c r="X377" s="65" t="s">
        <v>2466</v>
      </c>
      <c r="Y377" s="65" t="s">
        <v>1873</v>
      </c>
      <c r="Z377" s="65" t="s">
        <v>1874</v>
      </c>
      <c r="AA377" s="65" t="s">
        <v>2746</v>
      </c>
      <c r="AB377" s="65">
        <v>2</v>
      </c>
      <c r="AC377" s="65" t="s">
        <v>2747</v>
      </c>
      <c r="AD377" s="65" t="s">
        <v>2309</v>
      </c>
      <c r="AE377" s="65" t="s">
        <v>2748</v>
      </c>
      <c r="AF377" s="65" t="s">
        <v>1437</v>
      </c>
      <c r="AG377" s="65">
        <v>1</v>
      </c>
      <c r="AH377" s="65">
        <v>1</v>
      </c>
      <c r="AI377" s="65">
        <v>3</v>
      </c>
      <c r="AJ377" s="65">
        <v>2</v>
      </c>
      <c r="AK377" s="65" t="s">
        <v>202</v>
      </c>
      <c r="AL377" s="128">
        <v>45069</v>
      </c>
      <c r="AM377" s="65">
        <v>6</v>
      </c>
      <c r="AN377" s="65">
        <v>1</v>
      </c>
      <c r="AO377" s="65" t="s">
        <v>202</v>
      </c>
      <c r="AP377" s="65">
        <v>2</v>
      </c>
      <c r="AQ377" s="65" t="s">
        <v>354</v>
      </c>
      <c r="AR377" s="65" t="s">
        <v>202</v>
      </c>
      <c r="AS377" s="65">
        <v>1</v>
      </c>
      <c r="AT377" s="65">
        <v>1</v>
      </c>
      <c r="AU377" s="65" t="s">
        <v>1438</v>
      </c>
      <c r="AV377" s="65" t="s">
        <v>1439</v>
      </c>
      <c r="AW377" s="65" t="s">
        <v>353</v>
      </c>
      <c r="AX377" s="65" t="s">
        <v>202</v>
      </c>
      <c r="AY377" s="65" t="s">
        <v>353</v>
      </c>
    </row>
    <row r="378" spans="1:51" x14ac:dyDescent="0.2">
      <c r="A378" s="65" t="s">
        <v>1367</v>
      </c>
      <c r="B378" s="65" t="s">
        <v>23</v>
      </c>
      <c r="C378" s="65" t="s">
        <v>542</v>
      </c>
      <c r="D378" s="65" t="s">
        <v>2749</v>
      </c>
      <c r="E378" s="65" t="s">
        <v>353</v>
      </c>
      <c r="F378" s="65" t="s">
        <v>1872</v>
      </c>
      <c r="G378" s="65" t="s">
        <v>344</v>
      </c>
      <c r="H378" s="65" t="s">
        <v>2452</v>
      </c>
      <c r="I378" s="65" t="s">
        <v>2453</v>
      </c>
      <c r="J378" s="65">
        <v>3144345375</v>
      </c>
      <c r="K378" s="65" t="s">
        <v>2498</v>
      </c>
      <c r="L378" s="65" t="s">
        <v>2499</v>
      </c>
      <c r="M378" s="65" t="s">
        <v>362</v>
      </c>
      <c r="N378" s="65" t="s">
        <v>2500</v>
      </c>
      <c r="O378" s="65" t="s">
        <v>2457</v>
      </c>
      <c r="P378" s="65" t="s">
        <v>2458</v>
      </c>
      <c r="Q378" s="65" t="s">
        <v>2459</v>
      </c>
      <c r="R378" s="65" t="s">
        <v>2460</v>
      </c>
      <c r="S378" s="65" t="s">
        <v>2461</v>
      </c>
      <c r="T378" s="65" t="s">
        <v>2462</v>
      </c>
      <c r="U378" s="65" t="s">
        <v>2463</v>
      </c>
      <c r="V378" s="65" t="s">
        <v>2464</v>
      </c>
      <c r="W378" s="65" t="s">
        <v>2465</v>
      </c>
      <c r="X378" s="65" t="s">
        <v>2466</v>
      </c>
      <c r="Y378" s="65" t="s">
        <v>1873</v>
      </c>
      <c r="Z378" s="65" t="s">
        <v>1874</v>
      </c>
      <c r="AA378" s="65" t="s">
        <v>2750</v>
      </c>
      <c r="AB378" s="65">
        <v>3</v>
      </c>
      <c r="AC378" s="65" t="s">
        <v>2751</v>
      </c>
      <c r="AD378" s="65" t="s">
        <v>2752</v>
      </c>
      <c r="AE378" s="65" t="s">
        <v>2753</v>
      </c>
      <c r="AF378" s="65" t="s">
        <v>1437</v>
      </c>
      <c r="AG378" s="65">
        <v>2</v>
      </c>
      <c r="AH378" s="65">
        <v>2</v>
      </c>
      <c r="AI378" s="65">
        <v>2</v>
      </c>
      <c r="AJ378" s="65">
        <v>2</v>
      </c>
      <c r="AK378" s="65" t="s">
        <v>202</v>
      </c>
      <c r="AL378" s="129">
        <v>45654</v>
      </c>
      <c r="AM378" s="65">
        <v>6</v>
      </c>
      <c r="AN378" s="65">
        <v>1</v>
      </c>
      <c r="AO378" s="65" t="s">
        <v>202</v>
      </c>
      <c r="AP378" s="65">
        <v>3</v>
      </c>
      <c r="AQ378" s="65" t="s">
        <v>355</v>
      </c>
      <c r="AR378" s="65" t="s">
        <v>353</v>
      </c>
      <c r="AS378" s="65">
        <v>0</v>
      </c>
      <c r="AT378" s="65">
        <v>0</v>
      </c>
      <c r="AU378" s="65" t="s">
        <v>1529</v>
      </c>
      <c r="AV378" s="65" t="s">
        <v>1439</v>
      </c>
      <c r="AW378" s="65" t="s">
        <v>202</v>
      </c>
      <c r="AX378" s="65" t="s">
        <v>202</v>
      </c>
      <c r="AY378" s="65" t="s">
        <v>353</v>
      </c>
    </row>
    <row r="379" spans="1:51" x14ac:dyDescent="0.2">
      <c r="A379" s="65" t="s">
        <v>1367</v>
      </c>
      <c r="B379" s="65" t="s">
        <v>56</v>
      </c>
      <c r="C379" s="65" t="s">
        <v>1221</v>
      </c>
      <c r="D379" s="65" t="s">
        <v>2754</v>
      </c>
      <c r="E379" s="65" t="s">
        <v>353</v>
      </c>
      <c r="F379" s="65" t="s">
        <v>1872</v>
      </c>
      <c r="G379" s="65" t="s">
        <v>344</v>
      </c>
      <c r="H379" s="65" t="s">
        <v>2452</v>
      </c>
      <c r="I379" s="65" t="s">
        <v>2453</v>
      </c>
      <c r="J379" s="65">
        <v>3144345375</v>
      </c>
      <c r="K379" s="65" t="s">
        <v>2498</v>
      </c>
      <c r="L379" s="65" t="s">
        <v>2499</v>
      </c>
      <c r="M379" s="65" t="s">
        <v>362</v>
      </c>
      <c r="N379" s="65" t="s">
        <v>2500</v>
      </c>
      <c r="O379" s="65" t="s">
        <v>2457</v>
      </c>
      <c r="P379" s="65" t="s">
        <v>2458</v>
      </c>
      <c r="Q379" s="65" t="s">
        <v>2459</v>
      </c>
      <c r="R379" s="65" t="s">
        <v>2460</v>
      </c>
      <c r="S379" s="65" t="s">
        <v>2461</v>
      </c>
      <c r="T379" s="65" t="s">
        <v>2462</v>
      </c>
      <c r="U379" s="65" t="s">
        <v>2463</v>
      </c>
      <c r="V379" s="65" t="s">
        <v>2464</v>
      </c>
      <c r="W379" s="65" t="s">
        <v>2465</v>
      </c>
      <c r="X379" s="65" t="s">
        <v>2466</v>
      </c>
      <c r="Y379" s="65" t="s">
        <v>1873</v>
      </c>
      <c r="Z379" s="65" t="s">
        <v>1874</v>
      </c>
      <c r="AA379" s="65" t="s">
        <v>2755</v>
      </c>
      <c r="AB379" s="65">
        <v>2</v>
      </c>
      <c r="AC379" s="65" t="s">
        <v>2756</v>
      </c>
      <c r="AD379" s="65" t="s">
        <v>1480</v>
      </c>
      <c r="AE379" s="65" t="s">
        <v>2757</v>
      </c>
      <c r="AF379" s="65" t="s">
        <v>1437</v>
      </c>
      <c r="AG379" s="65">
        <v>3</v>
      </c>
      <c r="AH379" s="65">
        <v>2</v>
      </c>
      <c r="AI379" s="65">
        <v>2</v>
      </c>
      <c r="AJ379" s="65">
        <v>2</v>
      </c>
      <c r="AK379" s="65" t="s">
        <v>202</v>
      </c>
      <c r="AL379" s="129">
        <v>45654</v>
      </c>
      <c r="AM379" s="65">
        <v>6</v>
      </c>
      <c r="AN379" s="65">
        <v>2</v>
      </c>
      <c r="AO379" s="65" t="s">
        <v>202</v>
      </c>
      <c r="AP379" s="65">
        <v>3</v>
      </c>
      <c r="AQ379" s="65" t="s">
        <v>354</v>
      </c>
      <c r="AR379" s="65" t="s">
        <v>353</v>
      </c>
      <c r="AS379" s="65">
        <v>0</v>
      </c>
      <c r="AT379" s="65">
        <v>0</v>
      </c>
      <c r="AU379" s="65" t="s">
        <v>1438</v>
      </c>
      <c r="AV379" s="65" t="s">
        <v>1439</v>
      </c>
      <c r="AW379" s="65" t="s">
        <v>353</v>
      </c>
      <c r="AX379" s="65" t="s">
        <v>202</v>
      </c>
      <c r="AY379" s="65" t="s">
        <v>353</v>
      </c>
    </row>
    <row r="380" spans="1:51" x14ac:dyDescent="0.2">
      <c r="A380" s="65" t="s">
        <v>1367</v>
      </c>
      <c r="B380" s="65" t="s">
        <v>24</v>
      </c>
      <c r="C380" s="65" t="s">
        <v>322</v>
      </c>
      <c r="D380" s="65" t="s">
        <v>2758</v>
      </c>
      <c r="E380" s="65" t="s">
        <v>353</v>
      </c>
      <c r="F380" s="65" t="s">
        <v>1872</v>
      </c>
      <c r="G380" s="65" t="s">
        <v>344</v>
      </c>
      <c r="H380" s="65" t="s">
        <v>2452</v>
      </c>
      <c r="I380" s="65" t="s">
        <v>2453</v>
      </c>
      <c r="J380" s="65">
        <v>3144345375</v>
      </c>
      <c r="K380" s="65" t="s">
        <v>2498</v>
      </c>
      <c r="L380" s="65" t="s">
        <v>2499</v>
      </c>
      <c r="M380" s="65" t="s">
        <v>362</v>
      </c>
      <c r="N380" s="65" t="s">
        <v>2500</v>
      </c>
      <c r="O380" s="65" t="s">
        <v>2457</v>
      </c>
      <c r="P380" s="65" t="s">
        <v>2458</v>
      </c>
      <c r="Q380" s="65" t="s">
        <v>2459</v>
      </c>
      <c r="R380" s="65" t="s">
        <v>2460</v>
      </c>
      <c r="S380" s="65" t="s">
        <v>2461</v>
      </c>
      <c r="T380" s="65" t="s">
        <v>2462</v>
      </c>
      <c r="U380" s="65" t="s">
        <v>2463</v>
      </c>
      <c r="V380" s="65" t="s">
        <v>2464</v>
      </c>
      <c r="W380" s="65" t="s">
        <v>2465</v>
      </c>
      <c r="X380" s="65" t="s">
        <v>2466</v>
      </c>
      <c r="Y380" s="65" t="s">
        <v>1873</v>
      </c>
      <c r="Z380" s="65" t="s">
        <v>1874</v>
      </c>
      <c r="AA380" s="65" t="s">
        <v>2759</v>
      </c>
      <c r="AB380" s="65">
        <v>2</v>
      </c>
      <c r="AC380" s="65" t="s">
        <v>2760</v>
      </c>
      <c r="AD380" s="65" t="s">
        <v>2761</v>
      </c>
      <c r="AE380" s="65" t="s">
        <v>2762</v>
      </c>
      <c r="AF380" s="65" t="s">
        <v>1437</v>
      </c>
      <c r="AG380" s="65">
        <v>3</v>
      </c>
      <c r="AH380" s="65">
        <v>2</v>
      </c>
      <c r="AI380" s="65">
        <v>2</v>
      </c>
      <c r="AJ380" s="65">
        <v>2</v>
      </c>
      <c r="AK380" s="65" t="s">
        <v>202</v>
      </c>
      <c r="AL380" s="128">
        <v>45688</v>
      </c>
      <c r="AM380" s="65">
        <v>6</v>
      </c>
      <c r="AN380" s="65">
        <v>2</v>
      </c>
      <c r="AO380" s="65" t="s">
        <v>202</v>
      </c>
      <c r="AP380" s="65">
        <v>3</v>
      </c>
      <c r="AQ380" s="65" t="s">
        <v>355</v>
      </c>
      <c r="AR380" s="65" t="s">
        <v>353</v>
      </c>
      <c r="AS380" s="65">
        <v>0</v>
      </c>
      <c r="AT380" s="65">
        <v>0</v>
      </c>
      <c r="AU380" s="65" t="s">
        <v>1477</v>
      </c>
      <c r="AV380" s="65" t="s">
        <v>1439</v>
      </c>
      <c r="AW380" s="65" t="s">
        <v>202</v>
      </c>
      <c r="AX380" s="65" t="s">
        <v>202</v>
      </c>
      <c r="AY380" s="65" t="s">
        <v>353</v>
      </c>
    </row>
    <row r="381" spans="1:51" x14ac:dyDescent="0.2">
      <c r="A381" s="65" t="s">
        <v>1367</v>
      </c>
      <c r="B381" s="65" t="s">
        <v>27</v>
      </c>
      <c r="C381" s="65" t="s">
        <v>124</v>
      </c>
      <c r="D381" s="65" t="s">
        <v>2763</v>
      </c>
      <c r="E381" s="65" t="s">
        <v>353</v>
      </c>
      <c r="F381" s="65" t="s">
        <v>1872</v>
      </c>
      <c r="G381" s="65" t="s">
        <v>344</v>
      </c>
      <c r="H381" s="65" t="s">
        <v>2452</v>
      </c>
      <c r="I381" s="65" t="s">
        <v>2453</v>
      </c>
      <c r="J381" s="65">
        <v>3144345375</v>
      </c>
      <c r="K381" s="65" t="s">
        <v>2498</v>
      </c>
      <c r="L381" s="65" t="s">
        <v>2499</v>
      </c>
      <c r="M381" s="65" t="s">
        <v>362</v>
      </c>
      <c r="N381" s="65" t="s">
        <v>2500</v>
      </c>
      <c r="O381" s="65" t="s">
        <v>2457</v>
      </c>
      <c r="P381" s="65" t="s">
        <v>2458</v>
      </c>
      <c r="Q381" s="65" t="s">
        <v>2459</v>
      </c>
      <c r="R381" s="65" t="s">
        <v>2460</v>
      </c>
      <c r="S381" s="65" t="s">
        <v>2461</v>
      </c>
      <c r="T381" s="65" t="s">
        <v>2462</v>
      </c>
      <c r="U381" s="65" t="s">
        <v>2463</v>
      </c>
      <c r="V381" s="65" t="s">
        <v>2464</v>
      </c>
      <c r="W381" s="65" t="s">
        <v>2465</v>
      </c>
      <c r="X381" s="65" t="s">
        <v>2466</v>
      </c>
      <c r="Y381" s="65" t="s">
        <v>1873</v>
      </c>
      <c r="Z381" s="65" t="s">
        <v>1874</v>
      </c>
      <c r="AA381" s="65" t="s">
        <v>2764</v>
      </c>
      <c r="AB381" s="65">
        <v>2</v>
      </c>
      <c r="AC381" s="65" t="s">
        <v>2386</v>
      </c>
      <c r="AD381" s="65" t="s">
        <v>2765</v>
      </c>
      <c r="AE381" s="65" t="s">
        <v>2766</v>
      </c>
      <c r="AF381" s="65" t="s">
        <v>1437</v>
      </c>
      <c r="AG381" s="65">
        <v>2</v>
      </c>
      <c r="AH381" s="65">
        <v>1</v>
      </c>
      <c r="AI381" s="65">
        <v>2</v>
      </c>
      <c r="AJ381" s="65">
        <v>2</v>
      </c>
      <c r="AK381" s="65" t="s">
        <v>202</v>
      </c>
      <c r="AL381" s="128">
        <v>45776</v>
      </c>
      <c r="AM381" s="65">
        <v>6</v>
      </c>
      <c r="AN381" s="65">
        <v>1</v>
      </c>
      <c r="AO381" s="65" t="s">
        <v>202</v>
      </c>
      <c r="AP381" s="65">
        <v>3</v>
      </c>
      <c r="AQ381" s="65" t="s">
        <v>355</v>
      </c>
      <c r="AR381" s="65" t="s">
        <v>353</v>
      </c>
      <c r="AS381" s="65">
        <v>0</v>
      </c>
      <c r="AT381" s="65">
        <v>0</v>
      </c>
      <c r="AU381" s="65" t="s">
        <v>1529</v>
      </c>
      <c r="AV381" s="65" t="s">
        <v>1439</v>
      </c>
      <c r="AW381" s="65" t="s">
        <v>202</v>
      </c>
      <c r="AX381" s="65" t="s">
        <v>202</v>
      </c>
      <c r="AY381" s="65" t="s">
        <v>353</v>
      </c>
    </row>
    <row r="382" spans="1:51" x14ac:dyDescent="0.2">
      <c r="A382" s="65" t="s">
        <v>1367</v>
      </c>
      <c r="B382" s="65" t="s">
        <v>38</v>
      </c>
      <c r="C382" s="65" t="s">
        <v>135</v>
      </c>
      <c r="D382" s="65" t="s">
        <v>2767</v>
      </c>
      <c r="E382" s="65" t="s">
        <v>353</v>
      </c>
      <c r="F382" s="65" t="s">
        <v>1872</v>
      </c>
      <c r="G382" s="65" t="s">
        <v>344</v>
      </c>
      <c r="H382" s="65" t="s">
        <v>2452</v>
      </c>
      <c r="I382" s="65" t="s">
        <v>2453</v>
      </c>
      <c r="J382" s="65">
        <v>3144345375</v>
      </c>
      <c r="K382" s="65" t="s">
        <v>2768</v>
      </c>
      <c r="L382" s="65" t="s">
        <v>2769</v>
      </c>
      <c r="M382" s="65" t="s">
        <v>365</v>
      </c>
      <c r="N382" s="65" t="s">
        <v>2770</v>
      </c>
      <c r="O382" s="65" t="s">
        <v>2457</v>
      </c>
      <c r="P382" s="65" t="s">
        <v>2458</v>
      </c>
      <c r="Q382" s="65" t="s">
        <v>2459</v>
      </c>
      <c r="R382" s="65" t="s">
        <v>2460</v>
      </c>
      <c r="S382" s="65" t="s">
        <v>2461</v>
      </c>
      <c r="T382" s="65" t="s">
        <v>2462</v>
      </c>
      <c r="U382" s="65" t="s">
        <v>2463</v>
      </c>
      <c r="V382" s="65" t="s">
        <v>2464</v>
      </c>
      <c r="W382" s="65" t="s">
        <v>2465</v>
      </c>
      <c r="X382" s="65" t="s">
        <v>2466</v>
      </c>
      <c r="Y382" s="65" t="s">
        <v>1873</v>
      </c>
      <c r="Z382" s="65" t="s">
        <v>1874</v>
      </c>
      <c r="AA382" s="65" t="s">
        <v>2771</v>
      </c>
      <c r="AB382" s="65">
        <v>2</v>
      </c>
      <c r="AC382" s="65" t="s">
        <v>2278</v>
      </c>
      <c r="AD382" s="65" t="s">
        <v>2495</v>
      </c>
      <c r="AE382" s="65" t="s">
        <v>2772</v>
      </c>
      <c r="AF382" s="65" t="s">
        <v>1437</v>
      </c>
      <c r="AG382" s="65">
        <v>2</v>
      </c>
      <c r="AH382" s="65">
        <v>0</v>
      </c>
      <c r="AI382" s="65">
        <v>2</v>
      </c>
      <c r="AJ382" s="65">
        <v>1</v>
      </c>
      <c r="AK382" s="65" t="s">
        <v>202</v>
      </c>
      <c r="AL382" s="128">
        <v>44981</v>
      </c>
      <c r="AM382" s="65">
        <v>4</v>
      </c>
      <c r="AN382" s="65">
        <v>1</v>
      </c>
      <c r="AO382" s="65" t="s">
        <v>202</v>
      </c>
      <c r="AP382" s="65">
        <v>2</v>
      </c>
      <c r="AQ382" s="65" t="s">
        <v>355</v>
      </c>
      <c r="AR382" s="65" t="s">
        <v>202</v>
      </c>
      <c r="AS382" s="65">
        <v>1</v>
      </c>
      <c r="AT382" s="65">
        <v>1</v>
      </c>
      <c r="AU382" s="65" t="s">
        <v>1529</v>
      </c>
      <c r="AV382" s="65" t="s">
        <v>1439</v>
      </c>
      <c r="AW382" s="65" t="s">
        <v>202</v>
      </c>
      <c r="AX382" s="65" t="s">
        <v>202</v>
      </c>
      <c r="AY382" s="65" t="s">
        <v>202</v>
      </c>
    </row>
    <row r="383" spans="1:51" x14ac:dyDescent="0.2">
      <c r="A383" s="65" t="s">
        <v>1367</v>
      </c>
      <c r="B383" s="65" t="s">
        <v>42</v>
      </c>
      <c r="C383" s="65" t="s">
        <v>139</v>
      </c>
      <c r="D383" s="65" t="s">
        <v>2773</v>
      </c>
      <c r="E383" s="65" t="s">
        <v>353</v>
      </c>
      <c r="F383" s="65" t="s">
        <v>1872</v>
      </c>
      <c r="G383" s="65" t="s">
        <v>344</v>
      </c>
      <c r="H383" s="65" t="s">
        <v>2452</v>
      </c>
      <c r="I383" s="65" t="s">
        <v>2453</v>
      </c>
      <c r="J383" s="65">
        <v>3144345375</v>
      </c>
      <c r="K383" s="65" t="s">
        <v>2768</v>
      </c>
      <c r="L383" s="65" t="s">
        <v>2769</v>
      </c>
      <c r="M383" s="65" t="s">
        <v>365</v>
      </c>
      <c r="N383" s="65" t="s">
        <v>2770</v>
      </c>
      <c r="O383" s="65" t="s">
        <v>2457</v>
      </c>
      <c r="P383" s="65" t="s">
        <v>2458</v>
      </c>
      <c r="Q383" s="65" t="s">
        <v>2459</v>
      </c>
      <c r="R383" s="65" t="s">
        <v>2460</v>
      </c>
      <c r="S383" s="65" t="s">
        <v>2461</v>
      </c>
      <c r="T383" s="65" t="s">
        <v>2462</v>
      </c>
      <c r="U383" s="65" t="s">
        <v>2463</v>
      </c>
      <c r="V383" s="65" t="s">
        <v>2464</v>
      </c>
      <c r="W383" s="65" t="s">
        <v>2465</v>
      </c>
      <c r="X383" s="65" t="s">
        <v>2466</v>
      </c>
      <c r="Y383" s="65" t="s">
        <v>1873</v>
      </c>
      <c r="Z383" s="65" t="s">
        <v>1874</v>
      </c>
      <c r="AA383" s="65" t="s">
        <v>2774</v>
      </c>
      <c r="AB383" s="65">
        <v>3</v>
      </c>
      <c r="AC383" s="65" t="s">
        <v>2256</v>
      </c>
      <c r="AD383" s="65" t="s">
        <v>2524</v>
      </c>
      <c r="AE383" s="65" t="s">
        <v>2775</v>
      </c>
      <c r="AF383" s="65" t="s">
        <v>2253</v>
      </c>
      <c r="AG383" s="65">
        <v>2</v>
      </c>
      <c r="AH383" s="65">
        <v>0</v>
      </c>
      <c r="AI383" s="65">
        <v>2</v>
      </c>
      <c r="AJ383" s="65">
        <v>2</v>
      </c>
      <c r="AK383" s="65" t="s">
        <v>202</v>
      </c>
      <c r="AL383" s="128">
        <v>45091</v>
      </c>
      <c r="AM383" s="65">
        <v>4</v>
      </c>
      <c r="AN383" s="65">
        <v>1</v>
      </c>
      <c r="AO383" s="65" t="s">
        <v>202</v>
      </c>
      <c r="AP383" s="65">
        <v>2</v>
      </c>
      <c r="AQ383" s="65" t="s">
        <v>355</v>
      </c>
      <c r="AR383" s="65" t="s">
        <v>202</v>
      </c>
      <c r="AS383" s="65">
        <v>1</v>
      </c>
      <c r="AT383" s="65">
        <v>1</v>
      </c>
      <c r="AU383" s="65" t="s">
        <v>1529</v>
      </c>
      <c r="AV383" s="65" t="s">
        <v>1439</v>
      </c>
      <c r="AW383" s="65" t="s">
        <v>202</v>
      </c>
      <c r="AX383" s="65" t="s">
        <v>202</v>
      </c>
      <c r="AY383" s="65" t="s">
        <v>202</v>
      </c>
    </row>
    <row r="384" spans="1:51" x14ac:dyDescent="0.2">
      <c r="A384" s="65" t="s">
        <v>1367</v>
      </c>
      <c r="B384" s="65" t="s">
        <v>13</v>
      </c>
      <c r="C384" s="65" t="s">
        <v>110</v>
      </c>
      <c r="D384" s="65" t="s">
        <v>2776</v>
      </c>
      <c r="E384" s="65" t="s">
        <v>353</v>
      </c>
      <c r="F384" s="65" t="s">
        <v>1872</v>
      </c>
      <c r="G384" s="65" t="s">
        <v>344</v>
      </c>
      <c r="H384" s="65" t="s">
        <v>2452</v>
      </c>
      <c r="I384" s="65" t="s">
        <v>2453</v>
      </c>
      <c r="J384" s="65">
        <v>3144345375</v>
      </c>
      <c r="K384" s="65" t="s">
        <v>2768</v>
      </c>
      <c r="L384" s="65" t="s">
        <v>2769</v>
      </c>
      <c r="M384" s="65" t="s">
        <v>365</v>
      </c>
      <c r="N384" s="65" t="s">
        <v>2770</v>
      </c>
      <c r="O384" s="65" t="s">
        <v>2457</v>
      </c>
      <c r="P384" s="65" t="s">
        <v>2458</v>
      </c>
      <c r="Q384" s="65" t="s">
        <v>2459</v>
      </c>
      <c r="R384" s="65" t="s">
        <v>2460</v>
      </c>
      <c r="S384" s="65" t="s">
        <v>2461</v>
      </c>
      <c r="T384" s="65" t="s">
        <v>2462</v>
      </c>
      <c r="U384" s="65" t="s">
        <v>2463</v>
      </c>
      <c r="V384" s="65" t="s">
        <v>2464</v>
      </c>
      <c r="W384" s="65" t="s">
        <v>2465</v>
      </c>
      <c r="X384" s="65" t="s">
        <v>2466</v>
      </c>
      <c r="Y384" s="65" t="s">
        <v>1873</v>
      </c>
      <c r="Z384" s="65" t="s">
        <v>1874</v>
      </c>
      <c r="AA384" s="65" t="s">
        <v>2777</v>
      </c>
      <c r="AB384" s="65">
        <v>2</v>
      </c>
      <c r="AC384" s="65" t="s">
        <v>2778</v>
      </c>
      <c r="AD384" s="65" t="s">
        <v>2072</v>
      </c>
      <c r="AE384" s="65" t="s">
        <v>2779</v>
      </c>
      <c r="AF384" s="65" t="s">
        <v>1437</v>
      </c>
      <c r="AG384" s="65">
        <v>1</v>
      </c>
      <c r="AH384" s="65">
        <v>0</v>
      </c>
      <c r="AI384" s="65">
        <v>3</v>
      </c>
      <c r="AJ384" s="65">
        <v>2</v>
      </c>
      <c r="AK384" s="65" t="s">
        <v>202</v>
      </c>
      <c r="AL384" s="128">
        <v>45077</v>
      </c>
      <c r="AM384" s="65">
        <v>4</v>
      </c>
      <c r="AN384" s="65">
        <v>1</v>
      </c>
      <c r="AO384" s="65" t="s">
        <v>202</v>
      </c>
      <c r="AP384" s="65">
        <v>2</v>
      </c>
      <c r="AQ384" s="65" t="s">
        <v>355</v>
      </c>
      <c r="AR384" s="65" t="s">
        <v>202</v>
      </c>
      <c r="AS384" s="65">
        <v>1</v>
      </c>
      <c r="AT384" s="65">
        <v>1</v>
      </c>
      <c r="AU384" s="65" t="s">
        <v>1438</v>
      </c>
      <c r="AV384" s="65" t="s">
        <v>1439</v>
      </c>
      <c r="AW384" s="65" t="s">
        <v>202</v>
      </c>
      <c r="AX384" s="65" t="s">
        <v>202</v>
      </c>
      <c r="AY384" s="65" t="s">
        <v>202</v>
      </c>
    </row>
    <row r="385" spans="1:51" x14ac:dyDescent="0.2">
      <c r="A385" s="65" t="s">
        <v>1367</v>
      </c>
      <c r="B385" s="65" t="s">
        <v>80</v>
      </c>
      <c r="C385" s="65" t="s">
        <v>332</v>
      </c>
      <c r="D385" s="65" t="s">
        <v>2780</v>
      </c>
      <c r="E385" s="65" t="s">
        <v>353</v>
      </c>
      <c r="F385" s="65" t="s">
        <v>1872</v>
      </c>
      <c r="G385" s="65" t="s">
        <v>344</v>
      </c>
      <c r="H385" s="65" t="s">
        <v>2452</v>
      </c>
      <c r="I385" s="65" t="s">
        <v>2453</v>
      </c>
      <c r="J385" s="65">
        <v>3144345375</v>
      </c>
      <c r="K385" s="65" t="s">
        <v>2768</v>
      </c>
      <c r="L385" s="65" t="s">
        <v>2769</v>
      </c>
      <c r="M385" s="65" t="s">
        <v>365</v>
      </c>
      <c r="N385" s="65" t="s">
        <v>2770</v>
      </c>
      <c r="O385" s="65" t="s">
        <v>2457</v>
      </c>
      <c r="P385" s="65" t="s">
        <v>2458</v>
      </c>
      <c r="Q385" s="65" t="s">
        <v>2459</v>
      </c>
      <c r="R385" s="65" t="s">
        <v>2460</v>
      </c>
      <c r="S385" s="65" t="s">
        <v>2461</v>
      </c>
      <c r="T385" s="65" t="s">
        <v>2462</v>
      </c>
      <c r="U385" s="65" t="s">
        <v>2463</v>
      </c>
      <c r="V385" s="65" t="s">
        <v>2464</v>
      </c>
      <c r="W385" s="65" t="s">
        <v>2465</v>
      </c>
      <c r="X385" s="65" t="s">
        <v>2466</v>
      </c>
      <c r="Y385" s="65" t="s">
        <v>1873</v>
      </c>
      <c r="Z385" s="65" t="s">
        <v>2531</v>
      </c>
      <c r="AA385" s="65" t="s">
        <v>2781</v>
      </c>
      <c r="AB385" s="65">
        <v>2</v>
      </c>
      <c r="AC385" s="65" t="s">
        <v>2782</v>
      </c>
      <c r="AD385" s="65" t="s">
        <v>2546</v>
      </c>
      <c r="AE385" s="65" t="s">
        <v>2783</v>
      </c>
      <c r="AF385" s="65" t="s">
        <v>1437</v>
      </c>
      <c r="AG385" s="65">
        <v>1</v>
      </c>
      <c r="AH385" s="65">
        <v>0</v>
      </c>
      <c r="AI385" s="65">
        <v>2</v>
      </c>
      <c r="AJ385" s="65">
        <v>2</v>
      </c>
      <c r="AK385" s="65" t="s">
        <v>202</v>
      </c>
      <c r="AL385" s="128">
        <v>45128</v>
      </c>
      <c r="AM385" s="65">
        <v>3</v>
      </c>
      <c r="AN385" s="65">
        <v>1</v>
      </c>
      <c r="AO385" s="65" t="s">
        <v>202</v>
      </c>
      <c r="AP385" s="65">
        <v>2</v>
      </c>
      <c r="AQ385" s="65" t="s">
        <v>354</v>
      </c>
      <c r="AR385" s="65" t="s">
        <v>202</v>
      </c>
      <c r="AS385" s="65">
        <v>1</v>
      </c>
      <c r="AT385" s="65">
        <v>1</v>
      </c>
      <c r="AU385" s="65" t="s">
        <v>1529</v>
      </c>
      <c r="AV385" s="65" t="s">
        <v>1439</v>
      </c>
      <c r="AW385" s="65" t="s">
        <v>353</v>
      </c>
      <c r="AX385" s="65" t="s">
        <v>202</v>
      </c>
      <c r="AY385" s="65" t="s">
        <v>202</v>
      </c>
    </row>
    <row r="386" spans="1:51" x14ac:dyDescent="0.2">
      <c r="A386" s="65" t="s">
        <v>1367</v>
      </c>
      <c r="B386" s="65" t="s">
        <v>44</v>
      </c>
      <c r="C386" s="65" t="s">
        <v>141</v>
      </c>
      <c r="D386" s="65" t="s">
        <v>2784</v>
      </c>
      <c r="E386" s="65" t="s">
        <v>353</v>
      </c>
      <c r="F386" s="65" t="s">
        <v>1872</v>
      </c>
      <c r="G386" s="65" t="s">
        <v>344</v>
      </c>
      <c r="H386" s="65" t="s">
        <v>2452</v>
      </c>
      <c r="I386" s="65" t="s">
        <v>2453</v>
      </c>
      <c r="J386" s="65">
        <v>3144345375</v>
      </c>
      <c r="K386" s="65" t="s">
        <v>2768</v>
      </c>
      <c r="L386" s="65" t="s">
        <v>2769</v>
      </c>
      <c r="M386" s="65" t="s">
        <v>365</v>
      </c>
      <c r="N386" s="65" t="s">
        <v>2770</v>
      </c>
      <c r="O386" s="65" t="s">
        <v>2457</v>
      </c>
      <c r="P386" s="65" t="s">
        <v>2458</v>
      </c>
      <c r="Q386" s="65" t="s">
        <v>2459</v>
      </c>
      <c r="R386" s="65" t="s">
        <v>2460</v>
      </c>
      <c r="S386" s="65" t="s">
        <v>2461</v>
      </c>
      <c r="T386" s="65" t="s">
        <v>2462</v>
      </c>
      <c r="U386" s="65" t="s">
        <v>2463</v>
      </c>
      <c r="V386" s="65" t="s">
        <v>2464</v>
      </c>
      <c r="W386" s="65" t="s">
        <v>2465</v>
      </c>
      <c r="X386" s="65" t="s">
        <v>2466</v>
      </c>
      <c r="Y386" s="65" t="s">
        <v>1873</v>
      </c>
      <c r="Z386" s="65" t="s">
        <v>1874</v>
      </c>
      <c r="AA386" s="65" t="s">
        <v>2785</v>
      </c>
      <c r="AB386" s="65">
        <v>2</v>
      </c>
      <c r="AC386" s="65" t="s">
        <v>2040</v>
      </c>
      <c r="AD386" s="65" t="s">
        <v>2782</v>
      </c>
      <c r="AE386" s="65" t="s">
        <v>2786</v>
      </c>
      <c r="AF386" s="65" t="s">
        <v>1437</v>
      </c>
      <c r="AG386" s="65">
        <v>1</v>
      </c>
      <c r="AH386" s="65">
        <v>0</v>
      </c>
      <c r="AI386" s="65">
        <v>2</v>
      </c>
      <c r="AJ386" s="65">
        <v>2</v>
      </c>
      <c r="AK386" s="65" t="s">
        <v>202</v>
      </c>
      <c r="AL386" s="128">
        <v>45010</v>
      </c>
      <c r="AM386" s="65">
        <v>6</v>
      </c>
      <c r="AN386" s="65">
        <v>1</v>
      </c>
      <c r="AO386" s="65" t="s">
        <v>202</v>
      </c>
      <c r="AP386" s="65">
        <v>4</v>
      </c>
      <c r="AQ386" s="65" t="s">
        <v>354</v>
      </c>
      <c r="AR386" s="65" t="s">
        <v>202</v>
      </c>
      <c r="AS386" s="65">
        <v>1</v>
      </c>
      <c r="AT386" s="65">
        <v>1</v>
      </c>
      <c r="AU386" s="65" t="s">
        <v>1529</v>
      </c>
      <c r="AV386" s="65" t="s">
        <v>1439</v>
      </c>
      <c r="AW386" s="65" t="s">
        <v>353</v>
      </c>
      <c r="AX386" s="65" t="s">
        <v>202</v>
      </c>
      <c r="AY386" s="65" t="s">
        <v>353</v>
      </c>
    </row>
    <row r="387" spans="1:51" x14ac:dyDescent="0.2">
      <c r="A387" s="65" t="s">
        <v>1367</v>
      </c>
      <c r="B387" s="65" t="s">
        <v>79</v>
      </c>
      <c r="C387" s="65" t="s">
        <v>176</v>
      </c>
      <c r="D387" s="65" t="s">
        <v>2787</v>
      </c>
      <c r="E387" s="65" t="s">
        <v>353</v>
      </c>
      <c r="F387" s="65" t="s">
        <v>1872</v>
      </c>
      <c r="G387" s="65" t="s">
        <v>344</v>
      </c>
      <c r="H387" s="65" t="s">
        <v>2452</v>
      </c>
      <c r="I387" s="65" t="s">
        <v>2453</v>
      </c>
      <c r="J387" s="65">
        <v>3144345375</v>
      </c>
      <c r="K387" s="65" t="s">
        <v>2768</v>
      </c>
      <c r="L387" s="65" t="s">
        <v>2769</v>
      </c>
      <c r="M387" s="65" t="s">
        <v>365</v>
      </c>
      <c r="N387" s="65" t="s">
        <v>2770</v>
      </c>
      <c r="O387" s="65" t="s">
        <v>2457</v>
      </c>
      <c r="P387" s="65" t="s">
        <v>2458</v>
      </c>
      <c r="Q387" s="65" t="s">
        <v>2459</v>
      </c>
      <c r="R387" s="65" t="s">
        <v>2460</v>
      </c>
      <c r="S387" s="65" t="s">
        <v>2461</v>
      </c>
      <c r="T387" s="65" t="s">
        <v>2462</v>
      </c>
      <c r="U387" s="65" t="s">
        <v>2463</v>
      </c>
      <c r="V387" s="65" t="s">
        <v>2464</v>
      </c>
      <c r="W387" s="65" t="s">
        <v>2465</v>
      </c>
      <c r="X387" s="65" t="s">
        <v>2466</v>
      </c>
      <c r="Y387" s="65" t="s">
        <v>1873</v>
      </c>
      <c r="Z387" s="65" t="s">
        <v>1874</v>
      </c>
      <c r="AA387" s="65" t="s">
        <v>2788</v>
      </c>
      <c r="AB387" s="65">
        <v>3</v>
      </c>
      <c r="AC387" s="65" t="s">
        <v>2135</v>
      </c>
      <c r="AD387" s="65" t="s">
        <v>2789</v>
      </c>
      <c r="AE387" s="65" t="s">
        <v>2790</v>
      </c>
      <c r="AF387" s="65" t="s">
        <v>1437</v>
      </c>
      <c r="AG387" s="65">
        <v>2</v>
      </c>
      <c r="AH387" s="65">
        <v>0</v>
      </c>
      <c r="AI387" s="65">
        <v>2</v>
      </c>
      <c r="AJ387" s="65">
        <v>2</v>
      </c>
      <c r="AK387" s="65" t="s">
        <v>202</v>
      </c>
      <c r="AL387" s="128">
        <v>45066</v>
      </c>
      <c r="AM387" s="65">
        <v>4</v>
      </c>
      <c r="AN387" s="65">
        <v>1</v>
      </c>
      <c r="AO387" s="65" t="s">
        <v>202</v>
      </c>
      <c r="AP387" s="65">
        <v>2</v>
      </c>
      <c r="AQ387" s="65" t="s">
        <v>355</v>
      </c>
      <c r="AR387" s="65" t="s">
        <v>202</v>
      </c>
      <c r="AS387" s="65">
        <v>1</v>
      </c>
      <c r="AT387" s="65">
        <v>1</v>
      </c>
      <c r="AU387" s="65" t="s">
        <v>1529</v>
      </c>
      <c r="AV387" s="65" t="s">
        <v>1439</v>
      </c>
      <c r="AW387" s="65" t="s">
        <v>202</v>
      </c>
      <c r="AX387" s="65" t="s">
        <v>202</v>
      </c>
      <c r="AY387" s="65" t="s">
        <v>202</v>
      </c>
    </row>
    <row r="388" spans="1:51" x14ac:dyDescent="0.2">
      <c r="A388" s="65" t="s">
        <v>1367</v>
      </c>
      <c r="B388" s="65" t="s">
        <v>16</v>
      </c>
      <c r="C388" s="65" t="s">
        <v>113</v>
      </c>
      <c r="D388" s="65" t="s">
        <v>2791</v>
      </c>
      <c r="E388" s="65" t="s">
        <v>353</v>
      </c>
      <c r="F388" s="65" t="s">
        <v>1872</v>
      </c>
      <c r="G388" s="65" t="s">
        <v>344</v>
      </c>
      <c r="H388" s="65" t="s">
        <v>2452</v>
      </c>
      <c r="I388" s="65" t="s">
        <v>2453</v>
      </c>
      <c r="J388" s="65">
        <v>3144345375</v>
      </c>
      <c r="K388" s="65" t="s">
        <v>2768</v>
      </c>
      <c r="L388" s="65" t="s">
        <v>2769</v>
      </c>
      <c r="M388" s="65" t="s">
        <v>365</v>
      </c>
      <c r="N388" s="65" t="s">
        <v>2770</v>
      </c>
      <c r="O388" s="65" t="s">
        <v>2457</v>
      </c>
      <c r="P388" s="65" t="s">
        <v>2458</v>
      </c>
      <c r="Q388" s="65" t="s">
        <v>2459</v>
      </c>
      <c r="R388" s="65" t="s">
        <v>2460</v>
      </c>
      <c r="S388" s="65" t="s">
        <v>2461</v>
      </c>
      <c r="T388" s="65" t="s">
        <v>2462</v>
      </c>
      <c r="U388" s="65" t="s">
        <v>2463</v>
      </c>
      <c r="V388" s="65" t="s">
        <v>2464</v>
      </c>
      <c r="W388" s="65" t="s">
        <v>2465</v>
      </c>
      <c r="X388" s="65" t="s">
        <v>2466</v>
      </c>
      <c r="Y388" s="65" t="s">
        <v>1873</v>
      </c>
      <c r="Z388" s="65" t="s">
        <v>2531</v>
      </c>
      <c r="AA388" s="65" t="s">
        <v>2792</v>
      </c>
      <c r="AB388" s="65">
        <v>2</v>
      </c>
      <c r="AC388" s="65" t="s">
        <v>1558</v>
      </c>
      <c r="AD388" s="65" t="s">
        <v>2314</v>
      </c>
      <c r="AE388" s="65" t="s">
        <v>2793</v>
      </c>
      <c r="AF388" s="65" t="s">
        <v>2253</v>
      </c>
      <c r="AG388" s="65">
        <v>2</v>
      </c>
      <c r="AH388" s="65">
        <v>1</v>
      </c>
      <c r="AI388" s="65">
        <v>2</v>
      </c>
      <c r="AJ388" s="65">
        <v>2</v>
      </c>
      <c r="AK388" s="65" t="s">
        <v>202</v>
      </c>
      <c r="AL388" s="128">
        <v>45128</v>
      </c>
      <c r="AM388" s="65">
        <v>4</v>
      </c>
      <c r="AN388" s="65">
        <v>1</v>
      </c>
      <c r="AO388" s="65" t="s">
        <v>202</v>
      </c>
      <c r="AP388" s="65">
        <v>2</v>
      </c>
      <c r="AQ388" s="65" t="s">
        <v>352</v>
      </c>
      <c r="AR388" s="65" t="s">
        <v>202</v>
      </c>
      <c r="AS388" s="65">
        <v>1</v>
      </c>
      <c r="AT388" s="65">
        <v>1</v>
      </c>
      <c r="AU388" s="65" t="s">
        <v>1529</v>
      </c>
      <c r="AV388" s="65" t="s">
        <v>1439</v>
      </c>
      <c r="AW388" s="65" t="s">
        <v>202</v>
      </c>
      <c r="AX388" s="65" t="s">
        <v>202</v>
      </c>
      <c r="AY388" s="65" t="s">
        <v>202</v>
      </c>
    </row>
    <row r="389" spans="1:51" x14ac:dyDescent="0.2">
      <c r="A389" s="65" t="s">
        <v>1367</v>
      </c>
      <c r="B389" s="65" t="s">
        <v>17</v>
      </c>
      <c r="C389" s="65" t="s">
        <v>114</v>
      </c>
      <c r="D389" s="65" t="s">
        <v>2794</v>
      </c>
      <c r="E389" s="65" t="s">
        <v>353</v>
      </c>
      <c r="F389" s="65" t="s">
        <v>1872</v>
      </c>
      <c r="G389" s="65" t="s">
        <v>344</v>
      </c>
      <c r="H389" s="65" t="s">
        <v>2452</v>
      </c>
      <c r="I389" s="65" t="s">
        <v>2453</v>
      </c>
      <c r="J389" s="65">
        <v>3144345375</v>
      </c>
      <c r="K389" s="65" t="s">
        <v>2768</v>
      </c>
      <c r="L389" s="65" t="s">
        <v>2769</v>
      </c>
      <c r="M389" s="65" t="s">
        <v>365</v>
      </c>
      <c r="N389" s="65" t="s">
        <v>2770</v>
      </c>
      <c r="O389" s="65" t="s">
        <v>2457</v>
      </c>
      <c r="P389" s="65" t="s">
        <v>2458</v>
      </c>
      <c r="Q389" s="65" t="s">
        <v>2459</v>
      </c>
      <c r="R389" s="65" t="s">
        <v>2460</v>
      </c>
      <c r="S389" s="65" t="s">
        <v>2461</v>
      </c>
      <c r="T389" s="65" t="s">
        <v>2462</v>
      </c>
      <c r="U389" s="65" t="s">
        <v>2463</v>
      </c>
      <c r="V389" s="65" t="s">
        <v>2464</v>
      </c>
      <c r="W389" s="65" t="s">
        <v>2465</v>
      </c>
      <c r="X389" s="65" t="s">
        <v>2466</v>
      </c>
      <c r="Y389" s="65" t="s">
        <v>1873</v>
      </c>
      <c r="Z389" s="65" t="s">
        <v>1874</v>
      </c>
      <c r="AA389" s="65" t="s">
        <v>2795</v>
      </c>
      <c r="AB389" s="65">
        <v>3</v>
      </c>
      <c r="AC389" s="65" t="s">
        <v>2130</v>
      </c>
      <c r="AD389" s="65" t="s">
        <v>2257</v>
      </c>
      <c r="AE389" s="65" t="s">
        <v>2796</v>
      </c>
      <c r="AF389" s="65" t="s">
        <v>1437</v>
      </c>
      <c r="AG389" s="65">
        <v>2</v>
      </c>
      <c r="AH389" s="65">
        <v>1</v>
      </c>
      <c r="AI389" s="65">
        <v>2</v>
      </c>
      <c r="AJ389" s="65">
        <v>2</v>
      </c>
      <c r="AK389" s="65" t="s">
        <v>202</v>
      </c>
      <c r="AL389" s="128">
        <v>45367</v>
      </c>
      <c r="AM389" s="65">
        <v>6</v>
      </c>
      <c r="AN389" s="65">
        <v>2</v>
      </c>
      <c r="AO389" s="65" t="s">
        <v>202</v>
      </c>
      <c r="AP389" s="65">
        <v>2</v>
      </c>
      <c r="AQ389" s="65" t="s">
        <v>354</v>
      </c>
      <c r="AR389" s="65" t="s">
        <v>353</v>
      </c>
      <c r="AS389" s="65">
        <v>1</v>
      </c>
      <c r="AT389" s="65">
        <v>1</v>
      </c>
      <c r="AU389" s="65" t="s">
        <v>1438</v>
      </c>
      <c r="AV389" s="65" t="s">
        <v>1439</v>
      </c>
      <c r="AW389" s="65" t="s">
        <v>353</v>
      </c>
      <c r="AX389" s="65" t="s">
        <v>202</v>
      </c>
      <c r="AY389" s="65" t="s">
        <v>353</v>
      </c>
    </row>
    <row r="390" spans="1:51" x14ac:dyDescent="0.2">
      <c r="A390" s="65" t="s">
        <v>1367</v>
      </c>
      <c r="B390" s="65" t="s">
        <v>53</v>
      </c>
      <c r="C390" s="65" t="s">
        <v>150</v>
      </c>
      <c r="D390" s="65" t="s">
        <v>2797</v>
      </c>
      <c r="E390" s="65" t="s">
        <v>353</v>
      </c>
      <c r="F390" s="65" t="s">
        <v>1872</v>
      </c>
      <c r="G390" s="65" t="s">
        <v>344</v>
      </c>
      <c r="H390" s="65" t="s">
        <v>2452</v>
      </c>
      <c r="I390" s="65" t="s">
        <v>2453</v>
      </c>
      <c r="J390" s="65">
        <v>3144345375</v>
      </c>
      <c r="K390" s="65" t="s">
        <v>2768</v>
      </c>
      <c r="L390" s="65" t="s">
        <v>2769</v>
      </c>
      <c r="M390" s="65" t="s">
        <v>365</v>
      </c>
      <c r="N390" s="65" t="s">
        <v>2770</v>
      </c>
      <c r="O390" s="65" t="s">
        <v>2457</v>
      </c>
      <c r="P390" s="65" t="s">
        <v>2458</v>
      </c>
      <c r="Q390" s="65" t="s">
        <v>2459</v>
      </c>
      <c r="R390" s="65" t="s">
        <v>2460</v>
      </c>
      <c r="S390" s="65" t="s">
        <v>2461</v>
      </c>
      <c r="T390" s="65" t="s">
        <v>2462</v>
      </c>
      <c r="U390" s="65" t="s">
        <v>2463</v>
      </c>
      <c r="V390" s="65" t="s">
        <v>2464</v>
      </c>
      <c r="W390" s="65" t="s">
        <v>2465</v>
      </c>
      <c r="X390" s="65" t="s">
        <v>2466</v>
      </c>
      <c r="Y390" s="65" t="s">
        <v>1873</v>
      </c>
      <c r="Z390" s="65" t="s">
        <v>1874</v>
      </c>
      <c r="AA390" s="65" t="s">
        <v>2798</v>
      </c>
      <c r="AB390" s="65">
        <v>2</v>
      </c>
      <c r="AC390" s="65" t="s">
        <v>1521</v>
      </c>
      <c r="AD390" s="65" t="s">
        <v>1470</v>
      </c>
      <c r="AE390" s="65" t="s">
        <v>2799</v>
      </c>
      <c r="AF390" s="65" t="s">
        <v>1437</v>
      </c>
      <c r="AG390" s="65">
        <v>1</v>
      </c>
      <c r="AH390" s="65">
        <v>1</v>
      </c>
      <c r="AI390" s="65">
        <v>2</v>
      </c>
      <c r="AJ390" s="65">
        <v>2</v>
      </c>
      <c r="AK390" s="65" t="s">
        <v>202</v>
      </c>
      <c r="AL390" s="128">
        <v>45458</v>
      </c>
      <c r="AM390" s="65">
        <v>6</v>
      </c>
      <c r="AN390" s="65">
        <v>2</v>
      </c>
      <c r="AO390" s="65" t="s">
        <v>202</v>
      </c>
      <c r="AP390" s="65">
        <v>3</v>
      </c>
      <c r="AQ390" s="65" t="s">
        <v>355</v>
      </c>
      <c r="AR390" s="65" t="s">
        <v>202</v>
      </c>
      <c r="AS390" s="65">
        <v>1</v>
      </c>
      <c r="AT390" s="65">
        <v>1</v>
      </c>
      <c r="AU390" s="65" t="s">
        <v>1438</v>
      </c>
      <c r="AV390" s="65" t="s">
        <v>1439</v>
      </c>
      <c r="AW390" s="65" t="s">
        <v>202</v>
      </c>
      <c r="AX390" s="65" t="s">
        <v>202</v>
      </c>
      <c r="AY390" s="65" t="s">
        <v>353</v>
      </c>
    </row>
    <row r="391" spans="1:51" x14ac:dyDescent="0.2">
      <c r="A391" s="65" t="s">
        <v>1309</v>
      </c>
      <c r="B391" s="65" t="s">
        <v>588</v>
      </c>
      <c r="C391" s="65" t="s">
        <v>589</v>
      </c>
      <c r="D391" s="65" t="s">
        <v>2800</v>
      </c>
      <c r="E391" s="65" t="s">
        <v>353</v>
      </c>
      <c r="F391" s="65" t="s">
        <v>1607</v>
      </c>
      <c r="G391" s="65" t="s">
        <v>1608</v>
      </c>
      <c r="H391" s="65" t="s">
        <v>2801</v>
      </c>
      <c r="I391" s="65" t="s">
        <v>2802</v>
      </c>
      <c r="J391" s="65">
        <v>3144341996</v>
      </c>
      <c r="K391" s="65" t="s">
        <v>2803</v>
      </c>
      <c r="L391" s="65" t="s">
        <v>2804</v>
      </c>
      <c r="M391" s="65" t="s">
        <v>361</v>
      </c>
      <c r="N391" s="65" t="s">
        <v>2805</v>
      </c>
      <c r="O391" s="65" t="s">
        <v>2806</v>
      </c>
      <c r="P391" s="65" t="s">
        <v>2807</v>
      </c>
      <c r="Q391" s="65" t="s">
        <v>2808</v>
      </c>
      <c r="R391" s="65" t="s">
        <v>2809</v>
      </c>
      <c r="S391" s="65" t="s">
        <v>2810</v>
      </c>
      <c r="T391" s="65" t="s">
        <v>2810</v>
      </c>
      <c r="U391" s="65" t="s">
        <v>2811</v>
      </c>
      <c r="V391" s="65" t="s">
        <v>2812</v>
      </c>
      <c r="W391" s="65" t="s">
        <v>1430</v>
      </c>
      <c r="X391" s="65" t="s">
        <v>1431</v>
      </c>
      <c r="Y391" s="65" t="s">
        <v>1632</v>
      </c>
      <c r="Z391" s="65" t="s">
        <v>1610</v>
      </c>
      <c r="AA391" s="65" t="s">
        <v>2813</v>
      </c>
      <c r="AB391" s="65">
        <v>4</v>
      </c>
      <c r="AC391" s="65" t="s">
        <v>1558</v>
      </c>
      <c r="AD391" s="65" t="s">
        <v>1517</v>
      </c>
      <c r="AE391" s="65" t="s">
        <v>2814</v>
      </c>
      <c r="AF391" s="65" t="s">
        <v>1437</v>
      </c>
      <c r="AG391" s="65">
        <v>3</v>
      </c>
      <c r="AH391" s="65">
        <v>1</v>
      </c>
      <c r="AI391" s="65">
        <v>2</v>
      </c>
      <c r="AJ391" s="65">
        <v>2</v>
      </c>
      <c r="AK391" s="65" t="s">
        <v>202</v>
      </c>
      <c r="AL391" s="128">
        <v>44951</v>
      </c>
      <c r="AM391" s="65">
        <v>4</v>
      </c>
      <c r="AN391" s="65">
        <v>2</v>
      </c>
      <c r="AO391" s="65" t="s">
        <v>202</v>
      </c>
      <c r="AP391" s="65">
        <v>1</v>
      </c>
      <c r="AQ391" s="65" t="s">
        <v>355</v>
      </c>
      <c r="AR391" s="65" t="s">
        <v>202</v>
      </c>
      <c r="AS391" s="65">
        <v>1</v>
      </c>
      <c r="AT391" s="65">
        <v>1</v>
      </c>
      <c r="AU391" s="65" t="s">
        <v>1438</v>
      </c>
      <c r="AV391" s="65" t="s">
        <v>198</v>
      </c>
      <c r="AW391" s="65" t="s">
        <v>202</v>
      </c>
      <c r="AX391" s="65" t="s">
        <v>202</v>
      </c>
      <c r="AY391" s="65" t="s">
        <v>202</v>
      </c>
    </row>
    <row r="392" spans="1:51" x14ac:dyDescent="0.2">
      <c r="A392" s="65" t="s">
        <v>1309</v>
      </c>
      <c r="B392" s="65" t="s">
        <v>596</v>
      </c>
      <c r="C392" s="65" t="s">
        <v>597</v>
      </c>
      <c r="D392" s="65" t="s">
        <v>2815</v>
      </c>
      <c r="E392" s="65" t="s">
        <v>353</v>
      </c>
      <c r="F392" s="65" t="s">
        <v>1607</v>
      </c>
      <c r="G392" s="65" t="s">
        <v>1608</v>
      </c>
      <c r="H392" s="65" t="s">
        <v>2801</v>
      </c>
      <c r="I392" s="65" t="s">
        <v>2802</v>
      </c>
      <c r="J392" s="65">
        <v>3144341996</v>
      </c>
      <c r="K392" s="65" t="s">
        <v>2803</v>
      </c>
      <c r="L392" s="65" t="s">
        <v>2804</v>
      </c>
      <c r="M392" s="65" t="s">
        <v>361</v>
      </c>
      <c r="N392" s="65" t="s">
        <v>2805</v>
      </c>
      <c r="O392" s="65" t="s">
        <v>2806</v>
      </c>
      <c r="P392" s="65" t="s">
        <v>2807</v>
      </c>
      <c r="Q392" s="65" t="s">
        <v>2808</v>
      </c>
      <c r="R392" s="65" t="s">
        <v>2809</v>
      </c>
      <c r="S392" s="65" t="s">
        <v>2810</v>
      </c>
      <c r="T392" s="65" t="s">
        <v>2810</v>
      </c>
      <c r="U392" s="65" t="s">
        <v>2811</v>
      </c>
      <c r="V392" s="65" t="s">
        <v>2812</v>
      </c>
      <c r="W392" s="65" t="s">
        <v>1430</v>
      </c>
      <c r="X392" s="65" t="s">
        <v>1431</v>
      </c>
      <c r="Y392" s="65" t="s">
        <v>1632</v>
      </c>
      <c r="Z392" s="65" t="s">
        <v>1610</v>
      </c>
      <c r="AA392" s="65" t="s">
        <v>2816</v>
      </c>
      <c r="AB392" s="65">
        <v>4</v>
      </c>
      <c r="AC392" s="65" t="s">
        <v>2817</v>
      </c>
      <c r="AD392" s="65" t="s">
        <v>2818</v>
      </c>
      <c r="AE392" s="65" t="s">
        <v>2819</v>
      </c>
      <c r="AF392" s="65" t="s">
        <v>1437</v>
      </c>
      <c r="AG392" s="65">
        <v>2</v>
      </c>
      <c r="AH392" s="65">
        <v>2</v>
      </c>
      <c r="AI392" s="65">
        <v>3</v>
      </c>
      <c r="AJ392" s="65">
        <v>2</v>
      </c>
      <c r="AK392" s="65" t="s">
        <v>353</v>
      </c>
      <c r="AL392" s="128">
        <v>44953</v>
      </c>
      <c r="AM392" s="65">
        <v>4</v>
      </c>
      <c r="AN392" s="65">
        <v>2</v>
      </c>
      <c r="AO392" s="65" t="s">
        <v>353</v>
      </c>
      <c r="AP392" s="65">
        <v>2</v>
      </c>
      <c r="AQ392" s="65" t="s">
        <v>355</v>
      </c>
      <c r="AR392" s="65" t="s">
        <v>202</v>
      </c>
      <c r="AS392" s="65">
        <v>1</v>
      </c>
      <c r="AT392" s="65">
        <v>1</v>
      </c>
      <c r="AU392" s="65" t="s">
        <v>1477</v>
      </c>
      <c r="AV392" s="65" t="s">
        <v>198</v>
      </c>
      <c r="AW392" s="65" t="s">
        <v>202</v>
      </c>
      <c r="AX392" s="65" t="s">
        <v>202</v>
      </c>
      <c r="AY392" s="65" t="s">
        <v>353</v>
      </c>
    </row>
    <row r="393" spans="1:51" x14ac:dyDescent="0.2">
      <c r="A393" s="65" t="s">
        <v>1309</v>
      </c>
      <c r="B393" s="65" t="s">
        <v>604</v>
      </c>
      <c r="C393" s="65" t="s">
        <v>605</v>
      </c>
      <c r="D393" s="65" t="s">
        <v>2820</v>
      </c>
      <c r="E393" s="65" t="s">
        <v>353</v>
      </c>
      <c r="F393" s="65" t="s">
        <v>1607</v>
      </c>
      <c r="G393" s="65" t="s">
        <v>1608</v>
      </c>
      <c r="H393" s="65" t="s">
        <v>2801</v>
      </c>
      <c r="I393" s="65" t="s">
        <v>2802</v>
      </c>
      <c r="J393" s="65">
        <v>3144341996</v>
      </c>
      <c r="K393" s="65" t="s">
        <v>2803</v>
      </c>
      <c r="L393" s="65" t="s">
        <v>2804</v>
      </c>
      <c r="M393" s="65" t="s">
        <v>361</v>
      </c>
      <c r="N393" s="65" t="s">
        <v>2805</v>
      </c>
      <c r="O393" s="65" t="s">
        <v>2806</v>
      </c>
      <c r="P393" s="65" t="s">
        <v>2807</v>
      </c>
      <c r="Q393" s="65" t="s">
        <v>2808</v>
      </c>
      <c r="R393" s="65" t="s">
        <v>2809</v>
      </c>
      <c r="S393" s="65" t="s">
        <v>2810</v>
      </c>
      <c r="T393" s="65" t="s">
        <v>2810</v>
      </c>
      <c r="U393" s="65" t="s">
        <v>2811</v>
      </c>
      <c r="V393" s="65" t="s">
        <v>2812</v>
      </c>
      <c r="W393" s="65" t="s">
        <v>1430</v>
      </c>
      <c r="X393" s="65" t="s">
        <v>1431</v>
      </c>
      <c r="Y393" s="65" t="s">
        <v>1632</v>
      </c>
      <c r="Z393" s="65" t="s">
        <v>1610</v>
      </c>
      <c r="AA393" s="65" t="s">
        <v>2821</v>
      </c>
      <c r="AB393" s="65">
        <v>2</v>
      </c>
      <c r="AC393" s="65" t="s">
        <v>2067</v>
      </c>
      <c r="AD393" s="65" t="s">
        <v>2472</v>
      </c>
      <c r="AE393" s="65" t="s">
        <v>2822</v>
      </c>
      <c r="AF393" s="65" t="s">
        <v>1446</v>
      </c>
      <c r="AG393" s="65">
        <v>2</v>
      </c>
      <c r="AH393" s="65">
        <v>1</v>
      </c>
      <c r="AI393" s="65">
        <v>2</v>
      </c>
      <c r="AJ393" s="65">
        <v>2</v>
      </c>
      <c r="AK393" s="65" t="s">
        <v>202</v>
      </c>
      <c r="AL393" s="128">
        <v>44953</v>
      </c>
      <c r="AM393" s="65">
        <v>4</v>
      </c>
      <c r="AN393" s="65">
        <v>1</v>
      </c>
      <c r="AO393" s="65" t="s">
        <v>353</v>
      </c>
      <c r="AP393" s="65">
        <v>1</v>
      </c>
      <c r="AQ393" s="65" t="s">
        <v>352</v>
      </c>
      <c r="AR393" s="65" t="s">
        <v>353</v>
      </c>
      <c r="AS393" s="65">
        <v>1</v>
      </c>
      <c r="AT393" s="65">
        <v>1</v>
      </c>
      <c r="AU393" s="65" t="s">
        <v>1529</v>
      </c>
      <c r="AV393" s="65" t="s">
        <v>1439</v>
      </c>
      <c r="AW393" s="65" t="s">
        <v>202</v>
      </c>
      <c r="AX393" s="65" t="s">
        <v>202</v>
      </c>
      <c r="AY393" s="65" t="s">
        <v>353</v>
      </c>
    </row>
    <row r="394" spans="1:51" x14ac:dyDescent="0.2">
      <c r="A394" s="65" t="s">
        <v>1309</v>
      </c>
      <c r="B394" s="65" t="s">
        <v>607</v>
      </c>
      <c r="C394" s="65" t="s">
        <v>608</v>
      </c>
      <c r="D394" s="65" t="s">
        <v>2823</v>
      </c>
      <c r="E394" s="65" t="s">
        <v>353</v>
      </c>
      <c r="F394" s="65" t="s">
        <v>1607</v>
      </c>
      <c r="G394" s="65" t="s">
        <v>1608</v>
      </c>
      <c r="H394" s="65" t="s">
        <v>2801</v>
      </c>
      <c r="I394" s="65" t="s">
        <v>2802</v>
      </c>
      <c r="J394" s="65">
        <v>3144341996</v>
      </c>
      <c r="K394" s="65" t="s">
        <v>2803</v>
      </c>
      <c r="L394" s="65" t="s">
        <v>2804</v>
      </c>
      <c r="M394" s="65" t="s">
        <v>361</v>
      </c>
      <c r="N394" s="65" t="s">
        <v>2805</v>
      </c>
      <c r="O394" s="65" t="s">
        <v>2806</v>
      </c>
      <c r="P394" s="65" t="s">
        <v>2807</v>
      </c>
      <c r="Q394" s="65" t="s">
        <v>2808</v>
      </c>
      <c r="R394" s="65" t="s">
        <v>2809</v>
      </c>
      <c r="S394" s="65" t="s">
        <v>2810</v>
      </c>
      <c r="T394" s="65" t="s">
        <v>2810</v>
      </c>
      <c r="U394" s="65" t="s">
        <v>2811</v>
      </c>
      <c r="V394" s="65" t="s">
        <v>2812</v>
      </c>
      <c r="W394" s="65" t="s">
        <v>1430</v>
      </c>
      <c r="X394" s="65" t="s">
        <v>1431</v>
      </c>
      <c r="Y394" s="65" t="s">
        <v>2824</v>
      </c>
      <c r="Z394" s="65" t="s">
        <v>1610</v>
      </c>
      <c r="AA394" s="65" t="s">
        <v>2825</v>
      </c>
      <c r="AB394" s="65">
        <v>3</v>
      </c>
      <c r="AC394" s="65" t="s">
        <v>2743</v>
      </c>
      <c r="AD394" s="65" t="s">
        <v>1511</v>
      </c>
      <c r="AE394" s="65" t="s">
        <v>2826</v>
      </c>
      <c r="AF394" s="65" t="s">
        <v>1437</v>
      </c>
      <c r="AG394" s="65">
        <v>5</v>
      </c>
      <c r="AH394" s="65">
        <v>0</v>
      </c>
      <c r="AI394" s="65">
        <v>3</v>
      </c>
      <c r="AJ394" s="65">
        <v>2</v>
      </c>
      <c r="AK394" s="65" t="s">
        <v>202</v>
      </c>
      <c r="AL394" s="128">
        <v>44951</v>
      </c>
      <c r="AM394" s="65">
        <v>5</v>
      </c>
      <c r="AN394" s="65">
        <v>2</v>
      </c>
      <c r="AO394" s="65" t="s">
        <v>353</v>
      </c>
      <c r="AP394" s="65">
        <v>3</v>
      </c>
      <c r="AQ394" s="65" t="s">
        <v>355</v>
      </c>
      <c r="AR394" s="65" t="s">
        <v>202</v>
      </c>
      <c r="AS394" s="65">
        <v>1</v>
      </c>
      <c r="AT394" s="65">
        <v>1</v>
      </c>
      <c r="AU394" s="65" t="s">
        <v>1477</v>
      </c>
      <c r="AV394" s="65" t="s">
        <v>1439</v>
      </c>
      <c r="AW394" s="65" t="s">
        <v>202</v>
      </c>
      <c r="AX394" s="65" t="s">
        <v>202</v>
      </c>
      <c r="AY394" s="65" t="s">
        <v>353</v>
      </c>
    </row>
    <row r="395" spans="1:51" x14ac:dyDescent="0.2">
      <c r="A395" s="65" t="s">
        <v>1309</v>
      </c>
      <c r="B395" s="65" t="s">
        <v>750</v>
      </c>
      <c r="C395" s="65" t="s">
        <v>751</v>
      </c>
      <c r="D395" s="65" t="s">
        <v>2827</v>
      </c>
      <c r="E395" s="65" t="s">
        <v>353</v>
      </c>
      <c r="F395" s="65" t="s">
        <v>1607</v>
      </c>
      <c r="G395" s="65" t="s">
        <v>1608</v>
      </c>
      <c r="H395" s="65" t="s">
        <v>2801</v>
      </c>
      <c r="I395" s="65" t="s">
        <v>2802</v>
      </c>
      <c r="J395" s="65">
        <v>3144341996</v>
      </c>
      <c r="K395" s="65" t="s">
        <v>2803</v>
      </c>
      <c r="L395" s="65" t="s">
        <v>2804</v>
      </c>
      <c r="M395" s="65" t="s">
        <v>361</v>
      </c>
      <c r="N395" s="65" t="s">
        <v>2805</v>
      </c>
      <c r="O395" s="65" t="s">
        <v>2806</v>
      </c>
      <c r="P395" s="65" t="s">
        <v>2807</v>
      </c>
      <c r="Q395" s="65" t="s">
        <v>2808</v>
      </c>
      <c r="R395" s="65" t="s">
        <v>2809</v>
      </c>
      <c r="S395" s="65" t="s">
        <v>2810</v>
      </c>
      <c r="T395" s="65" t="s">
        <v>2810</v>
      </c>
      <c r="U395" s="65" t="s">
        <v>2811</v>
      </c>
      <c r="V395" s="65" t="s">
        <v>2812</v>
      </c>
      <c r="W395" s="65" t="s">
        <v>1430</v>
      </c>
      <c r="X395" s="65" t="s">
        <v>1431</v>
      </c>
      <c r="Y395" s="65" t="s">
        <v>1632</v>
      </c>
      <c r="Z395" s="65" t="s">
        <v>1610</v>
      </c>
      <c r="AA395" s="65" t="s">
        <v>2828</v>
      </c>
      <c r="AB395" s="65">
        <v>4</v>
      </c>
      <c r="AC395" s="65" t="s">
        <v>2829</v>
      </c>
      <c r="AD395" s="65" t="s">
        <v>2059</v>
      </c>
      <c r="AE395" s="65" t="s">
        <v>2830</v>
      </c>
      <c r="AF395" s="65" t="s">
        <v>1437</v>
      </c>
      <c r="AG395" s="65">
        <v>4</v>
      </c>
      <c r="AH395" s="65">
        <v>0</v>
      </c>
      <c r="AI395" s="65">
        <v>2</v>
      </c>
      <c r="AJ395" s="65">
        <v>2</v>
      </c>
      <c r="AK395" s="65" t="s">
        <v>202</v>
      </c>
      <c r="AL395" s="128">
        <v>45060</v>
      </c>
      <c r="AM395" s="65">
        <v>5</v>
      </c>
      <c r="AN395" s="65">
        <v>2</v>
      </c>
      <c r="AO395" s="65" t="s">
        <v>202</v>
      </c>
      <c r="AP395" s="65">
        <v>3</v>
      </c>
      <c r="AQ395" s="65" t="s">
        <v>355</v>
      </c>
      <c r="AR395" s="65" t="s">
        <v>202</v>
      </c>
      <c r="AS395" s="65">
        <v>1</v>
      </c>
      <c r="AT395" s="65">
        <v>1</v>
      </c>
      <c r="AU395" s="65" t="s">
        <v>1438</v>
      </c>
      <c r="AV395" s="65" t="s">
        <v>198</v>
      </c>
      <c r="AW395" s="65" t="s">
        <v>202</v>
      </c>
      <c r="AX395" s="65" t="s">
        <v>202</v>
      </c>
      <c r="AY395" s="65" t="s">
        <v>353</v>
      </c>
    </row>
    <row r="396" spans="1:51" x14ac:dyDescent="0.2">
      <c r="A396" s="65" t="s">
        <v>1309</v>
      </c>
      <c r="B396" s="65" t="s">
        <v>752</v>
      </c>
      <c r="C396" s="65" t="s">
        <v>753</v>
      </c>
      <c r="D396" s="65" t="s">
        <v>2831</v>
      </c>
      <c r="E396" s="65" t="s">
        <v>353</v>
      </c>
      <c r="F396" s="65" t="s">
        <v>1607</v>
      </c>
      <c r="G396" s="65" t="s">
        <v>1608</v>
      </c>
      <c r="H396" s="65" t="s">
        <v>2801</v>
      </c>
      <c r="I396" s="65" t="s">
        <v>2802</v>
      </c>
      <c r="J396" s="65">
        <v>3144341996</v>
      </c>
      <c r="K396" s="65" t="s">
        <v>2803</v>
      </c>
      <c r="L396" s="65" t="s">
        <v>2804</v>
      </c>
      <c r="M396" s="65" t="s">
        <v>361</v>
      </c>
      <c r="N396" s="65" t="s">
        <v>2805</v>
      </c>
      <c r="O396" s="65" t="s">
        <v>2806</v>
      </c>
      <c r="P396" s="65" t="s">
        <v>2807</v>
      </c>
      <c r="Q396" s="65" t="s">
        <v>2808</v>
      </c>
      <c r="R396" s="65" t="s">
        <v>2809</v>
      </c>
      <c r="S396" s="65" t="s">
        <v>2810</v>
      </c>
      <c r="T396" s="65" t="s">
        <v>2810</v>
      </c>
      <c r="U396" s="65" t="s">
        <v>2811</v>
      </c>
      <c r="V396" s="65" t="s">
        <v>2812</v>
      </c>
      <c r="W396" s="65" t="s">
        <v>1430</v>
      </c>
      <c r="X396" s="65" t="s">
        <v>1431</v>
      </c>
      <c r="Y396" s="65" t="s">
        <v>1632</v>
      </c>
      <c r="Z396" s="65" t="s">
        <v>1610</v>
      </c>
      <c r="AA396" s="65" t="s">
        <v>2832</v>
      </c>
      <c r="AB396" s="65">
        <v>4</v>
      </c>
      <c r="AC396" s="65" t="s">
        <v>2594</v>
      </c>
      <c r="AD396" s="65" t="s">
        <v>2833</v>
      </c>
      <c r="AE396" s="65" t="s">
        <v>2834</v>
      </c>
      <c r="AF396" s="65" t="s">
        <v>1437</v>
      </c>
      <c r="AG396" s="65">
        <v>2</v>
      </c>
      <c r="AH396" s="65">
        <v>0</v>
      </c>
      <c r="AI396" s="65">
        <v>2</v>
      </c>
      <c r="AJ396" s="65">
        <v>3</v>
      </c>
      <c r="AK396" s="65" t="s">
        <v>202</v>
      </c>
      <c r="AL396" s="128">
        <v>45016</v>
      </c>
      <c r="AM396" s="65">
        <v>6</v>
      </c>
      <c r="AN396" s="65">
        <v>2</v>
      </c>
      <c r="AO396" s="65" t="s">
        <v>202</v>
      </c>
      <c r="AP396" s="65">
        <v>2</v>
      </c>
      <c r="AQ396" s="65" t="s">
        <v>355</v>
      </c>
      <c r="AR396" s="65" t="s">
        <v>202</v>
      </c>
      <c r="AS396" s="65">
        <v>1</v>
      </c>
      <c r="AT396" s="65">
        <v>1</v>
      </c>
      <c r="AU396" s="65" t="s">
        <v>1477</v>
      </c>
      <c r="AV396" s="65" t="s">
        <v>198</v>
      </c>
      <c r="AW396" s="65" t="s">
        <v>202</v>
      </c>
      <c r="AX396" s="65" t="s">
        <v>202</v>
      </c>
      <c r="AY396" s="65" t="s">
        <v>353</v>
      </c>
    </row>
    <row r="397" spans="1:51" x14ac:dyDescent="0.2">
      <c r="A397" s="65" t="s">
        <v>1309</v>
      </c>
      <c r="B397" s="65" t="s">
        <v>822</v>
      </c>
      <c r="C397" s="65" t="s">
        <v>823</v>
      </c>
      <c r="D397" s="65" t="s">
        <v>2835</v>
      </c>
      <c r="E397" s="65" t="s">
        <v>353</v>
      </c>
      <c r="F397" s="65" t="s">
        <v>1607</v>
      </c>
      <c r="G397" s="65" t="s">
        <v>1608</v>
      </c>
      <c r="H397" s="65" t="s">
        <v>2801</v>
      </c>
      <c r="I397" s="65" t="s">
        <v>2802</v>
      </c>
      <c r="J397" s="65">
        <v>3144341996</v>
      </c>
      <c r="K397" s="65" t="s">
        <v>2803</v>
      </c>
      <c r="L397" s="65" t="s">
        <v>2804</v>
      </c>
      <c r="M397" s="65" t="s">
        <v>361</v>
      </c>
      <c r="N397" s="65" t="s">
        <v>2805</v>
      </c>
      <c r="O397" s="65" t="s">
        <v>2806</v>
      </c>
      <c r="P397" s="65" t="s">
        <v>2807</v>
      </c>
      <c r="Q397" s="65" t="s">
        <v>2808</v>
      </c>
      <c r="R397" s="65" t="s">
        <v>2809</v>
      </c>
      <c r="S397" s="65" t="s">
        <v>2810</v>
      </c>
      <c r="T397" s="65" t="s">
        <v>2810</v>
      </c>
      <c r="U397" s="65" t="s">
        <v>2811</v>
      </c>
      <c r="V397" s="65" t="s">
        <v>2812</v>
      </c>
      <c r="W397" s="65" t="s">
        <v>1430</v>
      </c>
      <c r="X397" s="65" t="s">
        <v>1431</v>
      </c>
      <c r="Y397" s="65" t="s">
        <v>1623</v>
      </c>
      <c r="Z397" s="65" t="s">
        <v>1610</v>
      </c>
      <c r="AA397" s="65" t="s">
        <v>2836</v>
      </c>
      <c r="AB397" s="65">
        <v>3</v>
      </c>
      <c r="AC397" s="65" t="s">
        <v>1434</v>
      </c>
      <c r="AD397" s="65" t="s">
        <v>2313</v>
      </c>
      <c r="AE397" s="65" t="s">
        <v>2837</v>
      </c>
      <c r="AF397" s="65" t="s">
        <v>1437</v>
      </c>
      <c r="AG397" s="65">
        <v>2</v>
      </c>
      <c r="AH397" s="65">
        <v>0</v>
      </c>
      <c r="AI397" s="65">
        <v>2</v>
      </c>
      <c r="AJ397" s="65">
        <v>2</v>
      </c>
      <c r="AK397" s="65" t="s">
        <v>353</v>
      </c>
      <c r="AL397" s="128">
        <v>44995</v>
      </c>
      <c r="AM397" s="65">
        <v>4</v>
      </c>
      <c r="AN397" s="65">
        <v>1</v>
      </c>
      <c r="AO397" s="65" t="s">
        <v>202</v>
      </c>
      <c r="AP397" s="65">
        <v>2</v>
      </c>
      <c r="AQ397" s="65" t="s">
        <v>355</v>
      </c>
      <c r="AR397" s="65" t="s">
        <v>202</v>
      </c>
      <c r="AS397" s="65">
        <v>1</v>
      </c>
      <c r="AT397" s="65">
        <v>1</v>
      </c>
      <c r="AU397" s="65" t="s">
        <v>1438</v>
      </c>
      <c r="AV397" s="65" t="s">
        <v>1439</v>
      </c>
      <c r="AW397" s="65" t="s">
        <v>202</v>
      </c>
      <c r="AX397" s="65" t="s">
        <v>202</v>
      </c>
      <c r="AY397" s="65" t="s">
        <v>353</v>
      </c>
    </row>
    <row r="398" spans="1:51" x14ac:dyDescent="0.2">
      <c r="A398" s="65" t="s">
        <v>1309</v>
      </c>
      <c r="B398" s="65" t="s">
        <v>867</v>
      </c>
      <c r="C398" s="65" t="s">
        <v>868</v>
      </c>
      <c r="D398" s="65" t="s">
        <v>2838</v>
      </c>
      <c r="E398" s="65" t="s">
        <v>353</v>
      </c>
      <c r="F398" s="65" t="s">
        <v>1607</v>
      </c>
      <c r="G398" s="65" t="s">
        <v>1608</v>
      </c>
      <c r="H398" s="65" t="s">
        <v>2801</v>
      </c>
      <c r="I398" s="65" t="s">
        <v>2802</v>
      </c>
      <c r="J398" s="65">
        <v>3144341996</v>
      </c>
      <c r="K398" s="65" t="s">
        <v>2803</v>
      </c>
      <c r="L398" s="65" t="s">
        <v>2804</v>
      </c>
      <c r="M398" s="65" t="s">
        <v>361</v>
      </c>
      <c r="N398" s="65" t="s">
        <v>2805</v>
      </c>
      <c r="O398" s="65" t="s">
        <v>2806</v>
      </c>
      <c r="P398" s="65" t="s">
        <v>2807</v>
      </c>
      <c r="Q398" s="65" t="s">
        <v>2808</v>
      </c>
      <c r="R398" s="65" t="s">
        <v>2809</v>
      </c>
      <c r="S398" s="65" t="s">
        <v>2810</v>
      </c>
      <c r="T398" s="65" t="s">
        <v>2810</v>
      </c>
      <c r="U398" s="65" t="s">
        <v>2811</v>
      </c>
      <c r="V398" s="65" t="s">
        <v>2812</v>
      </c>
      <c r="W398" s="65" t="s">
        <v>1430</v>
      </c>
      <c r="X398" s="65" t="s">
        <v>1431</v>
      </c>
      <c r="Y398" s="65" t="s">
        <v>1629</v>
      </c>
      <c r="Z398" s="65" t="s">
        <v>1610</v>
      </c>
      <c r="AA398" s="65" t="s">
        <v>2839</v>
      </c>
      <c r="AB398" s="65">
        <v>4</v>
      </c>
      <c r="AC398" s="65" t="s">
        <v>2840</v>
      </c>
      <c r="AD398" s="65" t="s">
        <v>2679</v>
      </c>
      <c r="AE398" s="65" t="s">
        <v>2841</v>
      </c>
      <c r="AF398" s="65" t="s">
        <v>1446</v>
      </c>
      <c r="AG398" s="65">
        <v>1</v>
      </c>
      <c r="AH398" s="65">
        <v>0</v>
      </c>
      <c r="AI398" s="65">
        <v>2</v>
      </c>
      <c r="AJ398" s="65">
        <v>2</v>
      </c>
      <c r="AK398" s="65" t="s">
        <v>202</v>
      </c>
      <c r="AL398" s="128">
        <v>45016</v>
      </c>
      <c r="AM398" s="65">
        <v>3</v>
      </c>
      <c r="AN398" s="65">
        <v>1</v>
      </c>
      <c r="AO398" s="65" t="s">
        <v>202</v>
      </c>
      <c r="AP398" s="65">
        <v>3</v>
      </c>
      <c r="AQ398" s="65" t="s">
        <v>355</v>
      </c>
      <c r="AR398" s="65" t="s">
        <v>202</v>
      </c>
      <c r="AS398" s="65">
        <v>1</v>
      </c>
      <c r="AT398" s="65">
        <v>1</v>
      </c>
      <c r="AU398" s="65" t="s">
        <v>1438</v>
      </c>
      <c r="AV398" s="65" t="s">
        <v>198</v>
      </c>
      <c r="AW398" s="65" t="s">
        <v>202</v>
      </c>
      <c r="AX398" s="65" t="s">
        <v>202</v>
      </c>
      <c r="AY398" s="65" t="s">
        <v>353</v>
      </c>
    </row>
    <row r="399" spans="1:51" x14ac:dyDescent="0.2">
      <c r="A399" s="65" t="s">
        <v>1309</v>
      </c>
      <c r="B399" s="65" t="s">
        <v>1083</v>
      </c>
      <c r="C399" s="65" t="s">
        <v>1084</v>
      </c>
      <c r="D399" s="65" t="s">
        <v>2842</v>
      </c>
      <c r="E399" s="65" t="s">
        <v>353</v>
      </c>
      <c r="F399" s="65" t="s">
        <v>1607</v>
      </c>
      <c r="G399" s="65" t="s">
        <v>1608</v>
      </c>
      <c r="H399" s="65" t="s">
        <v>2801</v>
      </c>
      <c r="I399" s="65" t="s">
        <v>2802</v>
      </c>
      <c r="J399" s="65">
        <v>3144341996</v>
      </c>
      <c r="K399" s="65" t="s">
        <v>2803</v>
      </c>
      <c r="L399" s="65" t="s">
        <v>2804</v>
      </c>
      <c r="M399" s="65" t="s">
        <v>361</v>
      </c>
      <c r="N399" s="65" t="s">
        <v>2805</v>
      </c>
      <c r="O399" s="65" t="s">
        <v>2806</v>
      </c>
      <c r="P399" s="65" t="s">
        <v>2807</v>
      </c>
      <c r="Q399" s="65" t="s">
        <v>2808</v>
      </c>
      <c r="R399" s="65" t="s">
        <v>2809</v>
      </c>
      <c r="S399" s="65" t="s">
        <v>2810</v>
      </c>
      <c r="T399" s="65" t="s">
        <v>2810</v>
      </c>
      <c r="U399" s="65" t="s">
        <v>2811</v>
      </c>
      <c r="V399" s="65" t="s">
        <v>2812</v>
      </c>
      <c r="W399" s="65" t="s">
        <v>1430</v>
      </c>
      <c r="X399" s="65" t="s">
        <v>1431</v>
      </c>
      <c r="Y399" s="65" t="s">
        <v>1632</v>
      </c>
      <c r="Z399" s="65" t="s">
        <v>1610</v>
      </c>
      <c r="AA399" s="65" t="s">
        <v>2843</v>
      </c>
      <c r="AB399" s="65">
        <v>3</v>
      </c>
      <c r="AC399" s="65" t="s">
        <v>2844</v>
      </c>
      <c r="AD399" s="65" t="s">
        <v>2100</v>
      </c>
      <c r="AE399" s="65" t="s">
        <v>2845</v>
      </c>
      <c r="AF399" s="65" t="s">
        <v>1437</v>
      </c>
      <c r="AG399" s="65">
        <v>3</v>
      </c>
      <c r="AH399" s="65">
        <v>0</v>
      </c>
      <c r="AI399" s="65">
        <v>2</v>
      </c>
      <c r="AJ399" s="65">
        <v>2</v>
      </c>
      <c r="AK399" s="65" t="s">
        <v>202</v>
      </c>
      <c r="AL399" s="128">
        <v>45013</v>
      </c>
      <c r="AM399" s="65">
        <v>4</v>
      </c>
      <c r="AN399" s="65">
        <v>1</v>
      </c>
      <c r="AO399" s="65" t="s">
        <v>202</v>
      </c>
      <c r="AP399" s="65">
        <v>2</v>
      </c>
      <c r="AQ399" s="65" t="s">
        <v>355</v>
      </c>
      <c r="AR399" s="65" t="s">
        <v>202</v>
      </c>
      <c r="AS399" s="65">
        <v>1</v>
      </c>
      <c r="AT399" s="65">
        <v>1</v>
      </c>
      <c r="AU399" s="65" t="s">
        <v>1477</v>
      </c>
      <c r="AV399" s="65" t="s">
        <v>1439</v>
      </c>
      <c r="AW399" s="65" t="s">
        <v>202</v>
      </c>
      <c r="AX399" s="65" t="s">
        <v>202</v>
      </c>
      <c r="AY399" s="65" t="s">
        <v>353</v>
      </c>
    </row>
    <row r="400" spans="1:51" x14ac:dyDescent="0.2">
      <c r="A400" s="65" t="s">
        <v>1309</v>
      </c>
      <c r="B400" s="65" t="s">
        <v>1085</v>
      </c>
      <c r="C400" s="65" t="s">
        <v>1086</v>
      </c>
      <c r="D400" s="65" t="s">
        <v>2846</v>
      </c>
      <c r="E400" s="65" t="s">
        <v>353</v>
      </c>
      <c r="F400" s="65" t="s">
        <v>1607</v>
      </c>
      <c r="G400" s="65" t="s">
        <v>1608</v>
      </c>
      <c r="H400" s="65" t="s">
        <v>2801</v>
      </c>
      <c r="I400" s="65" t="s">
        <v>2802</v>
      </c>
      <c r="J400" s="65">
        <v>3144341996</v>
      </c>
      <c r="K400" s="65" t="s">
        <v>2803</v>
      </c>
      <c r="L400" s="65" t="s">
        <v>2804</v>
      </c>
      <c r="M400" s="65" t="s">
        <v>361</v>
      </c>
      <c r="N400" s="65" t="s">
        <v>2805</v>
      </c>
      <c r="O400" s="65" t="s">
        <v>2806</v>
      </c>
      <c r="P400" s="65" t="s">
        <v>2807</v>
      </c>
      <c r="Q400" s="65" t="s">
        <v>2808</v>
      </c>
      <c r="R400" s="65" t="s">
        <v>2809</v>
      </c>
      <c r="S400" s="65" t="s">
        <v>2810</v>
      </c>
      <c r="T400" s="65" t="s">
        <v>2810</v>
      </c>
      <c r="U400" s="65" t="s">
        <v>2811</v>
      </c>
      <c r="V400" s="65" t="s">
        <v>2812</v>
      </c>
      <c r="W400" s="65" t="s">
        <v>1430</v>
      </c>
      <c r="X400" s="65" t="s">
        <v>1431</v>
      </c>
      <c r="Y400" s="65" t="s">
        <v>1632</v>
      </c>
      <c r="Z400" s="65" t="s">
        <v>1610</v>
      </c>
      <c r="AA400" s="65" t="s">
        <v>2847</v>
      </c>
      <c r="AB400" s="65">
        <v>2</v>
      </c>
      <c r="AC400" s="65" t="s">
        <v>2186</v>
      </c>
      <c r="AD400" s="65" t="s">
        <v>2848</v>
      </c>
      <c r="AE400" s="65" t="s">
        <v>2849</v>
      </c>
      <c r="AF400" s="65" t="s">
        <v>1437</v>
      </c>
      <c r="AG400" s="65">
        <v>2</v>
      </c>
      <c r="AH400" s="65">
        <v>0</v>
      </c>
      <c r="AI400" s="65">
        <v>2</v>
      </c>
      <c r="AJ400" s="65">
        <v>1</v>
      </c>
      <c r="AK400" s="65" t="s">
        <v>202</v>
      </c>
      <c r="AL400" s="128">
        <v>45007</v>
      </c>
      <c r="AM400" s="65">
        <v>3</v>
      </c>
      <c r="AN400" s="65">
        <v>1</v>
      </c>
      <c r="AO400" s="65" t="s">
        <v>202</v>
      </c>
      <c r="AP400" s="65">
        <v>2</v>
      </c>
      <c r="AQ400" s="65" t="s">
        <v>355</v>
      </c>
      <c r="AR400" s="65" t="s">
        <v>202</v>
      </c>
      <c r="AS400" s="65">
        <v>1</v>
      </c>
      <c r="AT400" s="65">
        <v>1</v>
      </c>
      <c r="AU400" s="65" t="s">
        <v>1529</v>
      </c>
      <c r="AV400" s="65" t="s">
        <v>1439</v>
      </c>
      <c r="AW400" s="65" t="s">
        <v>202</v>
      </c>
      <c r="AX400" s="65" t="s">
        <v>202</v>
      </c>
      <c r="AY400" s="65" t="s">
        <v>202</v>
      </c>
    </row>
    <row r="401" spans="1:51" x14ac:dyDescent="0.2">
      <c r="A401" s="65" t="s">
        <v>1309</v>
      </c>
      <c r="B401" s="65" t="s">
        <v>1087</v>
      </c>
      <c r="C401" s="65" t="s">
        <v>1088</v>
      </c>
      <c r="D401" s="65" t="s">
        <v>2850</v>
      </c>
      <c r="E401" s="65" t="s">
        <v>353</v>
      </c>
      <c r="F401" s="65" t="s">
        <v>1607</v>
      </c>
      <c r="G401" s="65" t="s">
        <v>1608</v>
      </c>
      <c r="H401" s="65" t="s">
        <v>2801</v>
      </c>
      <c r="I401" s="65" t="s">
        <v>2802</v>
      </c>
      <c r="J401" s="65">
        <v>3144341996</v>
      </c>
      <c r="K401" s="65" t="s">
        <v>2803</v>
      </c>
      <c r="L401" s="65" t="s">
        <v>2804</v>
      </c>
      <c r="M401" s="65" t="s">
        <v>361</v>
      </c>
      <c r="N401" s="65" t="s">
        <v>2805</v>
      </c>
      <c r="O401" s="65" t="s">
        <v>2806</v>
      </c>
      <c r="P401" s="65" t="s">
        <v>2807</v>
      </c>
      <c r="Q401" s="65" t="s">
        <v>2808</v>
      </c>
      <c r="R401" s="65" t="s">
        <v>2809</v>
      </c>
      <c r="S401" s="65" t="s">
        <v>2810</v>
      </c>
      <c r="T401" s="65" t="s">
        <v>2810</v>
      </c>
      <c r="U401" s="65" t="s">
        <v>2811</v>
      </c>
      <c r="V401" s="65" t="s">
        <v>2812</v>
      </c>
      <c r="W401" s="65" t="s">
        <v>1430</v>
      </c>
      <c r="X401" s="65" t="s">
        <v>1431</v>
      </c>
      <c r="Y401" s="65" t="s">
        <v>1629</v>
      </c>
      <c r="Z401" s="65" t="s">
        <v>1610</v>
      </c>
      <c r="AA401" s="65" t="s">
        <v>2851</v>
      </c>
      <c r="AB401" s="65">
        <v>3</v>
      </c>
      <c r="AC401" s="65" t="s">
        <v>1597</v>
      </c>
      <c r="AD401" s="65" t="s">
        <v>2852</v>
      </c>
      <c r="AE401" s="65" t="s">
        <v>2853</v>
      </c>
      <c r="AF401" s="65" t="s">
        <v>1437</v>
      </c>
      <c r="AG401" s="65">
        <v>2</v>
      </c>
      <c r="AH401" s="65">
        <v>0</v>
      </c>
      <c r="AI401" s="65">
        <v>2</v>
      </c>
      <c r="AJ401" s="65">
        <v>2</v>
      </c>
      <c r="AK401" s="65" t="s">
        <v>202</v>
      </c>
      <c r="AL401" s="128">
        <v>45179</v>
      </c>
      <c r="AM401" s="65">
        <v>5</v>
      </c>
      <c r="AN401" s="65">
        <v>3</v>
      </c>
      <c r="AO401" s="65" t="s">
        <v>353</v>
      </c>
      <c r="AP401" s="65">
        <v>3</v>
      </c>
      <c r="AQ401" s="65" t="s">
        <v>355</v>
      </c>
      <c r="AR401" s="65" t="s">
        <v>202</v>
      </c>
      <c r="AS401" s="65">
        <v>1</v>
      </c>
      <c r="AT401" s="65">
        <v>1</v>
      </c>
      <c r="AU401" s="65" t="s">
        <v>1438</v>
      </c>
      <c r="AV401" s="65" t="s">
        <v>1439</v>
      </c>
      <c r="AW401" s="65" t="s">
        <v>202</v>
      </c>
      <c r="AX401" s="65" t="s">
        <v>202</v>
      </c>
      <c r="AY401" s="65" t="s">
        <v>353</v>
      </c>
    </row>
    <row r="402" spans="1:51" x14ac:dyDescent="0.2">
      <c r="A402" s="65" t="s">
        <v>1309</v>
      </c>
      <c r="B402" s="65" t="s">
        <v>1099</v>
      </c>
      <c r="C402" s="65" t="s">
        <v>1100</v>
      </c>
      <c r="D402" s="65" t="s">
        <v>2854</v>
      </c>
      <c r="E402" s="65" t="s">
        <v>353</v>
      </c>
      <c r="F402" s="65" t="s">
        <v>1607</v>
      </c>
      <c r="G402" s="65" t="s">
        <v>1642</v>
      </c>
      <c r="H402" s="65" t="s">
        <v>2801</v>
      </c>
      <c r="I402" s="65" t="s">
        <v>2802</v>
      </c>
      <c r="J402" s="65">
        <v>3144341996</v>
      </c>
      <c r="K402" s="65" t="s">
        <v>2855</v>
      </c>
      <c r="L402" s="65" t="s">
        <v>2856</v>
      </c>
      <c r="M402" s="65" t="s">
        <v>365</v>
      </c>
      <c r="N402" s="65" t="s">
        <v>2857</v>
      </c>
      <c r="O402" s="65" t="s">
        <v>2806</v>
      </c>
      <c r="P402" s="65" t="s">
        <v>2807</v>
      </c>
      <c r="Q402" s="65" t="s">
        <v>2808</v>
      </c>
      <c r="R402" s="65" t="s">
        <v>2809</v>
      </c>
      <c r="S402" s="65" t="s">
        <v>2810</v>
      </c>
      <c r="T402" s="65" t="s">
        <v>2810</v>
      </c>
      <c r="U402" s="65" t="s">
        <v>2811</v>
      </c>
      <c r="V402" s="65" t="s">
        <v>2812</v>
      </c>
      <c r="W402" s="65" t="s">
        <v>1430</v>
      </c>
      <c r="X402" s="65" t="s">
        <v>1431</v>
      </c>
      <c r="Y402" s="65" t="s">
        <v>1646</v>
      </c>
      <c r="Z402" s="65" t="s">
        <v>1616</v>
      </c>
      <c r="AA402" s="65" t="s">
        <v>2858</v>
      </c>
      <c r="AB402" s="65">
        <v>2</v>
      </c>
      <c r="AC402" s="65" t="s">
        <v>2859</v>
      </c>
      <c r="AD402" s="65" t="s">
        <v>2588</v>
      </c>
      <c r="AE402" s="65" t="s">
        <v>2860</v>
      </c>
      <c r="AF402" s="65" t="s">
        <v>1437</v>
      </c>
      <c r="AG402" s="65">
        <v>2</v>
      </c>
      <c r="AH402" s="65">
        <v>1</v>
      </c>
      <c r="AI402" s="65">
        <v>2</v>
      </c>
      <c r="AJ402" s="65">
        <v>2</v>
      </c>
      <c r="AK402" s="65" t="s">
        <v>353</v>
      </c>
      <c r="AL402" s="128">
        <v>45021</v>
      </c>
      <c r="AM402" s="65">
        <v>4</v>
      </c>
      <c r="AN402" s="65">
        <v>2</v>
      </c>
      <c r="AO402" s="65" t="s">
        <v>353</v>
      </c>
      <c r="AP402" s="65">
        <v>2</v>
      </c>
      <c r="AQ402" s="65" t="s">
        <v>355</v>
      </c>
      <c r="AR402" s="65" t="s">
        <v>202</v>
      </c>
      <c r="AS402" s="65">
        <v>1</v>
      </c>
      <c r="AT402" s="65">
        <v>1</v>
      </c>
      <c r="AU402" s="65" t="s">
        <v>1477</v>
      </c>
      <c r="AV402" s="65" t="s">
        <v>1439</v>
      </c>
      <c r="AW402" s="65" t="s">
        <v>202</v>
      </c>
      <c r="AX402" s="65" t="s">
        <v>202</v>
      </c>
      <c r="AY402" s="65" t="s">
        <v>353</v>
      </c>
    </row>
    <row r="403" spans="1:51" x14ac:dyDescent="0.2">
      <c r="A403" s="65" t="s">
        <v>1309</v>
      </c>
      <c r="B403" s="65" t="s">
        <v>1101</v>
      </c>
      <c r="C403" s="65" t="s">
        <v>1102</v>
      </c>
      <c r="D403" s="65" t="s">
        <v>2861</v>
      </c>
      <c r="E403" s="65" t="s">
        <v>353</v>
      </c>
      <c r="F403" s="65" t="s">
        <v>1607</v>
      </c>
      <c r="G403" s="65" t="s">
        <v>1642</v>
      </c>
      <c r="H403" s="65" t="s">
        <v>2801</v>
      </c>
      <c r="I403" s="65" t="s">
        <v>2802</v>
      </c>
      <c r="J403" s="65">
        <v>3144341996</v>
      </c>
      <c r="K403" s="65" t="s">
        <v>2855</v>
      </c>
      <c r="L403" s="65" t="s">
        <v>2856</v>
      </c>
      <c r="M403" s="65" t="s">
        <v>365</v>
      </c>
      <c r="N403" s="65" t="s">
        <v>2857</v>
      </c>
      <c r="O403" s="65" t="s">
        <v>2806</v>
      </c>
      <c r="P403" s="65" t="s">
        <v>2807</v>
      </c>
      <c r="Q403" s="65" t="s">
        <v>2808</v>
      </c>
      <c r="R403" s="65" t="s">
        <v>2809</v>
      </c>
      <c r="S403" s="65" t="s">
        <v>2810</v>
      </c>
      <c r="T403" s="65" t="s">
        <v>2810</v>
      </c>
      <c r="U403" s="65" t="s">
        <v>2811</v>
      </c>
      <c r="V403" s="65" t="s">
        <v>2812</v>
      </c>
      <c r="W403" s="65" t="s">
        <v>1430</v>
      </c>
      <c r="X403" s="65" t="s">
        <v>1431</v>
      </c>
      <c r="Y403" s="65" t="s">
        <v>1106</v>
      </c>
      <c r="Z403" s="65" t="s">
        <v>1616</v>
      </c>
      <c r="AA403" s="65" t="s">
        <v>2862</v>
      </c>
      <c r="AB403" s="65">
        <v>3</v>
      </c>
      <c r="AC403" s="65" t="s">
        <v>2863</v>
      </c>
      <c r="AD403" s="65" t="s">
        <v>2330</v>
      </c>
      <c r="AE403" s="65" t="s">
        <v>2864</v>
      </c>
      <c r="AF403" s="65" t="s">
        <v>1437</v>
      </c>
      <c r="AG403" s="65">
        <v>4</v>
      </c>
      <c r="AH403" s="65">
        <v>1</v>
      </c>
      <c r="AI403" s="65">
        <v>2</v>
      </c>
      <c r="AJ403" s="65">
        <v>2</v>
      </c>
      <c r="AK403" s="65" t="s">
        <v>353</v>
      </c>
      <c r="AL403" s="128">
        <v>45072</v>
      </c>
      <c r="AM403" s="65">
        <v>4</v>
      </c>
      <c r="AN403" s="65">
        <v>1</v>
      </c>
      <c r="AO403" s="65" t="s">
        <v>353</v>
      </c>
      <c r="AP403" s="65">
        <v>2</v>
      </c>
      <c r="AQ403" s="65" t="s">
        <v>355</v>
      </c>
      <c r="AR403" s="65" t="s">
        <v>202</v>
      </c>
      <c r="AS403" s="65">
        <v>1</v>
      </c>
      <c r="AT403" s="65">
        <v>1</v>
      </c>
      <c r="AU403" s="65" t="s">
        <v>1438</v>
      </c>
      <c r="AV403" s="65" t="s">
        <v>1439</v>
      </c>
      <c r="AW403" s="65" t="s">
        <v>202</v>
      </c>
      <c r="AX403" s="65" t="s">
        <v>202</v>
      </c>
      <c r="AY403" s="65" t="s">
        <v>353</v>
      </c>
    </row>
    <row r="404" spans="1:51" x14ac:dyDescent="0.2">
      <c r="A404" s="65" t="s">
        <v>1309</v>
      </c>
      <c r="B404" s="65" t="s">
        <v>1103</v>
      </c>
      <c r="C404" s="65" t="s">
        <v>1104</v>
      </c>
      <c r="D404" s="65" t="s">
        <v>2865</v>
      </c>
      <c r="E404" s="65" t="s">
        <v>353</v>
      </c>
      <c r="F404" s="65" t="s">
        <v>1607</v>
      </c>
      <c r="G404" s="65" t="s">
        <v>1642</v>
      </c>
      <c r="H404" s="65" t="s">
        <v>2801</v>
      </c>
      <c r="I404" s="65" t="s">
        <v>2802</v>
      </c>
      <c r="J404" s="65">
        <v>3144341996</v>
      </c>
      <c r="K404" s="65" t="s">
        <v>2855</v>
      </c>
      <c r="L404" s="65" t="s">
        <v>2856</v>
      </c>
      <c r="M404" s="65" t="s">
        <v>365</v>
      </c>
      <c r="N404" s="65" t="s">
        <v>2857</v>
      </c>
      <c r="O404" s="65" t="s">
        <v>2806</v>
      </c>
      <c r="P404" s="65" t="s">
        <v>2807</v>
      </c>
      <c r="Q404" s="65" t="s">
        <v>2808</v>
      </c>
      <c r="R404" s="65" t="s">
        <v>2809</v>
      </c>
      <c r="S404" s="65" t="s">
        <v>2810</v>
      </c>
      <c r="T404" s="65" t="s">
        <v>2810</v>
      </c>
      <c r="U404" s="65" t="s">
        <v>2811</v>
      </c>
      <c r="V404" s="65" t="s">
        <v>2812</v>
      </c>
      <c r="W404" s="65" t="s">
        <v>1430</v>
      </c>
      <c r="X404" s="65" t="s">
        <v>1431</v>
      </c>
      <c r="Y404" s="65" t="s">
        <v>1144</v>
      </c>
      <c r="Z404" s="65" t="s">
        <v>1616</v>
      </c>
      <c r="AA404" s="65" t="s">
        <v>2866</v>
      </c>
      <c r="AB404" s="65">
        <v>2</v>
      </c>
      <c r="AC404" s="65" t="s">
        <v>2867</v>
      </c>
      <c r="AD404" s="65" t="s">
        <v>2868</v>
      </c>
      <c r="AE404" s="65" t="s">
        <v>2869</v>
      </c>
      <c r="AF404" s="65" t="s">
        <v>1437</v>
      </c>
      <c r="AG404" s="65">
        <v>2</v>
      </c>
      <c r="AH404" s="65">
        <v>1</v>
      </c>
      <c r="AI404" s="65">
        <v>3</v>
      </c>
      <c r="AJ404" s="65">
        <v>2</v>
      </c>
      <c r="AK404" s="65" t="s">
        <v>202</v>
      </c>
      <c r="AL404" s="128">
        <v>44958</v>
      </c>
      <c r="AM404" s="65">
        <v>4</v>
      </c>
      <c r="AN404" s="65">
        <v>2</v>
      </c>
      <c r="AO404" s="65" t="s">
        <v>353</v>
      </c>
      <c r="AP404" s="65">
        <v>2</v>
      </c>
      <c r="AQ404" s="65" t="s">
        <v>355</v>
      </c>
      <c r="AR404" s="65" t="s">
        <v>202</v>
      </c>
      <c r="AS404" s="65">
        <v>1</v>
      </c>
      <c r="AT404" s="65">
        <v>1</v>
      </c>
      <c r="AU404" s="65" t="s">
        <v>1477</v>
      </c>
      <c r="AV404" s="65" t="s">
        <v>1439</v>
      </c>
      <c r="AW404" s="65" t="s">
        <v>202</v>
      </c>
      <c r="AX404" s="65" t="s">
        <v>202</v>
      </c>
      <c r="AY404" s="65" t="s">
        <v>353</v>
      </c>
    </row>
    <row r="405" spans="1:51" x14ac:dyDescent="0.2">
      <c r="A405" s="65" t="s">
        <v>1309</v>
      </c>
      <c r="B405" s="65" t="s">
        <v>1113</v>
      </c>
      <c r="C405" s="65" t="s">
        <v>1114</v>
      </c>
      <c r="D405" s="65" t="s">
        <v>2870</v>
      </c>
      <c r="E405" s="65" t="s">
        <v>353</v>
      </c>
      <c r="F405" s="65" t="s">
        <v>1607</v>
      </c>
      <c r="G405" s="65" t="s">
        <v>1642</v>
      </c>
      <c r="H405" s="65" t="s">
        <v>2801</v>
      </c>
      <c r="I405" s="65" t="s">
        <v>2802</v>
      </c>
      <c r="J405" s="65">
        <v>3144341996</v>
      </c>
      <c r="K405" s="65" t="s">
        <v>2855</v>
      </c>
      <c r="L405" s="65" t="s">
        <v>2856</v>
      </c>
      <c r="M405" s="65" t="s">
        <v>365</v>
      </c>
      <c r="N405" s="65" t="s">
        <v>2857</v>
      </c>
      <c r="O405" s="65" t="s">
        <v>2806</v>
      </c>
      <c r="P405" s="65" t="s">
        <v>2807</v>
      </c>
      <c r="Q405" s="65" t="s">
        <v>2808</v>
      </c>
      <c r="R405" s="65" t="s">
        <v>2809</v>
      </c>
      <c r="S405" s="65" t="s">
        <v>2810</v>
      </c>
      <c r="T405" s="65" t="s">
        <v>2810</v>
      </c>
      <c r="U405" s="65" t="s">
        <v>2811</v>
      </c>
      <c r="V405" s="65" t="s">
        <v>2812</v>
      </c>
      <c r="W405" s="65" t="s">
        <v>1430</v>
      </c>
      <c r="X405" s="65" t="s">
        <v>1431</v>
      </c>
      <c r="Y405" s="65" t="s">
        <v>1646</v>
      </c>
      <c r="Z405" s="65" t="s">
        <v>1616</v>
      </c>
      <c r="AA405" s="65" t="s">
        <v>2871</v>
      </c>
      <c r="AB405" s="65">
        <v>4</v>
      </c>
      <c r="AC405" s="65" t="s">
        <v>2872</v>
      </c>
      <c r="AD405" s="65" t="s">
        <v>2873</v>
      </c>
      <c r="AE405" s="65" t="s">
        <v>2874</v>
      </c>
      <c r="AF405" s="65" t="s">
        <v>1437</v>
      </c>
      <c r="AG405" s="65">
        <v>3</v>
      </c>
      <c r="AH405" s="65">
        <v>3</v>
      </c>
      <c r="AI405" s="65">
        <v>3</v>
      </c>
      <c r="AJ405" s="65">
        <v>3</v>
      </c>
      <c r="AK405" s="65" t="s">
        <v>353</v>
      </c>
      <c r="AL405" s="128">
        <v>44958</v>
      </c>
      <c r="AM405" s="65">
        <v>6</v>
      </c>
      <c r="AN405" s="65">
        <v>4</v>
      </c>
      <c r="AO405" s="65" t="s">
        <v>202</v>
      </c>
      <c r="AP405" s="65">
        <v>4</v>
      </c>
      <c r="AQ405" s="65" t="s">
        <v>355</v>
      </c>
      <c r="AR405" s="65" t="s">
        <v>202</v>
      </c>
      <c r="AS405" s="65">
        <v>1</v>
      </c>
      <c r="AT405" s="65">
        <v>1</v>
      </c>
      <c r="AU405" s="65" t="s">
        <v>1477</v>
      </c>
      <c r="AV405" s="65" t="s">
        <v>198</v>
      </c>
      <c r="AW405" s="65" t="s">
        <v>202</v>
      </c>
      <c r="AX405" s="65" t="s">
        <v>202</v>
      </c>
      <c r="AY405" s="65" t="s">
        <v>353</v>
      </c>
    </row>
    <row r="406" spans="1:51" x14ac:dyDescent="0.2">
      <c r="A406" s="65" t="s">
        <v>1309</v>
      </c>
      <c r="B406" s="65" t="s">
        <v>1115</v>
      </c>
      <c r="C406" s="65" t="s">
        <v>1116</v>
      </c>
      <c r="D406" s="65" t="s">
        <v>2875</v>
      </c>
      <c r="E406" s="65" t="s">
        <v>353</v>
      </c>
      <c r="F406" s="65" t="s">
        <v>1607</v>
      </c>
      <c r="G406" s="65" t="s">
        <v>1642</v>
      </c>
      <c r="H406" s="65" t="s">
        <v>2801</v>
      </c>
      <c r="I406" s="65" t="s">
        <v>2802</v>
      </c>
      <c r="J406" s="65">
        <v>3144341996</v>
      </c>
      <c r="K406" s="65" t="s">
        <v>2855</v>
      </c>
      <c r="L406" s="65" t="s">
        <v>2856</v>
      </c>
      <c r="M406" s="65" t="s">
        <v>365</v>
      </c>
      <c r="N406" s="65" t="s">
        <v>2857</v>
      </c>
      <c r="O406" s="65" t="s">
        <v>2806</v>
      </c>
      <c r="P406" s="65" t="s">
        <v>2807</v>
      </c>
      <c r="Q406" s="65" t="s">
        <v>2808</v>
      </c>
      <c r="R406" s="65" t="s">
        <v>2809</v>
      </c>
      <c r="S406" s="65" t="s">
        <v>2810</v>
      </c>
      <c r="T406" s="65" t="s">
        <v>2810</v>
      </c>
      <c r="U406" s="65" t="s">
        <v>2811</v>
      </c>
      <c r="V406" s="65" t="s">
        <v>2812</v>
      </c>
      <c r="W406" s="65" t="s">
        <v>1430</v>
      </c>
      <c r="X406" s="65" t="s">
        <v>1431</v>
      </c>
      <c r="Y406" s="65" t="s">
        <v>1646</v>
      </c>
      <c r="Z406" s="65" t="s">
        <v>1616</v>
      </c>
      <c r="AA406" s="65" t="s">
        <v>2876</v>
      </c>
      <c r="AB406" s="65">
        <v>2</v>
      </c>
      <c r="AC406" s="65" t="s">
        <v>1527</v>
      </c>
      <c r="AD406" s="65" t="s">
        <v>2877</v>
      </c>
      <c r="AE406" s="65" t="s">
        <v>2878</v>
      </c>
      <c r="AF406" s="65" t="s">
        <v>1437</v>
      </c>
      <c r="AG406" s="65">
        <v>2</v>
      </c>
      <c r="AH406" s="65">
        <v>1</v>
      </c>
      <c r="AI406" s="65">
        <v>2</v>
      </c>
      <c r="AJ406" s="65">
        <v>1</v>
      </c>
      <c r="AK406" s="65" t="s">
        <v>202</v>
      </c>
      <c r="AL406" s="128">
        <v>44972</v>
      </c>
      <c r="AM406" s="65">
        <v>3</v>
      </c>
      <c r="AN406" s="65">
        <v>1</v>
      </c>
      <c r="AO406" s="65" t="s">
        <v>202</v>
      </c>
      <c r="AP406" s="65">
        <v>1</v>
      </c>
      <c r="AQ406" s="65" t="s">
        <v>355</v>
      </c>
      <c r="AR406" s="65" t="s">
        <v>353</v>
      </c>
      <c r="AS406" s="65">
        <v>1</v>
      </c>
      <c r="AT406" s="65">
        <v>1</v>
      </c>
      <c r="AU406" s="65" t="s">
        <v>1529</v>
      </c>
      <c r="AV406" s="65" t="s">
        <v>1439</v>
      </c>
      <c r="AW406" s="65" t="s">
        <v>202</v>
      </c>
      <c r="AX406" s="65" t="s">
        <v>202</v>
      </c>
      <c r="AY406" s="65" t="s">
        <v>202</v>
      </c>
    </row>
    <row r="407" spans="1:51" x14ac:dyDescent="0.2">
      <c r="A407" s="65" t="s">
        <v>1309</v>
      </c>
      <c r="B407" s="65" t="s">
        <v>1117</v>
      </c>
      <c r="C407" s="65" t="s">
        <v>1118</v>
      </c>
      <c r="D407" s="65" t="s">
        <v>2879</v>
      </c>
      <c r="E407" s="65" t="s">
        <v>353</v>
      </c>
      <c r="F407" s="65" t="s">
        <v>1607</v>
      </c>
      <c r="G407" s="65" t="s">
        <v>1642</v>
      </c>
      <c r="H407" s="65" t="s">
        <v>2801</v>
      </c>
      <c r="I407" s="65" t="s">
        <v>2802</v>
      </c>
      <c r="J407" s="65">
        <v>3144341996</v>
      </c>
      <c r="K407" s="65" t="s">
        <v>2855</v>
      </c>
      <c r="L407" s="65" t="s">
        <v>2856</v>
      </c>
      <c r="M407" s="65" t="s">
        <v>365</v>
      </c>
      <c r="N407" s="65" t="s">
        <v>2857</v>
      </c>
      <c r="O407" s="65" t="s">
        <v>2806</v>
      </c>
      <c r="P407" s="65" t="s">
        <v>2807</v>
      </c>
      <c r="Q407" s="65" t="s">
        <v>2808</v>
      </c>
      <c r="R407" s="65" t="s">
        <v>2809</v>
      </c>
      <c r="S407" s="65" t="s">
        <v>2810</v>
      </c>
      <c r="T407" s="65" t="s">
        <v>2810</v>
      </c>
      <c r="U407" s="65" t="s">
        <v>2811</v>
      </c>
      <c r="V407" s="65" t="s">
        <v>2812</v>
      </c>
      <c r="W407" s="65" t="s">
        <v>1430</v>
      </c>
      <c r="X407" s="65" t="s">
        <v>1431</v>
      </c>
      <c r="Y407" s="65" t="s">
        <v>1646</v>
      </c>
      <c r="Z407" s="65" t="s">
        <v>1616</v>
      </c>
      <c r="AA407" s="65" t="s">
        <v>2880</v>
      </c>
      <c r="AB407" s="65">
        <v>2</v>
      </c>
      <c r="AC407" s="65" t="s">
        <v>2848</v>
      </c>
      <c r="AD407" s="65" t="s">
        <v>2694</v>
      </c>
      <c r="AE407" s="65" t="s">
        <v>2881</v>
      </c>
      <c r="AF407" s="65" t="s">
        <v>1446</v>
      </c>
      <c r="AG407" s="65">
        <v>2</v>
      </c>
      <c r="AH407" s="65">
        <v>1</v>
      </c>
      <c r="AI407" s="65">
        <v>2</v>
      </c>
      <c r="AJ407" s="65">
        <v>1</v>
      </c>
      <c r="AK407" s="65" t="s">
        <v>202</v>
      </c>
      <c r="AL407" s="128">
        <v>45151</v>
      </c>
      <c r="AM407" s="65">
        <v>2</v>
      </c>
      <c r="AN407" s="65">
        <v>1</v>
      </c>
      <c r="AO407" s="65" t="s">
        <v>202</v>
      </c>
      <c r="AP407" s="65">
        <v>1</v>
      </c>
      <c r="AQ407" s="65" t="s">
        <v>355</v>
      </c>
      <c r="AR407" s="65" t="s">
        <v>202</v>
      </c>
      <c r="AS407" s="65">
        <v>1</v>
      </c>
      <c r="AT407" s="65">
        <v>1</v>
      </c>
      <c r="AU407" s="65" t="s">
        <v>1529</v>
      </c>
      <c r="AV407" s="65" t="s">
        <v>1439</v>
      </c>
      <c r="AW407" s="65" t="s">
        <v>202</v>
      </c>
      <c r="AX407" s="65" t="s">
        <v>202</v>
      </c>
      <c r="AY407" s="65" t="s">
        <v>202</v>
      </c>
    </row>
    <row r="408" spans="1:51" x14ac:dyDescent="0.2">
      <c r="A408" s="65" t="s">
        <v>1309</v>
      </c>
      <c r="B408" s="65" t="s">
        <v>1131</v>
      </c>
      <c r="C408" s="65" t="s">
        <v>1132</v>
      </c>
      <c r="D408" s="65" t="s">
        <v>2882</v>
      </c>
      <c r="E408" s="65" t="s">
        <v>353</v>
      </c>
      <c r="F408" s="65" t="s">
        <v>1607</v>
      </c>
      <c r="G408" s="65" t="s">
        <v>1642</v>
      </c>
      <c r="H408" s="65" t="s">
        <v>2801</v>
      </c>
      <c r="I408" s="65" t="s">
        <v>2802</v>
      </c>
      <c r="J408" s="65">
        <v>3144341996</v>
      </c>
      <c r="K408" s="65" t="s">
        <v>2855</v>
      </c>
      <c r="L408" s="65" t="s">
        <v>2856</v>
      </c>
      <c r="M408" s="65" t="s">
        <v>365</v>
      </c>
      <c r="N408" s="65" t="s">
        <v>2857</v>
      </c>
      <c r="O408" s="65" t="s">
        <v>2806</v>
      </c>
      <c r="P408" s="65" t="s">
        <v>2807</v>
      </c>
      <c r="Q408" s="65" t="s">
        <v>2808</v>
      </c>
      <c r="R408" s="65" t="s">
        <v>2809</v>
      </c>
      <c r="S408" s="65" t="s">
        <v>2810</v>
      </c>
      <c r="T408" s="65" t="s">
        <v>2810</v>
      </c>
      <c r="U408" s="65" t="s">
        <v>2811</v>
      </c>
      <c r="V408" s="65" t="s">
        <v>2812</v>
      </c>
      <c r="W408" s="65" t="s">
        <v>1430</v>
      </c>
      <c r="X408" s="65" t="s">
        <v>1431</v>
      </c>
      <c r="Y408" s="65" t="s">
        <v>1646</v>
      </c>
      <c r="Z408" s="65" t="s">
        <v>1616</v>
      </c>
      <c r="AA408" s="65" t="s">
        <v>2883</v>
      </c>
      <c r="AB408" s="65">
        <v>4</v>
      </c>
      <c r="AC408" s="65" t="s">
        <v>2884</v>
      </c>
      <c r="AD408" s="65" t="s">
        <v>2330</v>
      </c>
      <c r="AE408" s="65" t="s">
        <v>2885</v>
      </c>
      <c r="AF408" s="65" t="s">
        <v>1437</v>
      </c>
      <c r="AG408" s="65">
        <v>2</v>
      </c>
      <c r="AH408" s="65">
        <v>2</v>
      </c>
      <c r="AI408" s="65">
        <v>3</v>
      </c>
      <c r="AJ408" s="65">
        <v>2</v>
      </c>
      <c r="AK408" s="65" t="s">
        <v>353</v>
      </c>
      <c r="AL408" s="128">
        <v>44960</v>
      </c>
      <c r="AM408" s="65">
        <v>4</v>
      </c>
      <c r="AN408" s="65">
        <v>2</v>
      </c>
      <c r="AO408" s="65" t="s">
        <v>353</v>
      </c>
      <c r="AP408" s="65">
        <v>2</v>
      </c>
      <c r="AQ408" s="65" t="s">
        <v>355</v>
      </c>
      <c r="AR408" s="65" t="s">
        <v>202</v>
      </c>
      <c r="AS408" s="65">
        <v>1</v>
      </c>
      <c r="AT408" s="65">
        <v>1</v>
      </c>
      <c r="AU408" s="65" t="s">
        <v>1438</v>
      </c>
      <c r="AV408" s="65" t="s">
        <v>198</v>
      </c>
      <c r="AW408" s="65" t="s">
        <v>202</v>
      </c>
      <c r="AX408" s="65" t="s">
        <v>202</v>
      </c>
      <c r="AY408" s="65" t="s">
        <v>353</v>
      </c>
    </row>
    <row r="409" spans="1:51" x14ac:dyDescent="0.2">
      <c r="A409" s="65" t="s">
        <v>1309</v>
      </c>
      <c r="B409" s="65" t="s">
        <v>1133</v>
      </c>
      <c r="C409" s="65" t="s">
        <v>1134</v>
      </c>
      <c r="D409" s="65" t="s">
        <v>2886</v>
      </c>
      <c r="E409" s="65" t="s">
        <v>353</v>
      </c>
      <c r="F409" s="65" t="s">
        <v>1607</v>
      </c>
      <c r="G409" s="65" t="s">
        <v>1642</v>
      </c>
      <c r="H409" s="65" t="s">
        <v>2801</v>
      </c>
      <c r="I409" s="65" t="s">
        <v>2802</v>
      </c>
      <c r="J409" s="65">
        <v>3144341996</v>
      </c>
      <c r="K409" s="65" t="s">
        <v>2855</v>
      </c>
      <c r="L409" s="65" t="s">
        <v>2856</v>
      </c>
      <c r="M409" s="65" t="s">
        <v>365</v>
      </c>
      <c r="N409" s="65" t="s">
        <v>2857</v>
      </c>
      <c r="O409" s="65" t="s">
        <v>2806</v>
      </c>
      <c r="P409" s="65" t="s">
        <v>2807</v>
      </c>
      <c r="Q409" s="65" t="s">
        <v>2808</v>
      </c>
      <c r="R409" s="65" t="s">
        <v>2809</v>
      </c>
      <c r="S409" s="65" t="s">
        <v>2810</v>
      </c>
      <c r="T409" s="65" t="s">
        <v>2810</v>
      </c>
      <c r="U409" s="65" t="s">
        <v>2811</v>
      </c>
      <c r="V409" s="65" t="s">
        <v>2812</v>
      </c>
      <c r="W409" s="65" t="s">
        <v>1430</v>
      </c>
      <c r="X409" s="65" t="s">
        <v>1431</v>
      </c>
      <c r="Y409" s="65" t="s">
        <v>1646</v>
      </c>
      <c r="Z409" s="65" t="s">
        <v>1616</v>
      </c>
      <c r="AA409" s="65" t="s">
        <v>2887</v>
      </c>
      <c r="AB409" s="65">
        <v>3</v>
      </c>
      <c r="AC409" s="65" t="s">
        <v>2588</v>
      </c>
      <c r="AD409" s="65" t="s">
        <v>1576</v>
      </c>
      <c r="AE409" s="65" t="s">
        <v>2888</v>
      </c>
      <c r="AF409" s="65" t="s">
        <v>1437</v>
      </c>
      <c r="AG409" s="65">
        <v>5</v>
      </c>
      <c r="AH409" s="65">
        <v>0</v>
      </c>
      <c r="AI409" s="65">
        <v>3</v>
      </c>
      <c r="AJ409" s="65">
        <v>2</v>
      </c>
      <c r="AK409" s="65" t="s">
        <v>353</v>
      </c>
      <c r="AL409" s="128">
        <v>44961</v>
      </c>
      <c r="AM409" s="65">
        <v>5</v>
      </c>
      <c r="AN409" s="65">
        <v>1</v>
      </c>
      <c r="AO409" s="65" t="s">
        <v>202</v>
      </c>
      <c r="AP409" s="65">
        <v>4</v>
      </c>
      <c r="AQ409" s="65" t="s">
        <v>355</v>
      </c>
      <c r="AR409" s="65" t="s">
        <v>202</v>
      </c>
      <c r="AS409" s="65">
        <v>1</v>
      </c>
      <c r="AT409" s="65">
        <v>1</v>
      </c>
      <c r="AU409" s="65" t="s">
        <v>1477</v>
      </c>
      <c r="AV409" s="65" t="s">
        <v>1439</v>
      </c>
      <c r="AW409" s="65" t="s">
        <v>202</v>
      </c>
      <c r="AX409" s="65" t="s">
        <v>202</v>
      </c>
      <c r="AY409" s="65" t="s">
        <v>353</v>
      </c>
    </row>
    <row r="410" spans="1:51" x14ac:dyDescent="0.2">
      <c r="A410" s="65" t="s">
        <v>1309</v>
      </c>
      <c r="B410" s="65" t="s">
        <v>1143</v>
      </c>
      <c r="C410" s="65" t="s">
        <v>1144</v>
      </c>
      <c r="D410" s="65" t="s">
        <v>2889</v>
      </c>
      <c r="E410" s="65" t="s">
        <v>353</v>
      </c>
      <c r="F410" s="65" t="s">
        <v>1607</v>
      </c>
      <c r="G410" s="65" t="s">
        <v>1642</v>
      </c>
      <c r="H410" s="65" t="s">
        <v>2801</v>
      </c>
      <c r="I410" s="65" t="s">
        <v>2802</v>
      </c>
      <c r="J410" s="65">
        <v>3144341996</v>
      </c>
      <c r="K410" s="65" t="s">
        <v>2855</v>
      </c>
      <c r="L410" s="65" t="s">
        <v>2856</v>
      </c>
      <c r="M410" s="65" t="s">
        <v>365</v>
      </c>
      <c r="N410" s="65" t="s">
        <v>2857</v>
      </c>
      <c r="O410" s="65" t="s">
        <v>2806</v>
      </c>
      <c r="P410" s="65" t="s">
        <v>2807</v>
      </c>
      <c r="Q410" s="65" t="s">
        <v>2808</v>
      </c>
      <c r="R410" s="65" t="s">
        <v>2809</v>
      </c>
      <c r="S410" s="65" t="s">
        <v>2810</v>
      </c>
      <c r="T410" s="65" t="s">
        <v>2810</v>
      </c>
      <c r="U410" s="65" t="s">
        <v>2811</v>
      </c>
      <c r="V410" s="65" t="s">
        <v>2812</v>
      </c>
      <c r="W410" s="65" t="s">
        <v>1430</v>
      </c>
      <c r="X410" s="65" t="s">
        <v>1431</v>
      </c>
      <c r="Y410" s="65" t="s">
        <v>1144</v>
      </c>
      <c r="Z410" s="65" t="s">
        <v>1616</v>
      </c>
      <c r="AA410" s="65" t="s">
        <v>2890</v>
      </c>
      <c r="AB410" s="65">
        <v>2</v>
      </c>
      <c r="AC410" s="65" t="s">
        <v>1489</v>
      </c>
      <c r="AD410" s="65" t="s">
        <v>1570</v>
      </c>
      <c r="AE410" s="65" t="s">
        <v>2891</v>
      </c>
      <c r="AF410" s="65" t="s">
        <v>1437</v>
      </c>
      <c r="AG410" s="65">
        <v>3</v>
      </c>
      <c r="AH410" s="65">
        <v>1</v>
      </c>
      <c r="AI410" s="65">
        <v>2</v>
      </c>
      <c r="AJ410" s="65">
        <v>2</v>
      </c>
      <c r="AK410" s="65" t="s">
        <v>202</v>
      </c>
      <c r="AL410" s="128">
        <v>44985</v>
      </c>
      <c r="AM410" s="65">
        <v>4</v>
      </c>
      <c r="AN410" s="65">
        <v>2</v>
      </c>
      <c r="AO410" s="65" t="s">
        <v>353</v>
      </c>
      <c r="AP410" s="65">
        <v>2</v>
      </c>
      <c r="AQ410" s="65" t="s">
        <v>355</v>
      </c>
      <c r="AR410" s="65" t="s">
        <v>202</v>
      </c>
      <c r="AS410" s="65">
        <v>1</v>
      </c>
      <c r="AT410" s="65">
        <v>1</v>
      </c>
      <c r="AU410" s="65" t="s">
        <v>1477</v>
      </c>
      <c r="AV410" s="65" t="s">
        <v>1439</v>
      </c>
      <c r="AW410" s="65" t="s">
        <v>202</v>
      </c>
      <c r="AX410" s="65" t="s">
        <v>202</v>
      </c>
      <c r="AY410" s="65" t="s">
        <v>353</v>
      </c>
    </row>
    <row r="411" spans="1:51" x14ac:dyDescent="0.2">
      <c r="A411" s="65" t="s">
        <v>1309</v>
      </c>
      <c r="B411" s="65" t="s">
        <v>590</v>
      </c>
      <c r="C411" s="65" t="s">
        <v>591</v>
      </c>
      <c r="D411" s="65" t="s">
        <v>2892</v>
      </c>
      <c r="E411" s="65" t="s">
        <v>353</v>
      </c>
      <c r="F411" s="65" t="s">
        <v>1607</v>
      </c>
      <c r="G411" s="65" t="s">
        <v>1608</v>
      </c>
      <c r="H411" s="65" t="s">
        <v>2801</v>
      </c>
      <c r="I411" s="65" t="s">
        <v>2802</v>
      </c>
      <c r="J411" s="65">
        <v>3144341996</v>
      </c>
      <c r="K411" s="65" t="s">
        <v>2893</v>
      </c>
      <c r="L411" s="65" t="s">
        <v>2894</v>
      </c>
      <c r="M411" s="65" t="s">
        <v>364</v>
      </c>
      <c r="N411" s="65" t="s">
        <v>2895</v>
      </c>
      <c r="O411" s="65" t="s">
        <v>2806</v>
      </c>
      <c r="P411" s="65" t="s">
        <v>2807</v>
      </c>
      <c r="Q411" s="65" t="s">
        <v>2808</v>
      </c>
      <c r="R411" s="65" t="s">
        <v>2809</v>
      </c>
      <c r="S411" s="65" t="s">
        <v>2810</v>
      </c>
      <c r="T411" s="65" t="s">
        <v>2810</v>
      </c>
      <c r="U411" s="65" t="s">
        <v>2811</v>
      </c>
      <c r="V411" s="65" t="s">
        <v>2812</v>
      </c>
      <c r="W411" s="65" t="s">
        <v>1430</v>
      </c>
      <c r="X411" s="65" t="s">
        <v>1431</v>
      </c>
      <c r="Y411" s="65" t="s">
        <v>1609</v>
      </c>
      <c r="Z411" s="65" t="s">
        <v>1610</v>
      </c>
      <c r="AA411" s="65" t="s">
        <v>2896</v>
      </c>
      <c r="AB411" s="65">
        <v>3</v>
      </c>
      <c r="AC411" s="65" t="s">
        <v>2100</v>
      </c>
      <c r="AD411" s="65" t="s">
        <v>1592</v>
      </c>
      <c r="AE411" s="65" t="s">
        <v>2897</v>
      </c>
      <c r="AF411" s="65" t="s">
        <v>1437</v>
      </c>
      <c r="AG411" s="65">
        <v>2</v>
      </c>
      <c r="AH411" s="65">
        <v>1</v>
      </c>
      <c r="AI411" s="65">
        <v>2</v>
      </c>
      <c r="AJ411" s="65">
        <v>2</v>
      </c>
      <c r="AK411" s="65" t="s">
        <v>353</v>
      </c>
      <c r="AL411" s="128">
        <v>45030</v>
      </c>
      <c r="AM411" s="65">
        <v>4</v>
      </c>
      <c r="AN411" s="65">
        <v>2</v>
      </c>
      <c r="AO411" s="65" t="s">
        <v>202</v>
      </c>
      <c r="AP411" s="65">
        <v>1</v>
      </c>
      <c r="AQ411" s="65" t="s">
        <v>355</v>
      </c>
      <c r="AR411" s="65" t="s">
        <v>202</v>
      </c>
      <c r="AS411" s="65">
        <v>1</v>
      </c>
      <c r="AT411" s="65">
        <v>1</v>
      </c>
      <c r="AU411" s="65" t="s">
        <v>1438</v>
      </c>
      <c r="AV411" s="65" t="s">
        <v>1439</v>
      </c>
      <c r="AW411" s="65" t="s">
        <v>202</v>
      </c>
      <c r="AX411" s="65" t="s">
        <v>202</v>
      </c>
      <c r="AY411" s="65" t="s">
        <v>353</v>
      </c>
    </row>
    <row r="412" spans="1:51" x14ac:dyDescent="0.2">
      <c r="A412" s="65" t="s">
        <v>1309</v>
      </c>
      <c r="B412" s="65" t="s">
        <v>594</v>
      </c>
      <c r="C412" s="65" t="s">
        <v>595</v>
      </c>
      <c r="D412" s="65" t="s">
        <v>2898</v>
      </c>
      <c r="E412" s="65" t="s">
        <v>353</v>
      </c>
      <c r="F412" s="65" t="s">
        <v>1607</v>
      </c>
      <c r="G412" s="65" t="s">
        <v>1608</v>
      </c>
      <c r="H412" s="65" t="s">
        <v>2801</v>
      </c>
      <c r="I412" s="65" t="s">
        <v>2802</v>
      </c>
      <c r="J412" s="65">
        <v>3144341996</v>
      </c>
      <c r="K412" s="65" t="s">
        <v>2893</v>
      </c>
      <c r="L412" s="65" t="s">
        <v>2894</v>
      </c>
      <c r="M412" s="65" t="s">
        <v>364</v>
      </c>
      <c r="N412" s="65" t="s">
        <v>2895</v>
      </c>
      <c r="O412" s="65" t="s">
        <v>2806</v>
      </c>
      <c r="P412" s="65" t="s">
        <v>2807</v>
      </c>
      <c r="Q412" s="65" t="s">
        <v>2808</v>
      </c>
      <c r="R412" s="65" t="s">
        <v>2809</v>
      </c>
      <c r="S412" s="65" t="s">
        <v>2810</v>
      </c>
      <c r="T412" s="65" t="s">
        <v>2810</v>
      </c>
      <c r="U412" s="65" t="s">
        <v>2811</v>
      </c>
      <c r="V412" s="65" t="s">
        <v>2812</v>
      </c>
      <c r="W412" s="65" t="s">
        <v>1430</v>
      </c>
      <c r="X412" s="65" t="s">
        <v>1431</v>
      </c>
      <c r="Y412" s="65" t="s">
        <v>595</v>
      </c>
      <c r="Z412" s="65" t="s">
        <v>1610</v>
      </c>
      <c r="AA412" s="65" t="s">
        <v>2899</v>
      </c>
      <c r="AB412" s="65">
        <v>2</v>
      </c>
      <c r="AC412" s="65" t="s">
        <v>2100</v>
      </c>
      <c r="AD412" s="65" t="s">
        <v>1512</v>
      </c>
      <c r="AE412" s="65" t="s">
        <v>2900</v>
      </c>
      <c r="AF412" s="65" t="s">
        <v>1437</v>
      </c>
      <c r="AG412" s="65">
        <v>2</v>
      </c>
      <c r="AH412" s="65">
        <v>0</v>
      </c>
      <c r="AI412" s="65">
        <v>2</v>
      </c>
      <c r="AJ412" s="65">
        <v>2</v>
      </c>
      <c r="AK412" s="65" t="s">
        <v>202</v>
      </c>
      <c r="AL412" s="128">
        <v>45051</v>
      </c>
      <c r="AM412" s="65">
        <v>4</v>
      </c>
      <c r="AN412" s="65">
        <v>2</v>
      </c>
      <c r="AO412" s="65" t="s">
        <v>202</v>
      </c>
      <c r="AP412" s="65">
        <v>1</v>
      </c>
      <c r="AQ412" s="65" t="s">
        <v>355</v>
      </c>
      <c r="AR412" s="65" t="s">
        <v>202</v>
      </c>
      <c r="AS412" s="65">
        <v>1</v>
      </c>
      <c r="AT412" s="65">
        <v>1</v>
      </c>
      <c r="AU412" s="65" t="s">
        <v>1438</v>
      </c>
      <c r="AV412" s="65" t="s">
        <v>1439</v>
      </c>
      <c r="AW412" s="65" t="s">
        <v>202</v>
      </c>
      <c r="AX412" s="65" t="s">
        <v>202</v>
      </c>
      <c r="AY412" s="65" t="s">
        <v>353</v>
      </c>
    </row>
    <row r="413" spans="1:51" x14ac:dyDescent="0.2">
      <c r="A413" s="65" t="s">
        <v>1309</v>
      </c>
      <c r="B413" s="65" t="s">
        <v>598</v>
      </c>
      <c r="C413" s="65" t="s">
        <v>599</v>
      </c>
      <c r="D413" s="65" t="s">
        <v>2901</v>
      </c>
      <c r="E413" s="65" t="s">
        <v>353</v>
      </c>
      <c r="F413" s="65" t="s">
        <v>1607</v>
      </c>
      <c r="G413" s="65" t="s">
        <v>1608</v>
      </c>
      <c r="H413" s="65" t="s">
        <v>2801</v>
      </c>
      <c r="I413" s="65" t="s">
        <v>2802</v>
      </c>
      <c r="J413" s="65">
        <v>3144341996</v>
      </c>
      <c r="K413" s="65" t="s">
        <v>2893</v>
      </c>
      <c r="L413" s="65" t="s">
        <v>2894</v>
      </c>
      <c r="M413" s="65" t="s">
        <v>364</v>
      </c>
      <c r="N413" s="65" t="s">
        <v>2895</v>
      </c>
      <c r="O413" s="65" t="s">
        <v>2806</v>
      </c>
      <c r="P413" s="65" t="s">
        <v>2807</v>
      </c>
      <c r="Q413" s="65" t="s">
        <v>2808</v>
      </c>
      <c r="R413" s="65" t="s">
        <v>2809</v>
      </c>
      <c r="S413" s="65" t="s">
        <v>2810</v>
      </c>
      <c r="T413" s="65" t="s">
        <v>2810</v>
      </c>
      <c r="U413" s="65" t="s">
        <v>2811</v>
      </c>
      <c r="V413" s="65" t="s">
        <v>2812</v>
      </c>
      <c r="W413" s="65" t="s">
        <v>1430</v>
      </c>
      <c r="X413" s="65" t="s">
        <v>1431</v>
      </c>
      <c r="Y413" s="65" t="s">
        <v>2824</v>
      </c>
      <c r="Z413" s="65" t="s">
        <v>1610</v>
      </c>
      <c r="AA413" s="65" t="s">
        <v>2902</v>
      </c>
      <c r="AB413" s="65">
        <v>2</v>
      </c>
      <c r="AC413" s="65" t="s">
        <v>2083</v>
      </c>
      <c r="AD413" s="65" t="s">
        <v>2472</v>
      </c>
      <c r="AE413" s="65" t="s">
        <v>2903</v>
      </c>
      <c r="AF413" s="65" t="s">
        <v>1437</v>
      </c>
      <c r="AG413" s="65">
        <v>2</v>
      </c>
      <c r="AH413" s="65">
        <v>0</v>
      </c>
      <c r="AI413" s="65">
        <v>2</v>
      </c>
      <c r="AJ413" s="65">
        <v>2</v>
      </c>
      <c r="AK413" s="65" t="s">
        <v>202</v>
      </c>
      <c r="AL413" s="128">
        <v>44951</v>
      </c>
      <c r="AM413" s="65">
        <v>4</v>
      </c>
      <c r="AN413" s="65">
        <v>1</v>
      </c>
      <c r="AO413" s="65" t="s">
        <v>202</v>
      </c>
      <c r="AP413" s="65">
        <v>1</v>
      </c>
      <c r="AQ413" s="65" t="s">
        <v>355</v>
      </c>
      <c r="AR413" s="65" t="s">
        <v>202</v>
      </c>
      <c r="AS413" s="65">
        <v>1</v>
      </c>
      <c r="AT413" s="65">
        <v>1</v>
      </c>
      <c r="AU413" s="65" t="s">
        <v>1529</v>
      </c>
      <c r="AV413" s="65" t="s">
        <v>1439</v>
      </c>
      <c r="AW413" s="65" t="s">
        <v>202</v>
      </c>
      <c r="AX413" s="65" t="s">
        <v>202</v>
      </c>
      <c r="AY413" s="65" t="s">
        <v>353</v>
      </c>
    </row>
    <row r="414" spans="1:51" x14ac:dyDescent="0.2">
      <c r="A414" s="65" t="s">
        <v>1309</v>
      </c>
      <c r="B414" s="65" t="s">
        <v>602</v>
      </c>
      <c r="C414" s="65" t="s">
        <v>603</v>
      </c>
      <c r="D414" s="65" t="s">
        <v>2904</v>
      </c>
      <c r="E414" s="65" t="s">
        <v>353</v>
      </c>
      <c r="F414" s="65" t="s">
        <v>1607</v>
      </c>
      <c r="G414" s="65" t="s">
        <v>1608</v>
      </c>
      <c r="H414" s="65" t="s">
        <v>2801</v>
      </c>
      <c r="I414" s="65" t="s">
        <v>2802</v>
      </c>
      <c r="J414" s="65">
        <v>3144341996</v>
      </c>
      <c r="K414" s="65" t="s">
        <v>2893</v>
      </c>
      <c r="L414" s="65" t="s">
        <v>2894</v>
      </c>
      <c r="M414" s="65" t="s">
        <v>364</v>
      </c>
      <c r="N414" s="65" t="s">
        <v>2895</v>
      </c>
      <c r="O414" s="65" t="s">
        <v>2806</v>
      </c>
      <c r="P414" s="65" t="s">
        <v>2807</v>
      </c>
      <c r="Q414" s="65" t="s">
        <v>2808</v>
      </c>
      <c r="R414" s="65" t="s">
        <v>2809</v>
      </c>
      <c r="S414" s="65" t="s">
        <v>2810</v>
      </c>
      <c r="T414" s="65" t="s">
        <v>2810</v>
      </c>
      <c r="U414" s="65" t="s">
        <v>2811</v>
      </c>
      <c r="V414" s="65" t="s">
        <v>2812</v>
      </c>
      <c r="W414" s="65" t="s">
        <v>1430</v>
      </c>
      <c r="X414" s="65" t="s">
        <v>1431</v>
      </c>
      <c r="Y414" s="65" t="s">
        <v>1609</v>
      </c>
      <c r="Z414" s="65" t="s">
        <v>1610</v>
      </c>
      <c r="AA414" s="65" t="s">
        <v>2905</v>
      </c>
      <c r="AB414" s="65">
        <v>3</v>
      </c>
      <c r="AC414" s="65" t="s">
        <v>2299</v>
      </c>
      <c r="AD414" s="65" t="s">
        <v>2778</v>
      </c>
      <c r="AE414" s="65" t="s">
        <v>2906</v>
      </c>
      <c r="AF414" s="65" t="s">
        <v>1437</v>
      </c>
      <c r="AG414" s="65">
        <v>2</v>
      </c>
      <c r="AH414" s="65">
        <v>0</v>
      </c>
      <c r="AI414" s="65">
        <v>2</v>
      </c>
      <c r="AJ414" s="65">
        <v>2</v>
      </c>
      <c r="AK414" s="65" t="s">
        <v>202</v>
      </c>
      <c r="AL414" s="128">
        <v>45007</v>
      </c>
      <c r="AM414" s="65">
        <v>4</v>
      </c>
      <c r="AN414" s="65">
        <v>2</v>
      </c>
      <c r="AO414" s="65" t="s">
        <v>353</v>
      </c>
      <c r="AP414" s="65">
        <v>1</v>
      </c>
      <c r="AQ414" s="65" t="s">
        <v>355</v>
      </c>
      <c r="AR414" s="65" t="s">
        <v>202</v>
      </c>
      <c r="AS414" s="65">
        <v>1</v>
      </c>
      <c r="AT414" s="65">
        <v>1</v>
      </c>
      <c r="AU414" s="65" t="s">
        <v>1438</v>
      </c>
      <c r="AV414" s="65" t="s">
        <v>1439</v>
      </c>
      <c r="AW414" s="65" t="s">
        <v>202</v>
      </c>
      <c r="AX414" s="65" t="s">
        <v>202</v>
      </c>
      <c r="AY414" s="65" t="s">
        <v>202</v>
      </c>
    </row>
    <row r="415" spans="1:51" x14ac:dyDescent="0.2">
      <c r="A415" s="65" t="s">
        <v>1309</v>
      </c>
      <c r="B415" s="65" t="s">
        <v>609</v>
      </c>
      <c r="C415" s="65" t="s">
        <v>610</v>
      </c>
      <c r="D415" s="65" t="s">
        <v>2907</v>
      </c>
      <c r="E415" s="65" t="s">
        <v>353</v>
      </c>
      <c r="F415" s="65" t="s">
        <v>1607</v>
      </c>
      <c r="G415" s="65" t="s">
        <v>1608</v>
      </c>
      <c r="H415" s="65" t="s">
        <v>2801</v>
      </c>
      <c r="I415" s="65" t="s">
        <v>2802</v>
      </c>
      <c r="J415" s="65">
        <v>3144341996</v>
      </c>
      <c r="K415" s="65" t="s">
        <v>2893</v>
      </c>
      <c r="L415" s="65" t="s">
        <v>2894</v>
      </c>
      <c r="M415" s="65" t="s">
        <v>364</v>
      </c>
      <c r="N415" s="65" t="s">
        <v>2895</v>
      </c>
      <c r="O415" s="65" t="s">
        <v>2806</v>
      </c>
      <c r="P415" s="65" t="s">
        <v>2807</v>
      </c>
      <c r="Q415" s="65" t="s">
        <v>2808</v>
      </c>
      <c r="R415" s="65" t="s">
        <v>2809</v>
      </c>
      <c r="S415" s="65" t="s">
        <v>2810</v>
      </c>
      <c r="T415" s="65" t="s">
        <v>2810</v>
      </c>
      <c r="U415" s="65" t="s">
        <v>2811</v>
      </c>
      <c r="V415" s="65" t="s">
        <v>2812</v>
      </c>
      <c r="W415" s="65" t="s">
        <v>1430</v>
      </c>
      <c r="X415" s="65" t="s">
        <v>1431</v>
      </c>
      <c r="Y415" s="65" t="s">
        <v>1629</v>
      </c>
      <c r="Z415" s="65" t="s">
        <v>1610</v>
      </c>
      <c r="AA415" s="65" t="s">
        <v>2908</v>
      </c>
      <c r="AB415" s="65">
        <v>2</v>
      </c>
      <c r="AC415" s="65" t="s">
        <v>2520</v>
      </c>
      <c r="AD415" s="65" t="s">
        <v>2449</v>
      </c>
      <c r="AE415" s="65" t="s">
        <v>2909</v>
      </c>
      <c r="AF415" s="65" t="s">
        <v>1437</v>
      </c>
      <c r="AG415" s="65">
        <v>1</v>
      </c>
      <c r="AH415" s="65">
        <v>0</v>
      </c>
      <c r="AI415" s="65">
        <v>2</v>
      </c>
      <c r="AJ415" s="65">
        <v>1</v>
      </c>
      <c r="AK415" s="65" t="s">
        <v>202</v>
      </c>
      <c r="AL415" s="128">
        <v>44951</v>
      </c>
      <c r="AM415" s="65">
        <v>4</v>
      </c>
      <c r="AN415" s="65">
        <v>1</v>
      </c>
      <c r="AO415" s="65" t="s">
        <v>202</v>
      </c>
      <c r="AP415" s="65">
        <v>1</v>
      </c>
      <c r="AQ415" s="65" t="s">
        <v>355</v>
      </c>
      <c r="AR415" s="65" t="s">
        <v>353</v>
      </c>
      <c r="AS415" s="65">
        <v>1</v>
      </c>
      <c r="AT415" s="65">
        <v>1</v>
      </c>
      <c r="AU415" s="65" t="s">
        <v>1529</v>
      </c>
      <c r="AV415" s="65" t="s">
        <v>1439</v>
      </c>
      <c r="AW415" s="65" t="s">
        <v>202</v>
      </c>
      <c r="AX415" s="65" t="s">
        <v>202</v>
      </c>
      <c r="AY415" s="65" t="s">
        <v>202</v>
      </c>
    </row>
    <row r="416" spans="1:51" x14ac:dyDescent="0.2">
      <c r="A416" s="65" t="s">
        <v>1309</v>
      </c>
      <c r="B416" s="65" t="s">
        <v>613</v>
      </c>
      <c r="C416" s="65" t="s">
        <v>614</v>
      </c>
      <c r="D416" s="65" t="s">
        <v>2910</v>
      </c>
      <c r="E416" s="65" t="s">
        <v>353</v>
      </c>
      <c r="F416" s="65" t="s">
        <v>1607</v>
      </c>
      <c r="G416" s="65" t="s">
        <v>1608</v>
      </c>
      <c r="H416" s="65" t="s">
        <v>2801</v>
      </c>
      <c r="I416" s="65" t="s">
        <v>2802</v>
      </c>
      <c r="J416" s="65">
        <v>3144341996</v>
      </c>
      <c r="K416" s="65" t="s">
        <v>2893</v>
      </c>
      <c r="L416" s="65" t="s">
        <v>2894</v>
      </c>
      <c r="M416" s="65" t="s">
        <v>364</v>
      </c>
      <c r="N416" s="65" t="s">
        <v>2895</v>
      </c>
      <c r="O416" s="65" t="s">
        <v>2806</v>
      </c>
      <c r="P416" s="65" t="s">
        <v>2807</v>
      </c>
      <c r="Q416" s="65" t="s">
        <v>2808</v>
      </c>
      <c r="R416" s="65" t="s">
        <v>2809</v>
      </c>
      <c r="S416" s="65" t="s">
        <v>2810</v>
      </c>
      <c r="T416" s="65" t="s">
        <v>2810</v>
      </c>
      <c r="U416" s="65" t="s">
        <v>2811</v>
      </c>
      <c r="V416" s="65" t="s">
        <v>2812</v>
      </c>
      <c r="W416" s="65" t="s">
        <v>1430</v>
      </c>
      <c r="X416" s="65" t="s">
        <v>1431</v>
      </c>
      <c r="Y416" s="65" t="s">
        <v>1632</v>
      </c>
      <c r="Z416" s="65" t="s">
        <v>1610</v>
      </c>
      <c r="AA416" s="65" t="s">
        <v>2911</v>
      </c>
      <c r="AB416" s="65">
        <v>4</v>
      </c>
      <c r="AC416" s="65" t="s">
        <v>2912</v>
      </c>
      <c r="AD416" s="65" t="s">
        <v>2702</v>
      </c>
      <c r="AE416" s="65" t="s">
        <v>2913</v>
      </c>
      <c r="AF416" s="65" t="s">
        <v>1446</v>
      </c>
      <c r="AG416" s="65">
        <v>1</v>
      </c>
      <c r="AH416" s="65">
        <v>0</v>
      </c>
      <c r="AI416" s="65">
        <v>2</v>
      </c>
      <c r="AJ416" s="65">
        <v>1</v>
      </c>
      <c r="AK416" s="65" t="s">
        <v>202</v>
      </c>
      <c r="AL416" s="128">
        <v>44981</v>
      </c>
      <c r="AM416" s="65">
        <v>3</v>
      </c>
      <c r="AN416" s="65">
        <v>1</v>
      </c>
      <c r="AO416" s="65" t="s">
        <v>202</v>
      </c>
      <c r="AP416" s="65">
        <v>1</v>
      </c>
      <c r="AQ416" s="65" t="s">
        <v>355</v>
      </c>
      <c r="AR416" s="65" t="s">
        <v>353</v>
      </c>
      <c r="AS416" s="65">
        <v>1</v>
      </c>
      <c r="AT416" s="65">
        <v>1</v>
      </c>
      <c r="AU416" s="65" t="s">
        <v>1529</v>
      </c>
      <c r="AV416" s="65" t="s">
        <v>198</v>
      </c>
      <c r="AW416" s="65" t="s">
        <v>202</v>
      </c>
      <c r="AX416" s="65" t="s">
        <v>202</v>
      </c>
      <c r="AY416" s="65" t="s">
        <v>202</v>
      </c>
    </row>
    <row r="417" spans="1:51" x14ac:dyDescent="0.2">
      <c r="A417" s="65" t="s">
        <v>1309</v>
      </c>
      <c r="B417" s="65" t="s">
        <v>742</v>
      </c>
      <c r="C417" s="65" t="s">
        <v>743</v>
      </c>
      <c r="D417" s="65" t="s">
        <v>2914</v>
      </c>
      <c r="E417" s="65" t="s">
        <v>353</v>
      </c>
      <c r="F417" s="65" t="s">
        <v>1607</v>
      </c>
      <c r="G417" s="65" t="s">
        <v>1608</v>
      </c>
      <c r="H417" s="65" t="s">
        <v>2801</v>
      </c>
      <c r="I417" s="65" t="s">
        <v>2802</v>
      </c>
      <c r="J417" s="65">
        <v>3144341996</v>
      </c>
      <c r="K417" s="65" t="s">
        <v>2893</v>
      </c>
      <c r="L417" s="65" t="s">
        <v>2894</v>
      </c>
      <c r="M417" s="65" t="s">
        <v>364</v>
      </c>
      <c r="N417" s="65" t="s">
        <v>2895</v>
      </c>
      <c r="O417" s="65" t="s">
        <v>2806</v>
      </c>
      <c r="P417" s="65" t="s">
        <v>2807</v>
      </c>
      <c r="Q417" s="65" t="s">
        <v>2808</v>
      </c>
      <c r="R417" s="65" t="s">
        <v>2809</v>
      </c>
      <c r="S417" s="65" t="s">
        <v>2810</v>
      </c>
      <c r="T417" s="65" t="s">
        <v>2810</v>
      </c>
      <c r="U417" s="65" t="s">
        <v>2811</v>
      </c>
      <c r="V417" s="65" t="s">
        <v>2812</v>
      </c>
      <c r="W417" s="65" t="s">
        <v>1430</v>
      </c>
      <c r="X417" s="65" t="s">
        <v>1431</v>
      </c>
      <c r="Y417" s="65" t="s">
        <v>1632</v>
      </c>
      <c r="Z417" s="65" t="s">
        <v>1610</v>
      </c>
      <c r="AA417" s="65" t="s">
        <v>2915</v>
      </c>
      <c r="AB417" s="65">
        <v>2</v>
      </c>
      <c r="AC417" s="65" t="s">
        <v>2694</v>
      </c>
      <c r="AD417" s="65" t="s">
        <v>2476</v>
      </c>
      <c r="AE417" s="65" t="s">
        <v>2916</v>
      </c>
      <c r="AF417" s="65" t="s">
        <v>1437</v>
      </c>
      <c r="AG417" s="65">
        <v>1</v>
      </c>
      <c r="AH417" s="65">
        <v>0</v>
      </c>
      <c r="AI417" s="65">
        <v>2</v>
      </c>
      <c r="AJ417" s="65">
        <v>1</v>
      </c>
      <c r="AK417" s="65" t="s">
        <v>202</v>
      </c>
      <c r="AL417" s="128">
        <v>44951</v>
      </c>
      <c r="AM417" s="65">
        <v>3</v>
      </c>
      <c r="AN417" s="65">
        <v>0</v>
      </c>
      <c r="AO417" s="65" t="s">
        <v>202</v>
      </c>
      <c r="AP417" s="65">
        <v>1</v>
      </c>
      <c r="AQ417" s="65" t="s">
        <v>355</v>
      </c>
      <c r="AR417" s="65" t="s">
        <v>353</v>
      </c>
      <c r="AS417" s="65">
        <v>1</v>
      </c>
      <c r="AT417" s="65">
        <v>1</v>
      </c>
      <c r="AU417" s="65" t="s">
        <v>1529</v>
      </c>
      <c r="AV417" s="65" t="s">
        <v>1439</v>
      </c>
      <c r="AW417" s="65" t="s">
        <v>202</v>
      </c>
      <c r="AX417" s="65" t="s">
        <v>202</v>
      </c>
      <c r="AY417" s="65" t="s">
        <v>202</v>
      </c>
    </row>
    <row r="418" spans="1:51" x14ac:dyDescent="0.2">
      <c r="A418" s="65" t="s">
        <v>1773</v>
      </c>
      <c r="B418" s="65" t="s">
        <v>828</v>
      </c>
      <c r="C418" s="65" t="s">
        <v>829</v>
      </c>
      <c r="D418" s="65" t="s">
        <v>2917</v>
      </c>
      <c r="E418" s="65" t="s">
        <v>353</v>
      </c>
      <c r="F418" s="65" t="s">
        <v>1775</v>
      </c>
      <c r="G418" s="65" t="s">
        <v>1776</v>
      </c>
      <c r="H418" s="65" t="s">
        <v>2918</v>
      </c>
      <c r="I418" s="65" t="s">
        <v>2919</v>
      </c>
      <c r="J418" s="65">
        <v>3144345006</v>
      </c>
      <c r="K418" s="65" t="s">
        <v>2920</v>
      </c>
      <c r="L418" s="65" t="s">
        <v>2921</v>
      </c>
      <c r="M418" s="65" t="s">
        <v>360</v>
      </c>
      <c r="N418" s="65" t="s">
        <v>2922</v>
      </c>
      <c r="O418" s="65" t="s">
        <v>2923</v>
      </c>
      <c r="P418" s="65" t="s">
        <v>2924</v>
      </c>
      <c r="Q418" s="65" t="s">
        <v>2925</v>
      </c>
      <c r="R418" s="65" t="s">
        <v>2926</v>
      </c>
      <c r="S418" s="65" t="s">
        <v>2810</v>
      </c>
      <c r="T418" s="65" t="s">
        <v>2810</v>
      </c>
      <c r="U418" s="65" t="s">
        <v>2927</v>
      </c>
      <c r="V418" s="65" t="s">
        <v>2928</v>
      </c>
      <c r="W418" s="65" t="s">
        <v>2465</v>
      </c>
      <c r="X418" s="65" t="s">
        <v>2466</v>
      </c>
      <c r="Y418" s="65" t="s">
        <v>829</v>
      </c>
      <c r="Z418" s="65" t="s">
        <v>1360</v>
      </c>
      <c r="AA418" s="65" t="s">
        <v>2929</v>
      </c>
      <c r="AB418" s="65">
        <v>2</v>
      </c>
      <c r="AC418" s="65" t="s">
        <v>2930</v>
      </c>
      <c r="AD418" s="65" t="s">
        <v>2931</v>
      </c>
      <c r="AE418" s="65" t="s">
        <v>2932</v>
      </c>
      <c r="AF418" s="65" t="s">
        <v>1437</v>
      </c>
      <c r="AG418" s="65">
        <v>2</v>
      </c>
      <c r="AH418" s="65">
        <v>2</v>
      </c>
      <c r="AI418" s="65">
        <v>2</v>
      </c>
      <c r="AJ418" s="65">
        <v>1</v>
      </c>
      <c r="AK418" s="65" t="s">
        <v>353</v>
      </c>
      <c r="AL418" s="128">
        <v>45068</v>
      </c>
      <c r="AM418" s="65">
        <v>3</v>
      </c>
      <c r="AN418" s="65">
        <v>2</v>
      </c>
      <c r="AO418" s="65" t="s">
        <v>202</v>
      </c>
      <c r="AP418" s="65">
        <v>2</v>
      </c>
      <c r="AQ418" s="65" t="s">
        <v>352</v>
      </c>
      <c r="AR418" s="65" t="s">
        <v>202</v>
      </c>
      <c r="AS418" s="65">
        <v>1</v>
      </c>
      <c r="AT418" s="65">
        <v>1</v>
      </c>
      <c r="AU418" s="65" t="s">
        <v>1438</v>
      </c>
      <c r="AV418" s="65" t="s">
        <v>1439</v>
      </c>
      <c r="AW418" s="65" t="s">
        <v>202</v>
      </c>
      <c r="AX418" s="65" t="s">
        <v>202</v>
      </c>
      <c r="AY418" s="65" t="s">
        <v>353</v>
      </c>
    </row>
    <row r="419" spans="1:51" x14ac:dyDescent="0.2">
      <c r="A419" s="65" t="s">
        <v>1773</v>
      </c>
      <c r="B419" s="65" t="s">
        <v>832</v>
      </c>
      <c r="C419" s="65" t="s">
        <v>833</v>
      </c>
      <c r="D419" s="65" t="s">
        <v>2933</v>
      </c>
      <c r="E419" s="65" t="s">
        <v>353</v>
      </c>
      <c r="F419" s="65" t="s">
        <v>1775</v>
      </c>
      <c r="G419" s="65" t="s">
        <v>1776</v>
      </c>
      <c r="H419" s="65" t="s">
        <v>2918</v>
      </c>
      <c r="I419" s="65" t="s">
        <v>2919</v>
      </c>
      <c r="J419" s="65">
        <v>3144345006</v>
      </c>
      <c r="K419" s="65" t="s">
        <v>2920</v>
      </c>
      <c r="L419" s="65" t="s">
        <v>2921</v>
      </c>
      <c r="M419" s="65" t="s">
        <v>360</v>
      </c>
      <c r="N419" s="65" t="s">
        <v>2922</v>
      </c>
      <c r="O419" s="65" t="s">
        <v>2923</v>
      </c>
      <c r="P419" s="65" t="s">
        <v>2924</v>
      </c>
      <c r="Q419" s="65" t="s">
        <v>2925</v>
      </c>
      <c r="R419" s="65" t="s">
        <v>2926</v>
      </c>
      <c r="S419" s="65" t="s">
        <v>2810</v>
      </c>
      <c r="T419" s="65" t="s">
        <v>2810</v>
      </c>
      <c r="U419" s="65" t="s">
        <v>2927</v>
      </c>
      <c r="V419" s="65" t="s">
        <v>2928</v>
      </c>
      <c r="W419" s="65" t="s">
        <v>2465</v>
      </c>
      <c r="X419" s="65" t="s">
        <v>2466</v>
      </c>
      <c r="Y419" s="65" t="s">
        <v>833</v>
      </c>
      <c r="Z419" s="65" t="s">
        <v>1360</v>
      </c>
      <c r="AA419" s="65" t="s">
        <v>2934</v>
      </c>
      <c r="AB419" s="65">
        <v>2</v>
      </c>
      <c r="AC419" s="65" t="s">
        <v>2616</v>
      </c>
      <c r="AD419" s="65" t="s">
        <v>2935</v>
      </c>
      <c r="AE419" s="65" t="s">
        <v>2936</v>
      </c>
      <c r="AF419" s="65" t="s">
        <v>1437</v>
      </c>
      <c r="AG419" s="65">
        <v>2</v>
      </c>
      <c r="AH419" s="65">
        <v>2</v>
      </c>
      <c r="AI419" s="65">
        <v>2</v>
      </c>
      <c r="AJ419" s="65">
        <v>1</v>
      </c>
      <c r="AK419" s="65" t="s">
        <v>202</v>
      </c>
      <c r="AL419" s="128">
        <v>45043</v>
      </c>
      <c r="AM419" s="65">
        <v>3</v>
      </c>
      <c r="AN419" s="65">
        <v>2</v>
      </c>
      <c r="AO419" s="65" t="s">
        <v>202</v>
      </c>
      <c r="AP419" s="65">
        <v>1</v>
      </c>
      <c r="AQ419" s="65" t="s">
        <v>352</v>
      </c>
      <c r="AR419" s="65" t="s">
        <v>202</v>
      </c>
      <c r="AS419" s="65">
        <v>1</v>
      </c>
      <c r="AT419" s="65">
        <v>1</v>
      </c>
      <c r="AU419" s="65" t="s">
        <v>1529</v>
      </c>
      <c r="AV419" s="65" t="s">
        <v>1439</v>
      </c>
      <c r="AW419" s="65" t="s">
        <v>202</v>
      </c>
      <c r="AX419" s="65" t="s">
        <v>202</v>
      </c>
      <c r="AY419" s="65" t="s">
        <v>353</v>
      </c>
    </row>
    <row r="420" spans="1:51" x14ac:dyDescent="0.2">
      <c r="A420" s="65" t="s">
        <v>1773</v>
      </c>
      <c r="B420" s="65" t="s">
        <v>881</v>
      </c>
      <c r="C420" s="65" t="s">
        <v>882</v>
      </c>
      <c r="D420" s="65" t="s">
        <v>2937</v>
      </c>
      <c r="E420" s="65" t="s">
        <v>353</v>
      </c>
      <c r="F420" s="65" t="s">
        <v>1775</v>
      </c>
      <c r="G420" s="65" t="s">
        <v>1776</v>
      </c>
      <c r="H420" s="65" t="s">
        <v>2918</v>
      </c>
      <c r="I420" s="65" t="s">
        <v>2919</v>
      </c>
      <c r="J420" s="65">
        <v>3144345006</v>
      </c>
      <c r="K420" s="65" t="s">
        <v>2920</v>
      </c>
      <c r="L420" s="65" t="s">
        <v>2921</v>
      </c>
      <c r="M420" s="65" t="s">
        <v>360</v>
      </c>
      <c r="N420" s="65" t="s">
        <v>2922</v>
      </c>
      <c r="O420" s="65" t="s">
        <v>2923</v>
      </c>
      <c r="P420" s="65" t="s">
        <v>2924</v>
      </c>
      <c r="Q420" s="65" t="s">
        <v>2925</v>
      </c>
      <c r="R420" s="65" t="s">
        <v>2926</v>
      </c>
      <c r="S420" s="65" t="s">
        <v>2810</v>
      </c>
      <c r="T420" s="65" t="s">
        <v>2810</v>
      </c>
      <c r="U420" s="65" t="s">
        <v>2927</v>
      </c>
      <c r="V420" s="65" t="s">
        <v>2928</v>
      </c>
      <c r="W420" s="65" t="s">
        <v>2465</v>
      </c>
      <c r="X420" s="65" t="s">
        <v>2466</v>
      </c>
      <c r="Y420" s="65" t="s">
        <v>882</v>
      </c>
      <c r="Z420" s="65" t="s">
        <v>1360</v>
      </c>
      <c r="AA420" s="65" t="s">
        <v>2938</v>
      </c>
      <c r="AB420" s="65">
        <v>2</v>
      </c>
      <c r="AC420" s="65" t="s">
        <v>2939</v>
      </c>
      <c r="AD420" s="65" t="s">
        <v>1553</v>
      </c>
      <c r="AE420" s="65" t="s">
        <v>2940</v>
      </c>
      <c r="AF420" s="65" t="s">
        <v>1437</v>
      </c>
      <c r="AG420" s="65">
        <v>3</v>
      </c>
      <c r="AH420" s="65">
        <v>4</v>
      </c>
      <c r="AI420" s="65">
        <v>2</v>
      </c>
      <c r="AJ420" s="65">
        <v>2</v>
      </c>
      <c r="AK420" s="65" t="s">
        <v>353</v>
      </c>
      <c r="AL420" s="128">
        <v>45043</v>
      </c>
      <c r="AM420" s="65">
        <v>4</v>
      </c>
      <c r="AN420" s="65">
        <v>2</v>
      </c>
      <c r="AO420" s="65" t="s">
        <v>353</v>
      </c>
      <c r="AP420" s="65">
        <v>2</v>
      </c>
      <c r="AQ420" s="65" t="s">
        <v>355</v>
      </c>
      <c r="AR420" s="65" t="s">
        <v>202</v>
      </c>
      <c r="AS420" s="65">
        <v>1</v>
      </c>
      <c r="AT420" s="65">
        <v>1</v>
      </c>
      <c r="AU420" s="65" t="s">
        <v>1477</v>
      </c>
      <c r="AV420" s="65" t="s">
        <v>1439</v>
      </c>
      <c r="AW420" s="65" t="s">
        <v>202</v>
      </c>
      <c r="AX420" s="65" t="s">
        <v>202</v>
      </c>
      <c r="AY420" s="65" t="s">
        <v>353</v>
      </c>
    </row>
    <row r="421" spans="1:51" x14ac:dyDescent="0.2">
      <c r="A421" s="65" t="s">
        <v>1773</v>
      </c>
      <c r="B421" s="65" t="s">
        <v>889</v>
      </c>
      <c r="C421" s="65" t="s">
        <v>890</v>
      </c>
      <c r="D421" s="65" t="s">
        <v>2941</v>
      </c>
      <c r="E421" s="65" t="s">
        <v>353</v>
      </c>
      <c r="F421" s="65" t="s">
        <v>1775</v>
      </c>
      <c r="G421" s="65" t="s">
        <v>1776</v>
      </c>
      <c r="H421" s="65" t="s">
        <v>2918</v>
      </c>
      <c r="I421" s="65" t="s">
        <v>2919</v>
      </c>
      <c r="J421" s="65">
        <v>3144345006</v>
      </c>
      <c r="K421" s="65" t="s">
        <v>2920</v>
      </c>
      <c r="L421" s="65" t="s">
        <v>2921</v>
      </c>
      <c r="M421" s="65" t="s">
        <v>360</v>
      </c>
      <c r="N421" s="65" t="s">
        <v>2922</v>
      </c>
      <c r="O421" s="65" t="s">
        <v>2923</v>
      </c>
      <c r="P421" s="65" t="s">
        <v>2924</v>
      </c>
      <c r="Q421" s="65" t="s">
        <v>2925</v>
      </c>
      <c r="R421" s="65" t="s">
        <v>2926</v>
      </c>
      <c r="S421" s="65" t="s">
        <v>2810</v>
      </c>
      <c r="T421" s="65" t="s">
        <v>2810</v>
      </c>
      <c r="U421" s="65" t="s">
        <v>2927</v>
      </c>
      <c r="V421" s="65" t="s">
        <v>2928</v>
      </c>
      <c r="W421" s="65" t="s">
        <v>2465</v>
      </c>
      <c r="X421" s="65" t="s">
        <v>2466</v>
      </c>
      <c r="Y421" s="65" t="s">
        <v>1802</v>
      </c>
      <c r="Z421" s="65" t="s">
        <v>1785</v>
      </c>
      <c r="AA421" s="65" t="s">
        <v>2942</v>
      </c>
      <c r="AB421" s="65">
        <v>2</v>
      </c>
      <c r="AC421" s="65" t="s">
        <v>2943</v>
      </c>
      <c r="AD421" s="65" t="s">
        <v>2344</v>
      </c>
      <c r="AE421" s="65" t="s">
        <v>2944</v>
      </c>
      <c r="AF421" s="65" t="s">
        <v>1437</v>
      </c>
      <c r="AG421" s="65">
        <v>5</v>
      </c>
      <c r="AH421" s="65">
        <v>5</v>
      </c>
      <c r="AI421" s="65">
        <v>2</v>
      </c>
      <c r="AJ421" s="65">
        <v>2</v>
      </c>
      <c r="AK421" s="65" t="s">
        <v>353</v>
      </c>
      <c r="AL421" s="128">
        <v>45071</v>
      </c>
      <c r="AM421" s="65">
        <v>4</v>
      </c>
      <c r="AN421" s="65">
        <v>2</v>
      </c>
      <c r="AO421" s="65" t="s">
        <v>202</v>
      </c>
      <c r="AP421" s="65">
        <v>3</v>
      </c>
      <c r="AQ421" s="65" t="s">
        <v>352</v>
      </c>
      <c r="AR421" s="65" t="s">
        <v>202</v>
      </c>
      <c r="AS421" s="65">
        <v>1</v>
      </c>
      <c r="AT421" s="65">
        <v>1</v>
      </c>
      <c r="AU421" s="65" t="s">
        <v>1438</v>
      </c>
      <c r="AV421" s="65" t="s">
        <v>1439</v>
      </c>
      <c r="AW421" s="65" t="s">
        <v>202</v>
      </c>
      <c r="AX421" s="65" t="s">
        <v>202</v>
      </c>
      <c r="AY421" s="65" t="s">
        <v>353</v>
      </c>
    </row>
    <row r="422" spans="1:51" x14ac:dyDescent="0.2">
      <c r="A422" s="65" t="s">
        <v>1773</v>
      </c>
      <c r="B422" s="65" t="s">
        <v>1167</v>
      </c>
      <c r="C422" s="65" t="s">
        <v>1168</v>
      </c>
      <c r="D422" s="65" t="s">
        <v>2945</v>
      </c>
      <c r="E422" s="65" t="s">
        <v>353</v>
      </c>
      <c r="F422" s="65" t="s">
        <v>1775</v>
      </c>
      <c r="G422" s="65" t="s">
        <v>1776</v>
      </c>
      <c r="H422" s="65" t="s">
        <v>2918</v>
      </c>
      <c r="I422" s="65" t="s">
        <v>2919</v>
      </c>
      <c r="J422" s="65">
        <v>3144345006</v>
      </c>
      <c r="K422" s="65" t="s">
        <v>2920</v>
      </c>
      <c r="L422" s="65" t="s">
        <v>2921</v>
      </c>
      <c r="M422" s="65" t="s">
        <v>360</v>
      </c>
      <c r="N422" s="65" t="s">
        <v>2922</v>
      </c>
      <c r="O422" s="65" t="s">
        <v>2923</v>
      </c>
      <c r="P422" s="65" t="s">
        <v>2924</v>
      </c>
      <c r="Q422" s="65" t="s">
        <v>2925</v>
      </c>
      <c r="R422" s="65" t="s">
        <v>2926</v>
      </c>
      <c r="S422" s="65" t="s">
        <v>2810</v>
      </c>
      <c r="T422" s="65" t="s">
        <v>2810</v>
      </c>
      <c r="U422" s="65" t="s">
        <v>2927</v>
      </c>
      <c r="V422" s="65" t="s">
        <v>2928</v>
      </c>
      <c r="W422" s="65" t="s">
        <v>2465</v>
      </c>
      <c r="X422" s="65" t="s">
        <v>2466</v>
      </c>
      <c r="Y422" s="65" t="s">
        <v>882</v>
      </c>
      <c r="Z422" s="65" t="s">
        <v>1360</v>
      </c>
      <c r="AA422" s="65" t="s">
        <v>2946</v>
      </c>
      <c r="AB422" s="65">
        <v>2</v>
      </c>
      <c r="AC422" s="65" t="s">
        <v>2947</v>
      </c>
      <c r="AD422" s="65" t="s">
        <v>2190</v>
      </c>
      <c r="AE422" s="65" t="s">
        <v>2948</v>
      </c>
      <c r="AF422" s="65" t="s">
        <v>1437</v>
      </c>
      <c r="AG422" s="65">
        <v>2</v>
      </c>
      <c r="AH422" s="65">
        <v>1</v>
      </c>
      <c r="AI422" s="65">
        <v>2</v>
      </c>
      <c r="AJ422" s="65">
        <v>2</v>
      </c>
      <c r="AK422" s="65" t="s">
        <v>353</v>
      </c>
      <c r="AL422" s="128">
        <v>45043</v>
      </c>
      <c r="AM422" s="65">
        <v>4</v>
      </c>
      <c r="AN422" s="65">
        <v>2</v>
      </c>
      <c r="AO422" s="65" t="s">
        <v>202</v>
      </c>
      <c r="AP422" s="65">
        <v>1</v>
      </c>
      <c r="AQ422" s="65" t="s">
        <v>352</v>
      </c>
      <c r="AR422" s="65" t="s">
        <v>202</v>
      </c>
      <c r="AS422" s="65">
        <v>1</v>
      </c>
      <c r="AT422" s="65">
        <v>1</v>
      </c>
      <c r="AU422" s="65" t="s">
        <v>1438</v>
      </c>
      <c r="AV422" s="65" t="s">
        <v>1439</v>
      </c>
      <c r="AW422" s="65" t="s">
        <v>202</v>
      </c>
      <c r="AX422" s="65" t="s">
        <v>202</v>
      </c>
      <c r="AY422" s="65" t="s">
        <v>202</v>
      </c>
    </row>
    <row r="423" spans="1:51" x14ac:dyDescent="0.2">
      <c r="A423" s="65" t="s">
        <v>1773</v>
      </c>
      <c r="B423" s="65" t="s">
        <v>830</v>
      </c>
      <c r="C423" s="65" t="s">
        <v>831</v>
      </c>
      <c r="D423" s="65" t="s">
        <v>2949</v>
      </c>
      <c r="E423" s="65" t="s">
        <v>353</v>
      </c>
      <c r="F423" s="65" t="s">
        <v>1775</v>
      </c>
      <c r="G423" s="65" t="s">
        <v>1776</v>
      </c>
      <c r="H423" s="65" t="s">
        <v>2918</v>
      </c>
      <c r="I423" s="65" t="s">
        <v>2919</v>
      </c>
      <c r="J423" s="65">
        <v>3144345006</v>
      </c>
      <c r="K423" s="65" t="s">
        <v>2920</v>
      </c>
      <c r="L423" s="65" t="s">
        <v>2921</v>
      </c>
      <c r="M423" s="65" t="s">
        <v>360</v>
      </c>
      <c r="N423" s="65" t="s">
        <v>2922</v>
      </c>
      <c r="O423" s="65" t="s">
        <v>2923</v>
      </c>
      <c r="P423" s="65" t="s">
        <v>2924</v>
      </c>
      <c r="Q423" s="65" t="s">
        <v>2925</v>
      </c>
      <c r="R423" s="65" t="s">
        <v>2926</v>
      </c>
      <c r="S423" s="65" t="s">
        <v>2810</v>
      </c>
      <c r="T423" s="65" t="s">
        <v>2810</v>
      </c>
      <c r="U423" s="65" t="s">
        <v>2927</v>
      </c>
      <c r="V423" s="65" t="s">
        <v>2928</v>
      </c>
      <c r="W423" s="65" t="s">
        <v>2465</v>
      </c>
      <c r="X423" s="65" t="s">
        <v>2466</v>
      </c>
      <c r="Y423" s="65" t="s">
        <v>831</v>
      </c>
      <c r="Z423" s="65" t="s">
        <v>1360</v>
      </c>
      <c r="AA423" s="65" t="s">
        <v>2950</v>
      </c>
      <c r="AB423" s="65">
        <v>2</v>
      </c>
      <c r="AC423" s="65" t="s">
        <v>2833</v>
      </c>
      <c r="AD423" s="65" t="s">
        <v>2083</v>
      </c>
      <c r="AE423" s="65" t="s">
        <v>2951</v>
      </c>
      <c r="AF423" s="65" t="s">
        <v>1437</v>
      </c>
      <c r="AG423" s="65">
        <v>2</v>
      </c>
      <c r="AH423" s="65">
        <v>2</v>
      </c>
      <c r="AI423" s="65">
        <v>2</v>
      </c>
      <c r="AJ423" s="65">
        <v>2</v>
      </c>
      <c r="AK423" s="65" t="s">
        <v>353</v>
      </c>
      <c r="AL423" s="128">
        <v>45055</v>
      </c>
      <c r="AM423" s="65">
        <v>4</v>
      </c>
      <c r="AN423" s="65">
        <v>2</v>
      </c>
      <c r="AO423" s="65" t="s">
        <v>353</v>
      </c>
      <c r="AP423" s="65">
        <v>2</v>
      </c>
      <c r="AQ423" s="65" t="s">
        <v>352</v>
      </c>
      <c r="AR423" s="65" t="s">
        <v>202</v>
      </c>
      <c r="AS423" s="65">
        <v>1</v>
      </c>
      <c r="AT423" s="65">
        <v>1</v>
      </c>
      <c r="AU423" s="65" t="s">
        <v>1438</v>
      </c>
      <c r="AV423" s="65" t="s">
        <v>1439</v>
      </c>
      <c r="AW423" s="65" t="s">
        <v>202</v>
      </c>
      <c r="AX423" s="65" t="s">
        <v>202</v>
      </c>
      <c r="AY423" s="65" t="s">
        <v>202</v>
      </c>
    </row>
    <row r="424" spans="1:51" x14ac:dyDescent="0.2">
      <c r="A424" s="65" t="s">
        <v>1773</v>
      </c>
      <c r="B424" s="65" t="s">
        <v>834</v>
      </c>
      <c r="C424" s="65" t="s">
        <v>835</v>
      </c>
      <c r="D424" s="65" t="s">
        <v>2952</v>
      </c>
      <c r="E424" s="65" t="s">
        <v>353</v>
      </c>
      <c r="F424" s="65" t="s">
        <v>1775</v>
      </c>
      <c r="G424" s="65" t="s">
        <v>1776</v>
      </c>
      <c r="H424" s="65" t="s">
        <v>2918</v>
      </c>
      <c r="I424" s="65" t="s">
        <v>2919</v>
      </c>
      <c r="J424" s="65">
        <v>3144345006</v>
      </c>
      <c r="K424" s="65" t="s">
        <v>2920</v>
      </c>
      <c r="L424" s="65" t="s">
        <v>2921</v>
      </c>
      <c r="M424" s="65" t="s">
        <v>360</v>
      </c>
      <c r="N424" s="65" t="s">
        <v>2922</v>
      </c>
      <c r="O424" s="65" t="s">
        <v>2923</v>
      </c>
      <c r="P424" s="65" t="s">
        <v>2924</v>
      </c>
      <c r="Q424" s="65" t="s">
        <v>2925</v>
      </c>
      <c r="R424" s="65" t="s">
        <v>2926</v>
      </c>
      <c r="S424" s="65" t="s">
        <v>2810</v>
      </c>
      <c r="T424" s="65" t="s">
        <v>2810</v>
      </c>
      <c r="U424" s="65" t="s">
        <v>2927</v>
      </c>
      <c r="V424" s="65" t="s">
        <v>2928</v>
      </c>
      <c r="W424" s="65" t="s">
        <v>2465</v>
      </c>
      <c r="X424" s="65" t="s">
        <v>2466</v>
      </c>
      <c r="Y424" s="65" t="s">
        <v>835</v>
      </c>
      <c r="Z424" s="65" t="s">
        <v>1785</v>
      </c>
      <c r="AA424" s="65" t="s">
        <v>2953</v>
      </c>
      <c r="AB424" s="65">
        <v>2</v>
      </c>
      <c r="AC424" s="65" t="s">
        <v>1464</v>
      </c>
      <c r="AD424" s="65" t="s">
        <v>2314</v>
      </c>
      <c r="AE424" s="65" t="s">
        <v>2954</v>
      </c>
      <c r="AF424" s="65" t="s">
        <v>1437</v>
      </c>
      <c r="AG424" s="65">
        <v>2</v>
      </c>
      <c r="AH424" s="65">
        <v>2</v>
      </c>
      <c r="AI424" s="65">
        <v>2</v>
      </c>
      <c r="AJ424" s="65">
        <v>2</v>
      </c>
      <c r="AK424" s="65" t="s">
        <v>353</v>
      </c>
      <c r="AL424" s="128">
        <v>45075</v>
      </c>
      <c r="AM424" s="65">
        <v>4</v>
      </c>
      <c r="AN424" s="65">
        <v>2</v>
      </c>
      <c r="AO424" s="65" t="s">
        <v>353</v>
      </c>
      <c r="AP424" s="65">
        <v>1</v>
      </c>
      <c r="AQ424" s="65" t="s">
        <v>352</v>
      </c>
      <c r="AR424" s="65" t="s">
        <v>202</v>
      </c>
      <c r="AS424" s="65">
        <v>1</v>
      </c>
      <c r="AT424" s="65">
        <v>1</v>
      </c>
      <c r="AU424" s="65" t="s">
        <v>1529</v>
      </c>
      <c r="AV424" s="65" t="s">
        <v>1439</v>
      </c>
      <c r="AW424" s="65" t="s">
        <v>202</v>
      </c>
      <c r="AX424" s="65" t="s">
        <v>202</v>
      </c>
      <c r="AY424" s="65" t="s">
        <v>202</v>
      </c>
    </row>
    <row r="425" spans="1:51" x14ac:dyDescent="0.2">
      <c r="A425" s="65" t="s">
        <v>1773</v>
      </c>
      <c r="B425" s="65" t="s">
        <v>883</v>
      </c>
      <c r="C425" s="65" t="s">
        <v>884</v>
      </c>
      <c r="D425" s="65" t="s">
        <v>2955</v>
      </c>
      <c r="E425" s="65" t="s">
        <v>353</v>
      </c>
      <c r="F425" s="65" t="s">
        <v>1775</v>
      </c>
      <c r="G425" s="65" t="s">
        <v>1776</v>
      </c>
      <c r="H425" s="65" t="s">
        <v>2918</v>
      </c>
      <c r="I425" s="65" t="s">
        <v>2919</v>
      </c>
      <c r="J425" s="65">
        <v>3144345006</v>
      </c>
      <c r="K425" s="65" t="s">
        <v>2956</v>
      </c>
      <c r="L425" s="65" t="s">
        <v>2957</v>
      </c>
      <c r="M425" s="65" t="s">
        <v>362</v>
      </c>
      <c r="N425" s="65" t="s">
        <v>2958</v>
      </c>
      <c r="O425" s="65" t="s">
        <v>2923</v>
      </c>
      <c r="P425" s="65" t="s">
        <v>2924</v>
      </c>
      <c r="Q425" s="65" t="s">
        <v>2925</v>
      </c>
      <c r="R425" s="65" t="s">
        <v>2926</v>
      </c>
      <c r="S425" s="65" t="s">
        <v>2810</v>
      </c>
      <c r="T425" s="65" t="s">
        <v>2810</v>
      </c>
      <c r="U425" s="65" t="s">
        <v>2927</v>
      </c>
      <c r="V425" s="65" t="s">
        <v>2928</v>
      </c>
      <c r="W425" s="65" t="s">
        <v>2465</v>
      </c>
      <c r="X425" s="65" t="s">
        <v>2466</v>
      </c>
      <c r="Y425" s="65" t="s">
        <v>2959</v>
      </c>
      <c r="Z425" s="65" t="s">
        <v>1360</v>
      </c>
      <c r="AA425" s="65" t="s">
        <v>2960</v>
      </c>
      <c r="AB425" s="65">
        <v>3</v>
      </c>
      <c r="AC425" s="65" t="s">
        <v>1570</v>
      </c>
      <c r="AD425" s="65" t="s">
        <v>2961</v>
      </c>
      <c r="AE425" s="65" t="s">
        <v>2962</v>
      </c>
      <c r="AF425" s="65" t="s">
        <v>1446</v>
      </c>
      <c r="AG425" s="65">
        <v>2</v>
      </c>
      <c r="AH425" s="65">
        <v>4</v>
      </c>
      <c r="AI425" s="65">
        <v>2</v>
      </c>
      <c r="AJ425" s="65">
        <v>1</v>
      </c>
      <c r="AK425" s="65" t="s">
        <v>353</v>
      </c>
      <c r="AL425" s="128">
        <v>45043</v>
      </c>
      <c r="AM425" s="65">
        <v>4</v>
      </c>
      <c r="AN425" s="65">
        <v>2</v>
      </c>
      <c r="AO425" s="65" t="s">
        <v>353</v>
      </c>
      <c r="AP425" s="65">
        <v>2</v>
      </c>
      <c r="AQ425" s="65" t="s">
        <v>352</v>
      </c>
      <c r="AR425" s="65" t="s">
        <v>202</v>
      </c>
      <c r="AS425" s="65">
        <v>1</v>
      </c>
      <c r="AT425" s="65">
        <v>1</v>
      </c>
      <c r="AU425" s="65" t="s">
        <v>1529</v>
      </c>
      <c r="AV425" s="65" t="s">
        <v>1439</v>
      </c>
      <c r="AW425" s="65" t="s">
        <v>202</v>
      </c>
      <c r="AX425" s="65" t="s">
        <v>202</v>
      </c>
      <c r="AY425" s="65" t="s">
        <v>202</v>
      </c>
    </row>
    <row r="426" spans="1:51" x14ac:dyDescent="0.2">
      <c r="A426" s="65" t="s">
        <v>1773</v>
      </c>
      <c r="B426" s="65" t="s">
        <v>844</v>
      </c>
      <c r="C426" s="65" t="s">
        <v>845</v>
      </c>
      <c r="D426" s="65" t="s">
        <v>2963</v>
      </c>
      <c r="E426" s="65" t="s">
        <v>353</v>
      </c>
      <c r="F426" s="65" t="s">
        <v>1775</v>
      </c>
      <c r="G426" s="65" t="s">
        <v>1776</v>
      </c>
      <c r="H426" s="65" t="s">
        <v>2918</v>
      </c>
      <c r="I426" s="65" t="s">
        <v>2919</v>
      </c>
      <c r="J426" s="65">
        <v>3144345006</v>
      </c>
      <c r="K426" s="65" t="s">
        <v>2956</v>
      </c>
      <c r="L426" s="65" t="s">
        <v>2957</v>
      </c>
      <c r="M426" s="65" t="s">
        <v>362</v>
      </c>
      <c r="N426" s="65" t="s">
        <v>2958</v>
      </c>
      <c r="O426" s="65" t="s">
        <v>2923</v>
      </c>
      <c r="P426" s="65" t="s">
        <v>2924</v>
      </c>
      <c r="Q426" s="65" t="s">
        <v>2925</v>
      </c>
      <c r="R426" s="65" t="s">
        <v>2926</v>
      </c>
      <c r="S426" s="65" t="s">
        <v>2810</v>
      </c>
      <c r="T426" s="65" t="s">
        <v>2810</v>
      </c>
      <c r="U426" s="65" t="s">
        <v>2927</v>
      </c>
      <c r="V426" s="65" t="s">
        <v>2928</v>
      </c>
      <c r="W426" s="65" t="s">
        <v>2465</v>
      </c>
      <c r="X426" s="65" t="s">
        <v>2466</v>
      </c>
      <c r="Y426" s="65" t="s">
        <v>1777</v>
      </c>
      <c r="Z426" s="65" t="s">
        <v>1360</v>
      </c>
      <c r="AA426" s="65" t="s">
        <v>2964</v>
      </c>
      <c r="AB426" s="65">
        <v>2</v>
      </c>
      <c r="AC426" s="65" t="s">
        <v>2172</v>
      </c>
      <c r="AD426" s="65" t="s">
        <v>2679</v>
      </c>
      <c r="AE426" s="65" t="s">
        <v>2965</v>
      </c>
      <c r="AF426" s="65" t="s">
        <v>1437</v>
      </c>
      <c r="AG426" s="65">
        <v>3</v>
      </c>
      <c r="AH426" s="65">
        <v>2</v>
      </c>
      <c r="AI426" s="65">
        <v>2</v>
      </c>
      <c r="AJ426" s="65">
        <v>2</v>
      </c>
      <c r="AK426" s="65" t="s">
        <v>353</v>
      </c>
      <c r="AL426" s="128">
        <v>45077</v>
      </c>
      <c r="AM426" s="65">
        <v>4</v>
      </c>
      <c r="AN426" s="65">
        <v>2</v>
      </c>
      <c r="AO426" s="65" t="s">
        <v>353</v>
      </c>
      <c r="AP426" s="65">
        <v>1</v>
      </c>
      <c r="AQ426" s="65" t="s">
        <v>355</v>
      </c>
      <c r="AR426" s="65" t="s">
        <v>202</v>
      </c>
      <c r="AS426" s="65">
        <v>1</v>
      </c>
      <c r="AT426" s="65">
        <v>1</v>
      </c>
      <c r="AU426" s="65" t="s">
        <v>1438</v>
      </c>
      <c r="AV426" s="65" t="s">
        <v>1439</v>
      </c>
      <c r="AW426" s="65" t="s">
        <v>202</v>
      </c>
      <c r="AX426" s="65" t="s">
        <v>202</v>
      </c>
      <c r="AY426" s="65" t="s">
        <v>353</v>
      </c>
    </row>
    <row r="427" spans="1:51" x14ac:dyDescent="0.2">
      <c r="A427" s="65" t="s">
        <v>1773</v>
      </c>
      <c r="B427" s="65" t="s">
        <v>633</v>
      </c>
      <c r="C427" s="65" t="s">
        <v>634</v>
      </c>
      <c r="D427" s="65" t="s">
        <v>2966</v>
      </c>
      <c r="E427" s="65" t="s">
        <v>353</v>
      </c>
      <c r="F427" s="65" t="s">
        <v>1775</v>
      </c>
      <c r="G427" s="65" t="s">
        <v>1776</v>
      </c>
      <c r="H427" s="65" t="s">
        <v>2918</v>
      </c>
      <c r="I427" s="65" t="s">
        <v>2919</v>
      </c>
      <c r="J427" s="65">
        <v>3144345006</v>
      </c>
      <c r="K427" s="65" t="s">
        <v>2956</v>
      </c>
      <c r="L427" s="65" t="s">
        <v>2957</v>
      </c>
      <c r="M427" s="65" t="s">
        <v>362</v>
      </c>
      <c r="N427" s="65" t="s">
        <v>2958</v>
      </c>
      <c r="O427" s="65" t="s">
        <v>2923</v>
      </c>
      <c r="P427" s="65" t="s">
        <v>2924</v>
      </c>
      <c r="Q427" s="65" t="s">
        <v>2925</v>
      </c>
      <c r="R427" s="65" t="s">
        <v>2926</v>
      </c>
      <c r="S427" s="65" t="s">
        <v>2810</v>
      </c>
      <c r="T427" s="65" t="s">
        <v>2810</v>
      </c>
      <c r="U427" s="65" t="s">
        <v>2927</v>
      </c>
      <c r="V427" s="65" t="s">
        <v>2928</v>
      </c>
      <c r="W427" s="65" t="s">
        <v>2465</v>
      </c>
      <c r="X427" s="65" t="s">
        <v>2466</v>
      </c>
      <c r="Y427" s="65" t="s">
        <v>634</v>
      </c>
      <c r="Z427" s="65" t="s">
        <v>1360</v>
      </c>
      <c r="AA427" s="65" t="s">
        <v>2967</v>
      </c>
      <c r="AB427" s="65">
        <v>2</v>
      </c>
      <c r="AC427" s="65" t="s">
        <v>2323</v>
      </c>
      <c r="AD427" s="65" t="s">
        <v>2164</v>
      </c>
      <c r="AE427" s="65" t="s">
        <v>2968</v>
      </c>
      <c r="AF427" s="65" t="s">
        <v>1437</v>
      </c>
      <c r="AG427" s="65">
        <v>3</v>
      </c>
      <c r="AH427" s="65">
        <v>0</v>
      </c>
      <c r="AI427" s="65">
        <v>2</v>
      </c>
      <c r="AJ427" s="65">
        <v>2</v>
      </c>
      <c r="AK427" s="65" t="s">
        <v>353</v>
      </c>
      <c r="AL427" s="128">
        <v>45031</v>
      </c>
      <c r="AM427" s="65">
        <v>4</v>
      </c>
      <c r="AN427" s="65">
        <v>2</v>
      </c>
      <c r="AO427" s="65" t="s">
        <v>202</v>
      </c>
      <c r="AP427" s="65">
        <v>2</v>
      </c>
      <c r="AQ427" s="65" t="s">
        <v>352</v>
      </c>
      <c r="AR427" s="65" t="s">
        <v>202</v>
      </c>
      <c r="AS427" s="65">
        <v>1</v>
      </c>
      <c r="AT427" s="65">
        <v>1</v>
      </c>
      <c r="AU427" s="65" t="s">
        <v>1529</v>
      </c>
      <c r="AV427" s="65" t="s">
        <v>1439</v>
      </c>
      <c r="AW427" s="65" t="s">
        <v>202</v>
      </c>
      <c r="AX427" s="65" t="s">
        <v>202</v>
      </c>
      <c r="AY427" s="65" t="s">
        <v>353</v>
      </c>
    </row>
    <row r="428" spans="1:51" x14ac:dyDescent="0.2">
      <c r="A428" s="65" t="s">
        <v>1773</v>
      </c>
      <c r="B428" s="65" t="s">
        <v>754</v>
      </c>
      <c r="C428" s="65" t="s">
        <v>755</v>
      </c>
      <c r="D428" s="65" t="s">
        <v>2969</v>
      </c>
      <c r="E428" s="65" t="s">
        <v>353</v>
      </c>
      <c r="F428" s="65" t="s">
        <v>1775</v>
      </c>
      <c r="G428" s="65" t="s">
        <v>1776</v>
      </c>
      <c r="H428" s="65" t="s">
        <v>2918</v>
      </c>
      <c r="I428" s="65" t="s">
        <v>2919</v>
      </c>
      <c r="J428" s="65">
        <v>3144345006</v>
      </c>
      <c r="K428" s="65" t="s">
        <v>2956</v>
      </c>
      <c r="L428" s="65" t="s">
        <v>2957</v>
      </c>
      <c r="M428" s="65" t="s">
        <v>362</v>
      </c>
      <c r="N428" s="65" t="s">
        <v>2958</v>
      </c>
      <c r="O428" s="65" t="s">
        <v>2923</v>
      </c>
      <c r="P428" s="65" t="s">
        <v>2924</v>
      </c>
      <c r="Q428" s="65" t="s">
        <v>2925</v>
      </c>
      <c r="R428" s="65" t="s">
        <v>2926</v>
      </c>
      <c r="S428" s="65" t="s">
        <v>2810</v>
      </c>
      <c r="T428" s="65" t="s">
        <v>2810</v>
      </c>
      <c r="U428" s="65" t="s">
        <v>2927</v>
      </c>
      <c r="V428" s="65" t="s">
        <v>2928</v>
      </c>
      <c r="W428" s="65" t="s">
        <v>2465</v>
      </c>
      <c r="X428" s="65" t="s">
        <v>2466</v>
      </c>
      <c r="Y428" s="65" t="s">
        <v>755</v>
      </c>
      <c r="Z428" s="65" t="s">
        <v>1360</v>
      </c>
      <c r="AA428" s="65" t="s">
        <v>2970</v>
      </c>
      <c r="AB428" s="65">
        <v>3</v>
      </c>
      <c r="AC428" s="65" t="s">
        <v>2971</v>
      </c>
      <c r="AD428" s="65" t="s">
        <v>2314</v>
      </c>
      <c r="AE428" s="65" t="s">
        <v>2972</v>
      </c>
      <c r="AF428" s="65" t="s">
        <v>1437</v>
      </c>
      <c r="AG428" s="65">
        <v>1</v>
      </c>
      <c r="AH428" s="65">
        <v>1</v>
      </c>
      <c r="AI428" s="65">
        <v>2</v>
      </c>
      <c r="AJ428" s="65">
        <v>2</v>
      </c>
      <c r="AK428" s="65" t="s">
        <v>353</v>
      </c>
      <c r="AL428" s="128">
        <v>45030</v>
      </c>
      <c r="AM428" s="65">
        <v>4</v>
      </c>
      <c r="AN428" s="65">
        <v>2</v>
      </c>
      <c r="AO428" s="65" t="s">
        <v>202</v>
      </c>
      <c r="AP428" s="65">
        <v>1</v>
      </c>
      <c r="AQ428" s="65" t="s">
        <v>355</v>
      </c>
      <c r="AR428" s="65" t="s">
        <v>202</v>
      </c>
      <c r="AS428" s="65">
        <v>1</v>
      </c>
      <c r="AT428" s="65">
        <v>1</v>
      </c>
      <c r="AU428" s="65" t="s">
        <v>1529</v>
      </c>
      <c r="AV428" s="65" t="s">
        <v>1439</v>
      </c>
      <c r="AW428" s="65" t="s">
        <v>202</v>
      </c>
      <c r="AX428" s="65" t="s">
        <v>202</v>
      </c>
      <c r="AY428" s="65" t="s">
        <v>202</v>
      </c>
    </row>
    <row r="429" spans="1:51" x14ac:dyDescent="0.2">
      <c r="A429" s="65" t="s">
        <v>1773</v>
      </c>
      <c r="B429" s="65" t="s">
        <v>869</v>
      </c>
      <c r="C429" s="65" t="s">
        <v>870</v>
      </c>
      <c r="D429" s="65" t="s">
        <v>2973</v>
      </c>
      <c r="E429" s="65" t="s">
        <v>353</v>
      </c>
      <c r="F429" s="65" t="s">
        <v>1775</v>
      </c>
      <c r="G429" s="65" t="s">
        <v>1776</v>
      </c>
      <c r="H429" s="65" t="s">
        <v>2918</v>
      </c>
      <c r="I429" s="65" t="s">
        <v>2919</v>
      </c>
      <c r="J429" s="65">
        <v>3144345006</v>
      </c>
      <c r="K429" s="65" t="s">
        <v>2956</v>
      </c>
      <c r="L429" s="65" t="s">
        <v>2957</v>
      </c>
      <c r="M429" s="65" t="s">
        <v>362</v>
      </c>
      <c r="N429" s="65" t="s">
        <v>2958</v>
      </c>
      <c r="O429" s="65" t="s">
        <v>2923</v>
      </c>
      <c r="P429" s="65" t="s">
        <v>2924</v>
      </c>
      <c r="Q429" s="65" t="s">
        <v>2925</v>
      </c>
      <c r="R429" s="65" t="s">
        <v>2926</v>
      </c>
      <c r="S429" s="65" t="s">
        <v>2810</v>
      </c>
      <c r="T429" s="65" t="s">
        <v>2810</v>
      </c>
      <c r="U429" s="65" t="s">
        <v>2927</v>
      </c>
      <c r="V429" s="65" t="s">
        <v>2928</v>
      </c>
      <c r="W429" s="65" t="s">
        <v>2465</v>
      </c>
      <c r="X429" s="65" t="s">
        <v>2466</v>
      </c>
      <c r="Y429" s="65" t="s">
        <v>2959</v>
      </c>
      <c r="Z429" s="65" t="s">
        <v>1360</v>
      </c>
      <c r="AA429" s="65" t="s">
        <v>2974</v>
      </c>
      <c r="AB429" s="65">
        <v>2</v>
      </c>
      <c r="AC429" s="65" t="s">
        <v>1604</v>
      </c>
      <c r="AD429" s="65" t="s">
        <v>1435</v>
      </c>
      <c r="AE429" s="65" t="s">
        <v>2975</v>
      </c>
      <c r="AF429" s="65" t="s">
        <v>2253</v>
      </c>
      <c r="AG429" s="65">
        <v>3</v>
      </c>
      <c r="AH429" s="65">
        <v>3</v>
      </c>
      <c r="AI429" s="65">
        <v>2</v>
      </c>
      <c r="AJ429" s="65">
        <v>2</v>
      </c>
      <c r="AK429" s="65" t="s">
        <v>202</v>
      </c>
      <c r="AL429" s="128">
        <v>45034</v>
      </c>
      <c r="AM429" s="65">
        <v>4</v>
      </c>
      <c r="AN429" s="65">
        <v>2</v>
      </c>
      <c r="AO429" s="65" t="s">
        <v>202</v>
      </c>
      <c r="AP429" s="65">
        <v>2</v>
      </c>
      <c r="AQ429" s="65" t="s">
        <v>352</v>
      </c>
      <c r="AR429" s="65" t="s">
        <v>202</v>
      </c>
      <c r="AS429" s="65">
        <v>1</v>
      </c>
      <c r="AT429" s="65">
        <v>1</v>
      </c>
      <c r="AU429" s="65" t="s">
        <v>1438</v>
      </c>
      <c r="AV429" s="65" t="s">
        <v>1439</v>
      </c>
      <c r="AW429" s="65" t="s">
        <v>202</v>
      </c>
      <c r="AX429" s="65" t="s">
        <v>202</v>
      </c>
      <c r="AY429" s="65" t="s">
        <v>202</v>
      </c>
    </row>
    <row r="430" spans="1:51" x14ac:dyDescent="0.2">
      <c r="A430" s="65" t="s">
        <v>1773</v>
      </c>
      <c r="B430" s="65" t="s">
        <v>635</v>
      </c>
      <c r="C430" s="65" t="s">
        <v>636</v>
      </c>
      <c r="D430" s="65" t="s">
        <v>2976</v>
      </c>
      <c r="E430" s="65" t="s">
        <v>353</v>
      </c>
      <c r="F430" s="65" t="s">
        <v>1775</v>
      </c>
      <c r="G430" s="65" t="s">
        <v>1776</v>
      </c>
      <c r="H430" s="65" t="s">
        <v>2918</v>
      </c>
      <c r="I430" s="65" t="s">
        <v>2919</v>
      </c>
      <c r="J430" s="65">
        <v>3144345006</v>
      </c>
      <c r="K430" s="65" t="s">
        <v>2956</v>
      </c>
      <c r="L430" s="65" t="s">
        <v>2957</v>
      </c>
      <c r="M430" s="65" t="s">
        <v>362</v>
      </c>
      <c r="N430" s="65" t="s">
        <v>2958</v>
      </c>
      <c r="O430" s="65" t="s">
        <v>2923</v>
      </c>
      <c r="P430" s="65" t="s">
        <v>2924</v>
      </c>
      <c r="Q430" s="65" t="s">
        <v>2925</v>
      </c>
      <c r="R430" s="65" t="s">
        <v>2926</v>
      </c>
      <c r="S430" s="65" t="s">
        <v>2810</v>
      </c>
      <c r="T430" s="65" t="s">
        <v>2810</v>
      </c>
      <c r="U430" s="65" t="s">
        <v>2927</v>
      </c>
      <c r="V430" s="65" t="s">
        <v>2928</v>
      </c>
      <c r="W430" s="65" t="s">
        <v>2465</v>
      </c>
      <c r="X430" s="65" t="s">
        <v>2466</v>
      </c>
      <c r="Y430" s="65" t="s">
        <v>1777</v>
      </c>
      <c r="Z430" s="65" t="s">
        <v>1360</v>
      </c>
      <c r="AA430" s="65" t="s">
        <v>2977</v>
      </c>
      <c r="AB430" s="65">
        <v>2</v>
      </c>
      <c r="AC430" s="65" t="s">
        <v>2300</v>
      </c>
      <c r="AD430" s="65" t="s">
        <v>2735</v>
      </c>
      <c r="AE430" s="65" t="s">
        <v>2978</v>
      </c>
      <c r="AF430" s="65" t="s">
        <v>1437</v>
      </c>
      <c r="AG430" s="65">
        <v>0</v>
      </c>
      <c r="AH430" s="65">
        <v>0</v>
      </c>
      <c r="AI430" s="65">
        <v>2</v>
      </c>
      <c r="AJ430" s="65">
        <v>2</v>
      </c>
      <c r="AK430" s="65" t="s">
        <v>202</v>
      </c>
      <c r="AL430" s="128">
        <v>45073</v>
      </c>
      <c r="AM430" s="65">
        <v>3</v>
      </c>
      <c r="AN430" s="65">
        <v>2</v>
      </c>
      <c r="AO430" s="65" t="s">
        <v>353</v>
      </c>
      <c r="AP430" s="65">
        <v>1</v>
      </c>
      <c r="AQ430" s="65" t="s">
        <v>355</v>
      </c>
      <c r="AR430" s="65" t="s">
        <v>202</v>
      </c>
      <c r="AS430" s="65">
        <v>1</v>
      </c>
      <c r="AT430" s="65">
        <v>1</v>
      </c>
      <c r="AU430" s="65" t="s">
        <v>1529</v>
      </c>
      <c r="AV430" s="65" t="s">
        <v>1439</v>
      </c>
      <c r="AW430" s="65" t="s">
        <v>202</v>
      </c>
      <c r="AX430" s="65" t="s">
        <v>202</v>
      </c>
      <c r="AY430" s="65" t="s">
        <v>202</v>
      </c>
    </row>
    <row r="431" spans="1:51" x14ac:dyDescent="0.2">
      <c r="A431" s="65" t="s">
        <v>1773</v>
      </c>
      <c r="B431" s="65" t="s">
        <v>824</v>
      </c>
      <c r="C431" s="65" t="s">
        <v>825</v>
      </c>
      <c r="D431" s="65" t="s">
        <v>2979</v>
      </c>
      <c r="E431" s="65" t="s">
        <v>353</v>
      </c>
      <c r="F431" s="65" t="s">
        <v>1775</v>
      </c>
      <c r="G431" s="65" t="s">
        <v>1776</v>
      </c>
      <c r="H431" s="65" t="s">
        <v>2918</v>
      </c>
      <c r="I431" s="65" t="s">
        <v>2919</v>
      </c>
      <c r="J431" s="65">
        <v>3144345006</v>
      </c>
      <c r="K431" s="65" t="s">
        <v>2956</v>
      </c>
      <c r="L431" s="65" t="s">
        <v>2957</v>
      </c>
      <c r="M431" s="65" t="s">
        <v>362</v>
      </c>
      <c r="N431" s="65" t="s">
        <v>2958</v>
      </c>
      <c r="O431" s="65" t="s">
        <v>2923</v>
      </c>
      <c r="P431" s="65" t="s">
        <v>2924</v>
      </c>
      <c r="Q431" s="65" t="s">
        <v>2925</v>
      </c>
      <c r="R431" s="65" t="s">
        <v>2926</v>
      </c>
      <c r="S431" s="65" t="s">
        <v>2810</v>
      </c>
      <c r="T431" s="65" t="s">
        <v>2810</v>
      </c>
      <c r="U431" s="65" t="s">
        <v>2927</v>
      </c>
      <c r="V431" s="65" t="s">
        <v>2928</v>
      </c>
      <c r="W431" s="65" t="s">
        <v>2465</v>
      </c>
      <c r="X431" s="65" t="s">
        <v>2466</v>
      </c>
      <c r="Y431" s="65" t="s">
        <v>418</v>
      </c>
      <c r="Z431" s="65" t="s">
        <v>1360</v>
      </c>
      <c r="AA431" s="65" t="s">
        <v>2980</v>
      </c>
      <c r="AB431" s="65">
        <v>2</v>
      </c>
      <c r="AC431" s="65" t="s">
        <v>2611</v>
      </c>
      <c r="AD431" s="65" t="s">
        <v>2981</v>
      </c>
      <c r="AE431" s="65" t="s">
        <v>2982</v>
      </c>
      <c r="AF431" s="65" t="s">
        <v>1446</v>
      </c>
      <c r="AG431" s="65">
        <v>2</v>
      </c>
      <c r="AH431" s="65">
        <v>2</v>
      </c>
      <c r="AI431" s="65">
        <v>2</v>
      </c>
      <c r="AJ431" s="65">
        <v>2</v>
      </c>
      <c r="AK431" s="65" t="s">
        <v>202</v>
      </c>
      <c r="AL431" s="128">
        <v>45051</v>
      </c>
      <c r="AM431" s="65">
        <v>3</v>
      </c>
      <c r="AN431" s="65">
        <v>2</v>
      </c>
      <c r="AO431" s="65" t="s">
        <v>202</v>
      </c>
      <c r="AP431" s="65">
        <v>2</v>
      </c>
      <c r="AQ431" s="65" t="s">
        <v>352</v>
      </c>
      <c r="AR431" s="65" t="s">
        <v>202</v>
      </c>
      <c r="AS431" s="65">
        <v>1</v>
      </c>
      <c r="AT431" s="65">
        <v>1</v>
      </c>
      <c r="AU431" s="65" t="s">
        <v>1529</v>
      </c>
      <c r="AV431" s="65" t="s">
        <v>1439</v>
      </c>
      <c r="AW431" s="65" t="s">
        <v>202</v>
      </c>
      <c r="AX431" s="65" t="s">
        <v>202</v>
      </c>
      <c r="AY431" s="65" t="s">
        <v>202</v>
      </c>
    </row>
    <row r="432" spans="1:51" x14ac:dyDescent="0.2">
      <c r="A432" s="65" t="s">
        <v>1773</v>
      </c>
      <c r="B432" s="65" t="s">
        <v>873</v>
      </c>
      <c r="C432" s="65" t="s">
        <v>874</v>
      </c>
      <c r="D432" s="65" t="s">
        <v>2983</v>
      </c>
      <c r="E432" s="65" t="s">
        <v>353</v>
      </c>
      <c r="F432" s="65" t="s">
        <v>1775</v>
      </c>
      <c r="G432" s="65" t="s">
        <v>1776</v>
      </c>
      <c r="H432" s="65" t="s">
        <v>2918</v>
      </c>
      <c r="I432" s="65" t="s">
        <v>2919</v>
      </c>
      <c r="J432" s="65">
        <v>3144345006</v>
      </c>
      <c r="K432" s="65" t="s">
        <v>2984</v>
      </c>
      <c r="L432" s="65" t="s">
        <v>2985</v>
      </c>
      <c r="M432" s="65" t="s">
        <v>358</v>
      </c>
      <c r="N432" s="65" t="s">
        <v>2986</v>
      </c>
      <c r="O432" s="65" t="s">
        <v>2923</v>
      </c>
      <c r="P432" s="65" t="s">
        <v>2924</v>
      </c>
      <c r="Q432" s="65" t="s">
        <v>2925</v>
      </c>
      <c r="R432" s="65" t="s">
        <v>2926</v>
      </c>
      <c r="S432" s="65" t="s">
        <v>2810</v>
      </c>
      <c r="T432" s="65" t="s">
        <v>2810</v>
      </c>
      <c r="U432" s="65" t="s">
        <v>2927</v>
      </c>
      <c r="V432" s="65" t="s">
        <v>2928</v>
      </c>
      <c r="W432" s="65" t="s">
        <v>2465</v>
      </c>
      <c r="X432" s="65" t="s">
        <v>2466</v>
      </c>
      <c r="Y432" s="65" t="s">
        <v>874</v>
      </c>
      <c r="Z432" s="65" t="s">
        <v>1360</v>
      </c>
      <c r="AA432" s="65" t="s">
        <v>2987</v>
      </c>
      <c r="AB432" s="65">
        <v>3</v>
      </c>
      <c r="AC432" s="65" t="s">
        <v>1559</v>
      </c>
      <c r="AD432" s="65" t="s">
        <v>2988</v>
      </c>
      <c r="AE432" s="65" t="s">
        <v>2989</v>
      </c>
      <c r="AF432" s="65" t="s">
        <v>1437</v>
      </c>
      <c r="AG432" s="65">
        <v>1</v>
      </c>
      <c r="AH432" s="65">
        <v>3</v>
      </c>
      <c r="AI432" s="65">
        <v>2</v>
      </c>
      <c r="AJ432" s="65">
        <v>0</v>
      </c>
      <c r="AK432" s="65" t="s">
        <v>353</v>
      </c>
      <c r="AL432" s="128">
        <v>45071</v>
      </c>
      <c r="AM432" s="65">
        <v>4</v>
      </c>
      <c r="AN432" s="65">
        <v>1</v>
      </c>
      <c r="AO432" s="65" t="s">
        <v>202</v>
      </c>
      <c r="AP432" s="65">
        <v>1</v>
      </c>
      <c r="AQ432" s="65" t="s">
        <v>352</v>
      </c>
      <c r="AR432" s="65" t="s">
        <v>202</v>
      </c>
      <c r="AS432" s="65">
        <v>1</v>
      </c>
      <c r="AT432" s="65">
        <v>1</v>
      </c>
      <c r="AU432" s="65" t="s">
        <v>1529</v>
      </c>
      <c r="AV432" s="65" t="s">
        <v>1439</v>
      </c>
      <c r="AW432" s="65" t="s">
        <v>202</v>
      </c>
      <c r="AX432" s="65" t="s">
        <v>202</v>
      </c>
      <c r="AY432" s="65" t="s">
        <v>202</v>
      </c>
    </row>
    <row r="433" spans="1:51" x14ac:dyDescent="0.2">
      <c r="A433" s="65" t="s">
        <v>1773</v>
      </c>
      <c r="B433" s="65" t="s">
        <v>846</v>
      </c>
      <c r="C433" s="65" t="s">
        <v>847</v>
      </c>
      <c r="D433" s="65" t="s">
        <v>2990</v>
      </c>
      <c r="E433" s="65" t="s">
        <v>353</v>
      </c>
      <c r="F433" s="65" t="s">
        <v>1775</v>
      </c>
      <c r="G433" s="65" t="s">
        <v>1776</v>
      </c>
      <c r="H433" s="65" t="s">
        <v>2918</v>
      </c>
      <c r="I433" s="65" t="s">
        <v>2919</v>
      </c>
      <c r="J433" s="65">
        <v>3144345006</v>
      </c>
      <c r="K433" s="65" t="s">
        <v>2984</v>
      </c>
      <c r="L433" s="65" t="s">
        <v>2985</v>
      </c>
      <c r="M433" s="65" t="s">
        <v>358</v>
      </c>
      <c r="N433" s="65" t="s">
        <v>2986</v>
      </c>
      <c r="O433" s="65" t="s">
        <v>2923</v>
      </c>
      <c r="P433" s="65" t="s">
        <v>2924</v>
      </c>
      <c r="Q433" s="65" t="s">
        <v>2925</v>
      </c>
      <c r="R433" s="65" t="s">
        <v>2926</v>
      </c>
      <c r="S433" s="65" t="s">
        <v>2810</v>
      </c>
      <c r="T433" s="65" t="s">
        <v>2810</v>
      </c>
      <c r="U433" s="65" t="s">
        <v>2927</v>
      </c>
      <c r="V433" s="65" t="s">
        <v>2928</v>
      </c>
      <c r="W433" s="65" t="s">
        <v>2465</v>
      </c>
      <c r="X433" s="65" t="s">
        <v>2466</v>
      </c>
      <c r="Y433" s="65" t="s">
        <v>2991</v>
      </c>
      <c r="Z433" s="65" t="s">
        <v>1360</v>
      </c>
      <c r="AA433" s="65" t="s">
        <v>2992</v>
      </c>
      <c r="AB433" s="65">
        <v>2</v>
      </c>
      <c r="AC433" s="65" t="s">
        <v>2993</v>
      </c>
      <c r="AD433" s="65" t="s">
        <v>2735</v>
      </c>
      <c r="AE433" s="65" t="s">
        <v>2994</v>
      </c>
      <c r="AF433" s="65" t="s">
        <v>1437</v>
      </c>
      <c r="AG433" s="65">
        <v>3</v>
      </c>
      <c r="AH433" s="65">
        <v>2</v>
      </c>
      <c r="AI433" s="65">
        <v>2</v>
      </c>
      <c r="AJ433" s="65">
        <v>0</v>
      </c>
      <c r="AK433" s="65" t="s">
        <v>353</v>
      </c>
      <c r="AL433" s="128">
        <v>45034</v>
      </c>
      <c r="AM433" s="65">
        <v>4</v>
      </c>
      <c r="AN433" s="65">
        <v>2</v>
      </c>
      <c r="AO433" s="65" t="s">
        <v>353</v>
      </c>
      <c r="AP433" s="65">
        <v>1</v>
      </c>
      <c r="AQ433" s="65" t="s">
        <v>355</v>
      </c>
      <c r="AR433" s="65" t="s">
        <v>202</v>
      </c>
      <c r="AS433" s="65">
        <v>1</v>
      </c>
      <c r="AT433" s="65">
        <v>1</v>
      </c>
      <c r="AU433" s="65" t="s">
        <v>1529</v>
      </c>
      <c r="AV433" s="65" t="s">
        <v>1439</v>
      </c>
      <c r="AW433" s="65" t="s">
        <v>202</v>
      </c>
      <c r="AX433" s="65" t="s">
        <v>202</v>
      </c>
      <c r="AY433" s="65" t="s">
        <v>202</v>
      </c>
    </row>
    <row r="434" spans="1:51" x14ac:dyDescent="0.2">
      <c r="A434" s="65" t="s">
        <v>1773</v>
      </c>
      <c r="B434" s="65" t="s">
        <v>826</v>
      </c>
      <c r="C434" s="65" t="s">
        <v>827</v>
      </c>
      <c r="D434" s="65" t="s">
        <v>2995</v>
      </c>
      <c r="E434" s="65" t="s">
        <v>353</v>
      </c>
      <c r="F434" s="65" t="s">
        <v>1775</v>
      </c>
      <c r="G434" s="65" t="s">
        <v>1776</v>
      </c>
      <c r="H434" s="65" t="s">
        <v>2918</v>
      </c>
      <c r="I434" s="65" t="s">
        <v>2919</v>
      </c>
      <c r="J434" s="65">
        <v>3144345006</v>
      </c>
      <c r="K434" s="65" t="s">
        <v>2984</v>
      </c>
      <c r="L434" s="65" t="s">
        <v>2985</v>
      </c>
      <c r="M434" s="65" t="s">
        <v>358</v>
      </c>
      <c r="N434" s="65" t="s">
        <v>2986</v>
      </c>
      <c r="O434" s="65" t="s">
        <v>2923</v>
      </c>
      <c r="P434" s="65" t="s">
        <v>2924</v>
      </c>
      <c r="Q434" s="65" t="s">
        <v>2925</v>
      </c>
      <c r="R434" s="65" t="s">
        <v>2926</v>
      </c>
      <c r="S434" s="65" t="s">
        <v>2810</v>
      </c>
      <c r="T434" s="65" t="s">
        <v>2810</v>
      </c>
      <c r="U434" s="65" t="s">
        <v>2927</v>
      </c>
      <c r="V434" s="65" t="s">
        <v>2928</v>
      </c>
      <c r="W434" s="65" t="s">
        <v>2465</v>
      </c>
      <c r="X434" s="65" t="s">
        <v>2466</v>
      </c>
      <c r="Y434" s="65" t="s">
        <v>827</v>
      </c>
      <c r="Z434" s="65" t="s">
        <v>1360</v>
      </c>
      <c r="AA434" s="65" t="s">
        <v>2996</v>
      </c>
      <c r="AB434" s="65">
        <v>3</v>
      </c>
      <c r="AC434" s="65" t="s">
        <v>1494</v>
      </c>
      <c r="AD434" s="65" t="s">
        <v>2997</v>
      </c>
      <c r="AE434" s="65" t="s">
        <v>2998</v>
      </c>
      <c r="AF434" s="65" t="s">
        <v>1446</v>
      </c>
      <c r="AG434" s="65">
        <v>2</v>
      </c>
      <c r="AH434" s="65">
        <v>2</v>
      </c>
      <c r="AI434" s="65">
        <v>2</v>
      </c>
      <c r="AJ434" s="65">
        <v>0</v>
      </c>
      <c r="AK434" s="65" t="s">
        <v>353</v>
      </c>
      <c r="AL434" s="128">
        <v>45073</v>
      </c>
      <c r="AM434" s="65">
        <v>3</v>
      </c>
      <c r="AN434" s="65">
        <v>2</v>
      </c>
      <c r="AO434" s="65" t="s">
        <v>202</v>
      </c>
      <c r="AP434" s="65">
        <v>1</v>
      </c>
      <c r="AQ434" s="65" t="s">
        <v>352</v>
      </c>
      <c r="AR434" s="65" t="s">
        <v>202</v>
      </c>
      <c r="AS434" s="65">
        <v>1</v>
      </c>
      <c r="AT434" s="65">
        <v>1</v>
      </c>
      <c r="AU434" s="65" t="s">
        <v>1529</v>
      </c>
      <c r="AV434" s="65" t="s">
        <v>1439</v>
      </c>
      <c r="AW434" s="65" t="s">
        <v>202</v>
      </c>
      <c r="AX434" s="65" t="s">
        <v>202</v>
      </c>
      <c r="AY434" s="65" t="s">
        <v>202</v>
      </c>
    </row>
    <row r="435" spans="1:51" x14ac:dyDescent="0.2">
      <c r="A435" s="65" t="s">
        <v>1773</v>
      </c>
      <c r="B435" s="65" t="s">
        <v>875</v>
      </c>
      <c r="C435" s="65" t="s">
        <v>876</v>
      </c>
      <c r="D435" s="65" t="s">
        <v>2999</v>
      </c>
      <c r="E435" s="65" t="s">
        <v>353</v>
      </c>
      <c r="F435" s="65" t="s">
        <v>1775</v>
      </c>
      <c r="G435" s="65" t="s">
        <v>1776</v>
      </c>
      <c r="H435" s="65" t="s">
        <v>2918</v>
      </c>
      <c r="I435" s="65" t="s">
        <v>2919</v>
      </c>
      <c r="J435" s="65">
        <v>3144345006</v>
      </c>
      <c r="K435" s="65" t="s">
        <v>2984</v>
      </c>
      <c r="L435" s="65" t="s">
        <v>2985</v>
      </c>
      <c r="M435" s="65" t="s">
        <v>358</v>
      </c>
      <c r="N435" s="65" t="s">
        <v>2986</v>
      </c>
      <c r="O435" s="65" t="s">
        <v>2923</v>
      </c>
      <c r="P435" s="65" t="s">
        <v>2924</v>
      </c>
      <c r="Q435" s="65" t="s">
        <v>2925</v>
      </c>
      <c r="R435" s="65" t="s">
        <v>2926</v>
      </c>
      <c r="S435" s="65" t="s">
        <v>2810</v>
      </c>
      <c r="T435" s="65" t="s">
        <v>2810</v>
      </c>
      <c r="U435" s="65" t="s">
        <v>2927</v>
      </c>
      <c r="V435" s="65" t="s">
        <v>2928</v>
      </c>
      <c r="W435" s="65" t="s">
        <v>2465</v>
      </c>
      <c r="X435" s="65" t="s">
        <v>2466</v>
      </c>
      <c r="Y435" s="65" t="s">
        <v>3000</v>
      </c>
      <c r="Z435" s="65" t="s">
        <v>1360</v>
      </c>
      <c r="AA435" s="65" t="s">
        <v>3001</v>
      </c>
      <c r="AB435" s="65">
        <v>2</v>
      </c>
      <c r="AC435" s="65" t="s">
        <v>2101</v>
      </c>
      <c r="AD435" s="65" t="s">
        <v>2782</v>
      </c>
      <c r="AE435" s="65" t="s">
        <v>3002</v>
      </c>
      <c r="AF435" s="65" t="s">
        <v>1437</v>
      </c>
      <c r="AG435" s="65">
        <v>3</v>
      </c>
      <c r="AH435" s="65">
        <v>3</v>
      </c>
      <c r="AI435" s="65">
        <v>2</v>
      </c>
      <c r="AJ435" s="65">
        <v>1</v>
      </c>
      <c r="AK435" s="65" t="s">
        <v>353</v>
      </c>
      <c r="AL435" s="128">
        <v>45062</v>
      </c>
      <c r="AM435" s="65">
        <v>3</v>
      </c>
      <c r="AN435" s="65">
        <v>2</v>
      </c>
      <c r="AO435" s="65" t="s">
        <v>353</v>
      </c>
      <c r="AP435" s="65">
        <v>1</v>
      </c>
      <c r="AQ435" s="65" t="s">
        <v>352</v>
      </c>
      <c r="AR435" s="65" t="s">
        <v>202</v>
      </c>
      <c r="AS435" s="65">
        <v>1</v>
      </c>
      <c r="AT435" s="65">
        <v>1</v>
      </c>
      <c r="AU435" s="65" t="s">
        <v>1529</v>
      </c>
      <c r="AV435" s="65" t="s">
        <v>1439</v>
      </c>
      <c r="AW435" s="65" t="s">
        <v>202</v>
      </c>
      <c r="AX435" s="65" t="s">
        <v>202</v>
      </c>
      <c r="AY435" s="65" t="s">
        <v>202</v>
      </c>
    </row>
    <row r="436" spans="1:51" x14ac:dyDescent="0.2">
      <c r="A436" s="65" t="s">
        <v>1773</v>
      </c>
      <c r="B436" s="65" t="s">
        <v>637</v>
      </c>
      <c r="C436" s="65" t="s">
        <v>638</v>
      </c>
      <c r="D436" s="65" t="s">
        <v>3003</v>
      </c>
      <c r="E436" s="65" t="s">
        <v>353</v>
      </c>
      <c r="F436" s="65" t="s">
        <v>1775</v>
      </c>
      <c r="G436" s="65" t="s">
        <v>1776</v>
      </c>
      <c r="H436" s="65" t="s">
        <v>2918</v>
      </c>
      <c r="I436" s="65" t="s">
        <v>2919</v>
      </c>
      <c r="J436" s="65">
        <v>3144345006</v>
      </c>
      <c r="K436" s="65" t="s">
        <v>2984</v>
      </c>
      <c r="L436" s="65" t="s">
        <v>2985</v>
      </c>
      <c r="M436" s="65" t="s">
        <v>358</v>
      </c>
      <c r="N436" s="65" t="s">
        <v>2986</v>
      </c>
      <c r="O436" s="65" t="s">
        <v>2923</v>
      </c>
      <c r="P436" s="65" t="s">
        <v>2924</v>
      </c>
      <c r="Q436" s="65" t="s">
        <v>2925</v>
      </c>
      <c r="R436" s="65" t="s">
        <v>2926</v>
      </c>
      <c r="S436" s="65" t="s">
        <v>2810</v>
      </c>
      <c r="T436" s="65" t="s">
        <v>2810</v>
      </c>
      <c r="U436" s="65" t="s">
        <v>2927</v>
      </c>
      <c r="V436" s="65" t="s">
        <v>2928</v>
      </c>
      <c r="W436" s="65" t="s">
        <v>2465</v>
      </c>
      <c r="X436" s="65" t="s">
        <v>2466</v>
      </c>
      <c r="Y436" s="65" t="s">
        <v>638</v>
      </c>
      <c r="Z436" s="65" t="s">
        <v>1360</v>
      </c>
      <c r="AA436" s="65" t="s">
        <v>3004</v>
      </c>
      <c r="AB436" s="65">
        <v>2</v>
      </c>
      <c r="AC436" s="65" t="s">
        <v>2611</v>
      </c>
      <c r="AD436" s="65" t="s">
        <v>3005</v>
      </c>
      <c r="AE436" s="65" t="s">
        <v>3006</v>
      </c>
      <c r="AF436" s="65" t="s">
        <v>1446</v>
      </c>
      <c r="AG436" s="65">
        <v>2</v>
      </c>
      <c r="AH436" s="65">
        <v>0</v>
      </c>
      <c r="AI436" s="65">
        <v>2</v>
      </c>
      <c r="AJ436" s="65">
        <v>1</v>
      </c>
      <c r="AK436" s="65" t="s">
        <v>202</v>
      </c>
      <c r="AL436" s="128">
        <v>45036</v>
      </c>
      <c r="AM436" s="65">
        <v>3</v>
      </c>
      <c r="AN436" s="65">
        <v>1</v>
      </c>
      <c r="AO436" s="65" t="s">
        <v>353</v>
      </c>
      <c r="AP436" s="65">
        <v>1</v>
      </c>
      <c r="AQ436" s="65" t="s">
        <v>352</v>
      </c>
      <c r="AR436" s="65" t="s">
        <v>202</v>
      </c>
      <c r="AS436" s="65">
        <v>1</v>
      </c>
      <c r="AT436" s="65">
        <v>1</v>
      </c>
      <c r="AU436" s="65" t="s">
        <v>1529</v>
      </c>
      <c r="AV436" s="65" t="s">
        <v>1439</v>
      </c>
      <c r="AW436" s="65" t="s">
        <v>202</v>
      </c>
      <c r="AX436" s="65" t="s">
        <v>202</v>
      </c>
      <c r="AY436" s="65" t="s">
        <v>202</v>
      </c>
    </row>
    <row r="437" spans="1:51" x14ac:dyDescent="0.2">
      <c r="A437" s="65" t="s">
        <v>1773</v>
      </c>
      <c r="B437" s="65" t="s">
        <v>885</v>
      </c>
      <c r="C437" s="65" t="s">
        <v>886</v>
      </c>
      <c r="D437" s="65" t="s">
        <v>3007</v>
      </c>
      <c r="E437" s="65" t="s">
        <v>353</v>
      </c>
      <c r="F437" s="65" t="s">
        <v>1775</v>
      </c>
      <c r="G437" s="65" t="s">
        <v>1776</v>
      </c>
      <c r="H437" s="65" t="s">
        <v>2918</v>
      </c>
      <c r="I437" s="65" t="s">
        <v>2919</v>
      </c>
      <c r="J437" s="65">
        <v>3144345006</v>
      </c>
      <c r="K437" s="65" t="s">
        <v>2984</v>
      </c>
      <c r="L437" s="65" t="s">
        <v>2985</v>
      </c>
      <c r="M437" s="65" t="s">
        <v>358</v>
      </c>
      <c r="N437" s="65" t="s">
        <v>2986</v>
      </c>
      <c r="O437" s="65" t="s">
        <v>2923</v>
      </c>
      <c r="P437" s="65" t="s">
        <v>2924</v>
      </c>
      <c r="Q437" s="65" t="s">
        <v>2925</v>
      </c>
      <c r="R437" s="65" t="s">
        <v>2926</v>
      </c>
      <c r="S437" s="65" t="s">
        <v>2810</v>
      </c>
      <c r="T437" s="65" t="s">
        <v>2810</v>
      </c>
      <c r="U437" s="65" t="s">
        <v>2927</v>
      </c>
      <c r="V437" s="65" t="s">
        <v>2928</v>
      </c>
      <c r="W437" s="65" t="s">
        <v>2465</v>
      </c>
      <c r="X437" s="65" t="s">
        <v>2466</v>
      </c>
      <c r="Y437" s="65" t="s">
        <v>886</v>
      </c>
      <c r="Z437" s="65" t="s">
        <v>1360</v>
      </c>
      <c r="AA437" s="65" t="s">
        <v>3008</v>
      </c>
      <c r="AB437" s="65">
        <v>2</v>
      </c>
      <c r="AC437" s="65" t="s">
        <v>1598</v>
      </c>
      <c r="AD437" s="65" t="s">
        <v>2671</v>
      </c>
      <c r="AE437" s="65" t="s">
        <v>3009</v>
      </c>
      <c r="AF437" s="65" t="s">
        <v>1437</v>
      </c>
      <c r="AG437" s="65">
        <v>4</v>
      </c>
      <c r="AH437" s="65">
        <v>4</v>
      </c>
      <c r="AI437" s="65">
        <v>2</v>
      </c>
      <c r="AJ437" s="65">
        <v>2</v>
      </c>
      <c r="AK437" s="65" t="s">
        <v>353</v>
      </c>
      <c r="AL437" s="128">
        <v>45034</v>
      </c>
      <c r="AM437" s="65">
        <v>4</v>
      </c>
      <c r="AN437" s="65">
        <v>2</v>
      </c>
      <c r="AO437" s="65" t="s">
        <v>353</v>
      </c>
      <c r="AP437" s="65">
        <v>1</v>
      </c>
      <c r="AQ437" s="65" t="s">
        <v>352</v>
      </c>
      <c r="AR437" s="65" t="s">
        <v>202</v>
      </c>
      <c r="AS437" s="65">
        <v>1</v>
      </c>
      <c r="AT437" s="65">
        <v>1</v>
      </c>
      <c r="AU437" s="65" t="s">
        <v>1529</v>
      </c>
      <c r="AV437" s="65" t="s">
        <v>1439</v>
      </c>
      <c r="AW437" s="65" t="s">
        <v>202</v>
      </c>
      <c r="AX437" s="65" t="s">
        <v>202</v>
      </c>
      <c r="AY437" s="65" t="s">
        <v>353</v>
      </c>
    </row>
    <row r="438" spans="1:51" x14ac:dyDescent="0.2">
      <c r="A438" s="65" t="s">
        <v>1773</v>
      </c>
      <c r="B438" s="65" t="s">
        <v>764</v>
      </c>
      <c r="C438" s="65" t="s">
        <v>765</v>
      </c>
      <c r="D438" s="65" t="s">
        <v>3010</v>
      </c>
      <c r="E438" s="65" t="s">
        <v>353</v>
      </c>
      <c r="F438" s="65" t="s">
        <v>1775</v>
      </c>
      <c r="G438" s="65" t="s">
        <v>1776</v>
      </c>
      <c r="H438" s="65" t="s">
        <v>2918</v>
      </c>
      <c r="I438" s="65" t="s">
        <v>2919</v>
      </c>
      <c r="J438" s="65">
        <v>3144345006</v>
      </c>
      <c r="K438" s="65" t="s">
        <v>2984</v>
      </c>
      <c r="L438" s="65" t="s">
        <v>2985</v>
      </c>
      <c r="M438" s="65" t="s">
        <v>358</v>
      </c>
      <c r="N438" s="65" t="s">
        <v>2986</v>
      </c>
      <c r="O438" s="65" t="s">
        <v>2923</v>
      </c>
      <c r="P438" s="65" t="s">
        <v>2924</v>
      </c>
      <c r="Q438" s="65" t="s">
        <v>2925</v>
      </c>
      <c r="R438" s="65" t="s">
        <v>2926</v>
      </c>
      <c r="S438" s="65" t="s">
        <v>2810</v>
      </c>
      <c r="T438" s="65" t="s">
        <v>2810</v>
      </c>
      <c r="U438" s="65" t="s">
        <v>2927</v>
      </c>
      <c r="V438" s="65" t="s">
        <v>2928</v>
      </c>
      <c r="W438" s="65" t="s">
        <v>2465</v>
      </c>
      <c r="X438" s="65" t="s">
        <v>2466</v>
      </c>
      <c r="Y438" s="65" t="s">
        <v>1777</v>
      </c>
      <c r="Z438" s="65" t="s">
        <v>1360</v>
      </c>
      <c r="AA438" s="65" t="s">
        <v>3011</v>
      </c>
      <c r="AB438" s="65">
        <v>5</v>
      </c>
      <c r="AC438" s="65" t="s">
        <v>2386</v>
      </c>
      <c r="AD438" s="65" t="s">
        <v>1536</v>
      </c>
      <c r="AE438" s="65" t="s">
        <v>3012</v>
      </c>
      <c r="AF438" s="65" t="s">
        <v>1437</v>
      </c>
      <c r="AG438" s="65">
        <v>3</v>
      </c>
      <c r="AH438" s="65">
        <v>1</v>
      </c>
      <c r="AI438" s="65">
        <v>2</v>
      </c>
      <c r="AJ438" s="65">
        <v>2</v>
      </c>
      <c r="AK438" s="65" t="s">
        <v>202</v>
      </c>
      <c r="AL438" s="128">
        <v>45071</v>
      </c>
      <c r="AM438" s="65">
        <v>3</v>
      </c>
      <c r="AN438" s="65">
        <v>1</v>
      </c>
      <c r="AO438" s="65" t="s">
        <v>353</v>
      </c>
      <c r="AP438" s="65">
        <v>1</v>
      </c>
      <c r="AQ438" s="65" t="s">
        <v>352</v>
      </c>
      <c r="AR438" s="65" t="s">
        <v>202</v>
      </c>
      <c r="AS438" s="65">
        <v>1</v>
      </c>
      <c r="AT438" s="65">
        <v>1</v>
      </c>
      <c r="AU438" s="65" t="s">
        <v>1529</v>
      </c>
      <c r="AV438" s="65" t="s">
        <v>198</v>
      </c>
      <c r="AW438" s="65" t="s">
        <v>202</v>
      </c>
      <c r="AX438" s="65" t="s">
        <v>202</v>
      </c>
      <c r="AY438" s="65" t="s">
        <v>202</v>
      </c>
    </row>
    <row r="439" spans="1:51" x14ac:dyDescent="0.2">
      <c r="A439" s="65" t="s">
        <v>1773</v>
      </c>
      <c r="B439" s="65" t="s">
        <v>625</v>
      </c>
      <c r="C439" s="65" t="s">
        <v>626</v>
      </c>
      <c r="D439" s="65" t="s">
        <v>3013</v>
      </c>
      <c r="E439" s="65" t="s">
        <v>353</v>
      </c>
      <c r="F439" s="65" t="s">
        <v>1965</v>
      </c>
      <c r="G439" s="65" t="s">
        <v>1966</v>
      </c>
      <c r="H439" s="65" t="s">
        <v>2918</v>
      </c>
      <c r="I439" s="65" t="s">
        <v>3014</v>
      </c>
      <c r="J439" s="65">
        <v>3144344389</v>
      </c>
      <c r="K439" s="65" t="s">
        <v>3015</v>
      </c>
      <c r="L439" s="65" t="s">
        <v>3016</v>
      </c>
      <c r="M439" s="65" t="s">
        <v>364</v>
      </c>
      <c r="N439" s="65" t="s">
        <v>3017</v>
      </c>
      <c r="O439" s="65" t="s">
        <v>2923</v>
      </c>
      <c r="P439" s="65" t="s">
        <v>2924</v>
      </c>
      <c r="Q439" s="65" t="s">
        <v>2925</v>
      </c>
      <c r="R439" s="65" t="s">
        <v>2926</v>
      </c>
      <c r="S439" s="65" t="s">
        <v>2810</v>
      </c>
      <c r="T439" s="65" t="s">
        <v>2810</v>
      </c>
      <c r="U439" s="65" t="s">
        <v>3018</v>
      </c>
      <c r="V439" s="65" t="s">
        <v>3019</v>
      </c>
      <c r="W439" s="65" t="s">
        <v>2465</v>
      </c>
      <c r="X439" s="65" t="s">
        <v>2466</v>
      </c>
      <c r="Y439" s="65" t="s">
        <v>3020</v>
      </c>
      <c r="Z439" s="65" t="s">
        <v>1886</v>
      </c>
      <c r="AA439" s="65" t="s">
        <v>3021</v>
      </c>
      <c r="AB439" s="65">
        <v>3</v>
      </c>
      <c r="AC439" s="65" t="s">
        <v>1475</v>
      </c>
      <c r="AD439" s="65" t="s">
        <v>2278</v>
      </c>
      <c r="AE439" s="65" t="s">
        <v>3022</v>
      </c>
      <c r="AF439" s="65" t="s">
        <v>1437</v>
      </c>
      <c r="AG439" s="65">
        <v>3</v>
      </c>
      <c r="AH439" s="65">
        <v>0</v>
      </c>
      <c r="AI439" s="65">
        <v>2</v>
      </c>
      <c r="AJ439" s="65">
        <v>2</v>
      </c>
      <c r="AK439" s="65" t="s">
        <v>202</v>
      </c>
      <c r="AL439" s="128">
        <v>45014</v>
      </c>
      <c r="AM439" s="65">
        <v>4</v>
      </c>
      <c r="AN439" s="65">
        <v>2</v>
      </c>
      <c r="AO439" s="65" t="s">
        <v>202</v>
      </c>
      <c r="AP439" s="65">
        <v>2</v>
      </c>
      <c r="AQ439" s="65" t="s">
        <v>352</v>
      </c>
      <c r="AR439" s="65" t="s">
        <v>202</v>
      </c>
      <c r="AS439" s="65">
        <v>1</v>
      </c>
      <c r="AT439" s="65">
        <v>1</v>
      </c>
      <c r="AU439" s="65" t="s">
        <v>1438</v>
      </c>
      <c r="AV439" s="65" t="s">
        <v>1439</v>
      </c>
      <c r="AW439" s="65" t="s">
        <v>202</v>
      </c>
      <c r="AX439" s="65" t="s">
        <v>202</v>
      </c>
      <c r="AY439" s="65" t="s">
        <v>353</v>
      </c>
    </row>
    <row r="440" spans="1:51" x14ac:dyDescent="0.2">
      <c r="A440" s="65" t="s">
        <v>1773</v>
      </c>
      <c r="B440" s="65" t="s">
        <v>756</v>
      </c>
      <c r="C440" s="65" t="s">
        <v>757</v>
      </c>
      <c r="D440" s="65" t="s">
        <v>3023</v>
      </c>
      <c r="E440" s="65" t="s">
        <v>353</v>
      </c>
      <c r="F440" s="65" t="s">
        <v>1965</v>
      </c>
      <c r="G440" s="65" t="s">
        <v>1966</v>
      </c>
      <c r="H440" s="65" t="s">
        <v>2918</v>
      </c>
      <c r="I440" s="65" t="s">
        <v>3014</v>
      </c>
      <c r="J440" s="65">
        <v>3144344389</v>
      </c>
      <c r="K440" s="65" t="s">
        <v>3015</v>
      </c>
      <c r="L440" s="65" t="s">
        <v>3016</v>
      </c>
      <c r="M440" s="65" t="s">
        <v>364</v>
      </c>
      <c r="N440" s="65" t="s">
        <v>3017</v>
      </c>
      <c r="O440" s="65" t="s">
        <v>2923</v>
      </c>
      <c r="P440" s="65" t="s">
        <v>2924</v>
      </c>
      <c r="Q440" s="65" t="s">
        <v>2925</v>
      </c>
      <c r="R440" s="65" t="s">
        <v>2926</v>
      </c>
      <c r="S440" s="65" t="s">
        <v>2810</v>
      </c>
      <c r="T440" s="65" t="s">
        <v>2810</v>
      </c>
      <c r="U440" s="65" t="s">
        <v>3018</v>
      </c>
      <c r="V440" s="65" t="s">
        <v>3019</v>
      </c>
      <c r="W440" s="65" t="s">
        <v>2465</v>
      </c>
      <c r="X440" s="65" t="s">
        <v>2466</v>
      </c>
      <c r="Y440" s="65" t="s">
        <v>3024</v>
      </c>
      <c r="Z440" s="65" t="s">
        <v>1886</v>
      </c>
      <c r="AA440" s="65" t="s">
        <v>3025</v>
      </c>
      <c r="AB440" s="65">
        <v>3</v>
      </c>
      <c r="AC440" s="65" t="s">
        <v>1554</v>
      </c>
      <c r="AD440" s="65" t="s">
        <v>3026</v>
      </c>
      <c r="AE440" s="65" t="s">
        <v>3027</v>
      </c>
      <c r="AF440" s="65" t="s">
        <v>1437</v>
      </c>
      <c r="AG440" s="65">
        <v>3</v>
      </c>
      <c r="AH440" s="65">
        <v>1</v>
      </c>
      <c r="AI440" s="65">
        <v>3</v>
      </c>
      <c r="AJ440" s="65">
        <v>2</v>
      </c>
      <c r="AK440" s="65" t="s">
        <v>353</v>
      </c>
      <c r="AL440" s="128">
        <v>44982</v>
      </c>
      <c r="AM440" s="65">
        <v>4</v>
      </c>
      <c r="AN440" s="65">
        <v>1</v>
      </c>
      <c r="AO440" s="65" t="s">
        <v>353</v>
      </c>
      <c r="AP440" s="65">
        <v>2</v>
      </c>
      <c r="AQ440" s="65" t="s">
        <v>355</v>
      </c>
      <c r="AR440" s="65" t="s">
        <v>202</v>
      </c>
      <c r="AS440" s="65">
        <v>0</v>
      </c>
      <c r="AT440" s="65">
        <v>1</v>
      </c>
      <c r="AU440" s="65" t="s">
        <v>1529</v>
      </c>
      <c r="AV440" s="65" t="s">
        <v>1439</v>
      </c>
      <c r="AW440" s="65" t="s">
        <v>202</v>
      </c>
      <c r="AX440" s="65" t="s">
        <v>202</v>
      </c>
      <c r="AY440" s="65" t="s">
        <v>202</v>
      </c>
    </row>
    <row r="441" spans="1:51" x14ac:dyDescent="0.2">
      <c r="A441" s="65" t="s">
        <v>1773</v>
      </c>
      <c r="B441" s="65" t="s">
        <v>871</v>
      </c>
      <c r="C441" s="65" t="s">
        <v>872</v>
      </c>
      <c r="D441" s="65" t="s">
        <v>3028</v>
      </c>
      <c r="E441" s="65" t="s">
        <v>353</v>
      </c>
      <c r="F441" s="65" t="s">
        <v>1965</v>
      </c>
      <c r="G441" s="65" t="s">
        <v>1966</v>
      </c>
      <c r="H441" s="65" t="s">
        <v>2918</v>
      </c>
      <c r="I441" s="65" t="s">
        <v>3014</v>
      </c>
      <c r="J441" s="65">
        <v>3144344389</v>
      </c>
      <c r="K441" s="65" t="s">
        <v>3015</v>
      </c>
      <c r="L441" s="65" t="s">
        <v>3016</v>
      </c>
      <c r="M441" s="65" t="s">
        <v>364</v>
      </c>
      <c r="N441" s="65" t="s">
        <v>3017</v>
      </c>
      <c r="O441" s="65" t="s">
        <v>2923</v>
      </c>
      <c r="P441" s="65" t="s">
        <v>2924</v>
      </c>
      <c r="Q441" s="65" t="s">
        <v>2925</v>
      </c>
      <c r="R441" s="65" t="s">
        <v>2926</v>
      </c>
      <c r="S441" s="65" t="s">
        <v>2810</v>
      </c>
      <c r="T441" s="65" t="s">
        <v>2810</v>
      </c>
      <c r="U441" s="65" t="s">
        <v>3018</v>
      </c>
      <c r="V441" s="65" t="s">
        <v>3019</v>
      </c>
      <c r="W441" s="65" t="s">
        <v>2465</v>
      </c>
      <c r="X441" s="65" t="s">
        <v>2466</v>
      </c>
      <c r="Y441" s="65" t="s">
        <v>1967</v>
      </c>
      <c r="Z441" s="65" t="s">
        <v>1338</v>
      </c>
      <c r="AA441" s="65" t="s">
        <v>3029</v>
      </c>
      <c r="AB441" s="65">
        <v>3</v>
      </c>
      <c r="AC441" s="65" t="s">
        <v>3030</v>
      </c>
      <c r="AD441" s="65" t="s">
        <v>3031</v>
      </c>
      <c r="AE441" s="65" t="s">
        <v>3032</v>
      </c>
      <c r="AF441" s="65" t="s">
        <v>1437</v>
      </c>
      <c r="AG441" s="65">
        <v>4</v>
      </c>
      <c r="AH441" s="65">
        <v>3</v>
      </c>
      <c r="AI441" s="65">
        <v>2</v>
      </c>
      <c r="AJ441" s="65">
        <v>2</v>
      </c>
      <c r="AK441" s="65" t="s">
        <v>353</v>
      </c>
      <c r="AL441" s="128">
        <v>44980</v>
      </c>
      <c r="AM441" s="65">
        <v>4</v>
      </c>
      <c r="AN441" s="65">
        <v>2</v>
      </c>
      <c r="AO441" s="65" t="s">
        <v>202</v>
      </c>
      <c r="AP441" s="65">
        <v>2</v>
      </c>
      <c r="AQ441" s="65" t="s">
        <v>354</v>
      </c>
      <c r="AR441" s="65" t="s">
        <v>202</v>
      </c>
      <c r="AS441" s="65">
        <v>1</v>
      </c>
      <c r="AT441" s="65">
        <v>1</v>
      </c>
      <c r="AU441" s="65" t="s">
        <v>1529</v>
      </c>
      <c r="AV441" s="65" t="s">
        <v>1439</v>
      </c>
      <c r="AW441" s="65" t="s">
        <v>202</v>
      </c>
      <c r="AX441" s="65" t="s">
        <v>202</v>
      </c>
      <c r="AY441" s="65" t="s">
        <v>353</v>
      </c>
    </row>
    <row r="442" spans="1:51" x14ac:dyDescent="0.2">
      <c r="A442" s="65" t="s">
        <v>1773</v>
      </c>
      <c r="B442" s="65" t="s">
        <v>836</v>
      </c>
      <c r="C442" s="65" t="s">
        <v>837</v>
      </c>
      <c r="D442" s="65" t="s">
        <v>3033</v>
      </c>
      <c r="E442" s="65" t="s">
        <v>353</v>
      </c>
      <c r="F442" s="65" t="s">
        <v>1965</v>
      </c>
      <c r="G442" s="65" t="s">
        <v>1966</v>
      </c>
      <c r="H442" s="65" t="s">
        <v>2918</v>
      </c>
      <c r="I442" s="65" t="s">
        <v>3014</v>
      </c>
      <c r="J442" s="65">
        <v>3144344389</v>
      </c>
      <c r="K442" s="65" t="s">
        <v>3015</v>
      </c>
      <c r="L442" s="65" t="s">
        <v>3016</v>
      </c>
      <c r="M442" s="65" t="s">
        <v>364</v>
      </c>
      <c r="N442" s="65" t="s">
        <v>3017</v>
      </c>
      <c r="O442" s="65" t="s">
        <v>2923</v>
      </c>
      <c r="P442" s="65" t="s">
        <v>2924</v>
      </c>
      <c r="Q442" s="65" t="s">
        <v>2925</v>
      </c>
      <c r="R442" s="65" t="s">
        <v>2926</v>
      </c>
      <c r="S442" s="65" t="s">
        <v>2810</v>
      </c>
      <c r="T442" s="65" t="s">
        <v>2810</v>
      </c>
      <c r="U442" s="65" t="s">
        <v>3018</v>
      </c>
      <c r="V442" s="65" t="s">
        <v>3019</v>
      </c>
      <c r="W442" s="65" t="s">
        <v>2465</v>
      </c>
      <c r="X442" s="65" t="s">
        <v>2466</v>
      </c>
      <c r="Y442" s="65" t="s">
        <v>837</v>
      </c>
      <c r="Z442" s="65" t="s">
        <v>1338</v>
      </c>
      <c r="AA442" s="65" t="s">
        <v>3034</v>
      </c>
      <c r="AB442" s="65">
        <v>2</v>
      </c>
      <c r="AC442" s="65" t="s">
        <v>3035</v>
      </c>
      <c r="AD442" s="65" t="s">
        <v>3036</v>
      </c>
      <c r="AE442" s="65" t="s">
        <v>3037</v>
      </c>
      <c r="AF442" s="65" t="s">
        <v>1437</v>
      </c>
      <c r="AG442" s="65">
        <v>2</v>
      </c>
      <c r="AH442" s="65">
        <v>2</v>
      </c>
      <c r="AI442" s="65">
        <v>3</v>
      </c>
      <c r="AJ442" s="65">
        <v>2</v>
      </c>
      <c r="AK442" s="65" t="s">
        <v>202</v>
      </c>
      <c r="AL442" s="128">
        <v>44980</v>
      </c>
      <c r="AM442" s="65">
        <v>4</v>
      </c>
      <c r="AN442" s="65">
        <v>2</v>
      </c>
      <c r="AO442" s="65" t="s">
        <v>353</v>
      </c>
      <c r="AP442" s="65">
        <v>2</v>
      </c>
      <c r="AQ442" s="65" t="s">
        <v>352</v>
      </c>
      <c r="AR442" s="65" t="s">
        <v>202</v>
      </c>
      <c r="AS442" s="65">
        <v>1</v>
      </c>
      <c r="AT442" s="65">
        <v>1</v>
      </c>
      <c r="AU442" s="65" t="s">
        <v>1438</v>
      </c>
      <c r="AV442" s="65" t="s">
        <v>1439</v>
      </c>
      <c r="AW442" s="65" t="s">
        <v>202</v>
      </c>
      <c r="AX442" s="65" t="s">
        <v>202</v>
      </c>
      <c r="AY442" s="65" t="s">
        <v>353</v>
      </c>
    </row>
    <row r="443" spans="1:51" x14ac:dyDescent="0.2">
      <c r="A443" s="65" t="s">
        <v>1773</v>
      </c>
      <c r="B443" s="65" t="s">
        <v>758</v>
      </c>
      <c r="C443" s="65" t="s">
        <v>759</v>
      </c>
      <c r="D443" s="65" t="s">
        <v>3038</v>
      </c>
      <c r="E443" s="65" t="s">
        <v>353</v>
      </c>
      <c r="F443" s="65" t="s">
        <v>1965</v>
      </c>
      <c r="G443" s="65" t="s">
        <v>1966</v>
      </c>
      <c r="H443" s="65" t="s">
        <v>2918</v>
      </c>
      <c r="I443" s="65" t="s">
        <v>3014</v>
      </c>
      <c r="J443" s="65">
        <v>3144344389</v>
      </c>
      <c r="K443" s="65" t="s">
        <v>3015</v>
      </c>
      <c r="L443" s="65" t="s">
        <v>3016</v>
      </c>
      <c r="M443" s="65" t="s">
        <v>364</v>
      </c>
      <c r="N443" s="65" t="s">
        <v>3017</v>
      </c>
      <c r="O443" s="65" t="s">
        <v>2923</v>
      </c>
      <c r="P443" s="65" t="s">
        <v>2924</v>
      </c>
      <c r="Q443" s="65" t="s">
        <v>2925</v>
      </c>
      <c r="R443" s="65" t="s">
        <v>2926</v>
      </c>
      <c r="S443" s="65" t="s">
        <v>2810</v>
      </c>
      <c r="T443" s="65" t="s">
        <v>2810</v>
      </c>
      <c r="U443" s="65" t="s">
        <v>3018</v>
      </c>
      <c r="V443" s="65" t="s">
        <v>3019</v>
      </c>
      <c r="W443" s="65" t="s">
        <v>2465</v>
      </c>
      <c r="X443" s="65" t="s">
        <v>2466</v>
      </c>
      <c r="Y443" s="65" t="s">
        <v>759</v>
      </c>
      <c r="Z443" s="65" t="s">
        <v>1338</v>
      </c>
      <c r="AA443" s="65" t="s">
        <v>3039</v>
      </c>
      <c r="AB443" s="65">
        <v>2</v>
      </c>
      <c r="AC443" s="65" t="s">
        <v>2134</v>
      </c>
      <c r="AD443" s="65" t="s">
        <v>2083</v>
      </c>
      <c r="AE443" s="65" t="s">
        <v>3040</v>
      </c>
      <c r="AF443" s="65" t="s">
        <v>1437</v>
      </c>
      <c r="AG443" s="65">
        <v>2</v>
      </c>
      <c r="AH443" s="65">
        <v>1</v>
      </c>
      <c r="AI443" s="65">
        <v>3</v>
      </c>
      <c r="AJ443" s="65">
        <v>2</v>
      </c>
      <c r="AK443" s="65" t="s">
        <v>353</v>
      </c>
      <c r="AL443" s="128">
        <v>44982</v>
      </c>
      <c r="AM443" s="65">
        <v>4</v>
      </c>
      <c r="AN443" s="65">
        <v>2</v>
      </c>
      <c r="AO443" s="65" t="s">
        <v>353</v>
      </c>
      <c r="AP443" s="65">
        <v>2</v>
      </c>
      <c r="AQ443" s="65" t="s">
        <v>352</v>
      </c>
      <c r="AR443" s="65" t="s">
        <v>202</v>
      </c>
      <c r="AS443" s="65">
        <v>1</v>
      </c>
      <c r="AT443" s="65">
        <v>1</v>
      </c>
      <c r="AU443" s="65" t="s">
        <v>1438</v>
      </c>
      <c r="AV443" s="65" t="s">
        <v>1439</v>
      </c>
      <c r="AW443" s="65" t="s">
        <v>202</v>
      </c>
      <c r="AX443" s="65" t="s">
        <v>202</v>
      </c>
      <c r="AY443" s="65" t="s">
        <v>353</v>
      </c>
    </row>
    <row r="444" spans="1:51" x14ac:dyDescent="0.2">
      <c r="A444" s="65" t="s">
        <v>1773</v>
      </c>
      <c r="B444" s="65" t="s">
        <v>629</v>
      </c>
      <c r="C444" s="65" t="s">
        <v>630</v>
      </c>
      <c r="D444" s="65" t="s">
        <v>3041</v>
      </c>
      <c r="E444" s="65" t="s">
        <v>353</v>
      </c>
      <c r="F444" s="65" t="s">
        <v>1965</v>
      </c>
      <c r="G444" s="65" t="s">
        <v>1966</v>
      </c>
      <c r="H444" s="65" t="s">
        <v>2918</v>
      </c>
      <c r="I444" s="65" t="s">
        <v>3014</v>
      </c>
      <c r="J444" s="65">
        <v>3144344389</v>
      </c>
      <c r="K444" s="65" t="s">
        <v>3015</v>
      </c>
      <c r="L444" s="65" t="s">
        <v>3016</v>
      </c>
      <c r="M444" s="65" t="s">
        <v>364</v>
      </c>
      <c r="N444" s="65" t="s">
        <v>3017</v>
      </c>
      <c r="O444" s="65" t="s">
        <v>2923</v>
      </c>
      <c r="P444" s="65" t="s">
        <v>2924</v>
      </c>
      <c r="Q444" s="65" t="s">
        <v>2925</v>
      </c>
      <c r="R444" s="65" t="s">
        <v>2926</v>
      </c>
      <c r="S444" s="65" t="s">
        <v>2810</v>
      </c>
      <c r="T444" s="65" t="s">
        <v>2810</v>
      </c>
      <c r="U444" s="65" t="s">
        <v>3018</v>
      </c>
      <c r="V444" s="65" t="s">
        <v>3019</v>
      </c>
      <c r="W444" s="65" t="s">
        <v>2465</v>
      </c>
      <c r="X444" s="65" t="s">
        <v>2466</v>
      </c>
      <c r="Y444" s="65" t="s">
        <v>630</v>
      </c>
      <c r="Z444" s="65" t="s">
        <v>1338</v>
      </c>
      <c r="AA444" s="65" t="s">
        <v>3042</v>
      </c>
      <c r="AB444" s="65">
        <v>2</v>
      </c>
      <c r="AC444" s="65" t="s">
        <v>3043</v>
      </c>
      <c r="AD444" s="65" t="s">
        <v>1435</v>
      </c>
      <c r="AE444" s="65" t="s">
        <v>3044</v>
      </c>
      <c r="AF444" s="65" t="s">
        <v>1437</v>
      </c>
      <c r="AG444" s="65">
        <v>2</v>
      </c>
      <c r="AH444" s="65">
        <v>0</v>
      </c>
      <c r="AI444" s="65">
        <v>2</v>
      </c>
      <c r="AJ444" s="65">
        <v>2</v>
      </c>
      <c r="AK444" s="65" t="s">
        <v>353</v>
      </c>
      <c r="AL444" s="128">
        <v>44980</v>
      </c>
      <c r="AM444" s="65">
        <v>4</v>
      </c>
      <c r="AN444" s="65">
        <v>2</v>
      </c>
      <c r="AO444" s="65" t="s">
        <v>353</v>
      </c>
      <c r="AP444" s="65">
        <v>2</v>
      </c>
      <c r="AQ444" s="65" t="s">
        <v>352</v>
      </c>
      <c r="AR444" s="65" t="s">
        <v>202</v>
      </c>
      <c r="AS444" s="65">
        <v>1</v>
      </c>
      <c r="AT444" s="65">
        <v>1</v>
      </c>
      <c r="AU444" s="65" t="s">
        <v>1438</v>
      </c>
      <c r="AV444" s="65" t="s">
        <v>1439</v>
      </c>
      <c r="AW444" s="65" t="s">
        <v>202</v>
      </c>
      <c r="AX444" s="65" t="s">
        <v>202</v>
      </c>
      <c r="AY444" s="65" t="s">
        <v>353</v>
      </c>
    </row>
    <row r="445" spans="1:51" x14ac:dyDescent="0.2">
      <c r="A445" s="65" t="s">
        <v>1773</v>
      </c>
      <c r="B445" s="65" t="s">
        <v>760</v>
      </c>
      <c r="C445" s="65" t="s">
        <v>761</v>
      </c>
      <c r="D445" s="65" t="s">
        <v>3045</v>
      </c>
      <c r="E445" s="65" t="s">
        <v>353</v>
      </c>
      <c r="F445" s="65" t="s">
        <v>1965</v>
      </c>
      <c r="G445" s="65" t="s">
        <v>1966</v>
      </c>
      <c r="H445" s="65" t="s">
        <v>2918</v>
      </c>
      <c r="I445" s="65" t="s">
        <v>3014</v>
      </c>
      <c r="J445" s="65">
        <v>3144344389</v>
      </c>
      <c r="K445" s="65" t="s">
        <v>3015</v>
      </c>
      <c r="L445" s="65" t="s">
        <v>3016</v>
      </c>
      <c r="M445" s="65" t="s">
        <v>364</v>
      </c>
      <c r="N445" s="65" t="s">
        <v>3017</v>
      </c>
      <c r="O445" s="65" t="s">
        <v>2923</v>
      </c>
      <c r="P445" s="65" t="s">
        <v>2924</v>
      </c>
      <c r="Q445" s="65" t="s">
        <v>2925</v>
      </c>
      <c r="R445" s="65" t="s">
        <v>2926</v>
      </c>
      <c r="S445" s="65" t="s">
        <v>2810</v>
      </c>
      <c r="T445" s="65" t="s">
        <v>2810</v>
      </c>
      <c r="U445" s="65" t="s">
        <v>3018</v>
      </c>
      <c r="V445" s="65" t="s">
        <v>3019</v>
      </c>
      <c r="W445" s="65" t="s">
        <v>2465</v>
      </c>
      <c r="X445" s="65" t="s">
        <v>2466</v>
      </c>
      <c r="Y445" s="65" t="s">
        <v>3046</v>
      </c>
      <c r="Z445" s="65" t="s">
        <v>1338</v>
      </c>
      <c r="AA445" s="65" t="s">
        <v>3047</v>
      </c>
      <c r="AB445" s="65">
        <v>3</v>
      </c>
      <c r="AC445" s="65" t="s">
        <v>2273</v>
      </c>
      <c r="AD445" s="65" t="s">
        <v>3048</v>
      </c>
      <c r="AE445" s="65" t="s">
        <v>3049</v>
      </c>
      <c r="AF445" s="65" t="s">
        <v>1437</v>
      </c>
      <c r="AG445" s="65">
        <v>2</v>
      </c>
      <c r="AH445" s="65">
        <v>1</v>
      </c>
      <c r="AI445" s="65">
        <v>2</v>
      </c>
      <c r="AJ445" s="65">
        <v>2</v>
      </c>
      <c r="AK445" s="65" t="s">
        <v>202</v>
      </c>
      <c r="AL445" s="128">
        <v>44983</v>
      </c>
      <c r="AM445" s="65">
        <v>3</v>
      </c>
      <c r="AN445" s="65">
        <v>1</v>
      </c>
      <c r="AO445" s="65" t="s">
        <v>353</v>
      </c>
      <c r="AP445" s="65">
        <v>2</v>
      </c>
      <c r="AQ445" s="65" t="s">
        <v>352</v>
      </c>
      <c r="AR445" s="65" t="s">
        <v>202</v>
      </c>
      <c r="AS445" s="65">
        <v>1</v>
      </c>
      <c r="AT445" s="65">
        <v>1</v>
      </c>
      <c r="AU445" s="65" t="s">
        <v>1529</v>
      </c>
      <c r="AV445" s="65" t="s">
        <v>1439</v>
      </c>
      <c r="AW445" s="65" t="s">
        <v>202</v>
      </c>
      <c r="AX445" s="65" t="s">
        <v>202</v>
      </c>
      <c r="AY445" s="65" t="s">
        <v>202</v>
      </c>
    </row>
    <row r="446" spans="1:51" x14ac:dyDescent="0.2">
      <c r="A446" s="65" t="s">
        <v>1773</v>
      </c>
      <c r="B446" s="65" t="s">
        <v>838</v>
      </c>
      <c r="C446" s="65" t="s">
        <v>839</v>
      </c>
      <c r="D446" s="65" t="s">
        <v>3050</v>
      </c>
      <c r="E446" s="65" t="s">
        <v>353</v>
      </c>
      <c r="F446" s="65" t="s">
        <v>1965</v>
      </c>
      <c r="G446" s="65" t="s">
        <v>1966</v>
      </c>
      <c r="H446" s="65" t="s">
        <v>2918</v>
      </c>
      <c r="I446" s="65" t="s">
        <v>3014</v>
      </c>
      <c r="J446" s="65">
        <v>3144344389</v>
      </c>
      <c r="K446" s="65" t="s">
        <v>3015</v>
      </c>
      <c r="L446" s="65" t="s">
        <v>3016</v>
      </c>
      <c r="M446" s="65" t="s">
        <v>364</v>
      </c>
      <c r="N446" s="65" t="s">
        <v>3017</v>
      </c>
      <c r="O446" s="65" t="s">
        <v>2923</v>
      </c>
      <c r="P446" s="65" t="s">
        <v>2924</v>
      </c>
      <c r="Q446" s="65" t="s">
        <v>2925</v>
      </c>
      <c r="R446" s="65" t="s">
        <v>2926</v>
      </c>
      <c r="S446" s="65" t="s">
        <v>2810</v>
      </c>
      <c r="T446" s="65" t="s">
        <v>2810</v>
      </c>
      <c r="U446" s="65" t="s">
        <v>3018</v>
      </c>
      <c r="V446" s="65" t="s">
        <v>3019</v>
      </c>
      <c r="W446" s="65" t="s">
        <v>2465</v>
      </c>
      <c r="X446" s="65" t="s">
        <v>2466</v>
      </c>
      <c r="Y446" s="65" t="s">
        <v>3051</v>
      </c>
      <c r="Z446" s="65" t="s">
        <v>1338</v>
      </c>
      <c r="AA446" s="65" t="s">
        <v>3052</v>
      </c>
      <c r="AB446" s="65">
        <v>2</v>
      </c>
      <c r="AC446" s="65" t="s">
        <v>2778</v>
      </c>
      <c r="AD446" s="65" t="s">
        <v>2698</v>
      </c>
      <c r="AE446" s="65" t="s">
        <v>3053</v>
      </c>
      <c r="AF446" s="65" t="s">
        <v>1437</v>
      </c>
      <c r="AG446" s="65">
        <v>1</v>
      </c>
      <c r="AH446" s="65">
        <v>2</v>
      </c>
      <c r="AI446" s="65">
        <v>2</v>
      </c>
      <c r="AJ446" s="65">
        <v>2</v>
      </c>
      <c r="AK446" s="65" t="s">
        <v>353</v>
      </c>
      <c r="AL446" s="128">
        <v>44999</v>
      </c>
      <c r="AM446" s="65">
        <v>4</v>
      </c>
      <c r="AN446" s="65">
        <v>1</v>
      </c>
      <c r="AO446" s="65" t="s">
        <v>353</v>
      </c>
      <c r="AP446" s="65">
        <v>2</v>
      </c>
      <c r="AQ446" s="65" t="s">
        <v>352</v>
      </c>
      <c r="AR446" s="65" t="s">
        <v>202</v>
      </c>
      <c r="AS446" s="65">
        <v>1</v>
      </c>
      <c r="AT446" s="65">
        <v>1</v>
      </c>
      <c r="AU446" s="65" t="s">
        <v>1529</v>
      </c>
      <c r="AV446" s="65" t="s">
        <v>1439</v>
      </c>
      <c r="AW446" s="65" t="s">
        <v>202</v>
      </c>
      <c r="AX446" s="65" t="s">
        <v>202</v>
      </c>
      <c r="AY446" s="65" t="s">
        <v>353</v>
      </c>
    </row>
    <row r="447" spans="1:51" x14ac:dyDescent="0.2">
      <c r="A447" s="65" t="s">
        <v>1773</v>
      </c>
      <c r="B447" s="65" t="s">
        <v>762</v>
      </c>
      <c r="C447" s="65" t="s">
        <v>763</v>
      </c>
      <c r="D447" s="65" t="s">
        <v>3054</v>
      </c>
      <c r="E447" s="65" t="s">
        <v>353</v>
      </c>
      <c r="F447" s="65" t="s">
        <v>1965</v>
      </c>
      <c r="G447" s="65" t="s">
        <v>1966</v>
      </c>
      <c r="H447" s="65" t="s">
        <v>2918</v>
      </c>
      <c r="I447" s="65" t="s">
        <v>3014</v>
      </c>
      <c r="J447" s="65">
        <v>3144344389</v>
      </c>
      <c r="K447" s="65" t="s">
        <v>3015</v>
      </c>
      <c r="L447" s="65" t="s">
        <v>3016</v>
      </c>
      <c r="M447" s="65" t="s">
        <v>364</v>
      </c>
      <c r="N447" s="65" t="s">
        <v>3017</v>
      </c>
      <c r="O447" s="65" t="s">
        <v>2923</v>
      </c>
      <c r="P447" s="65" t="s">
        <v>2924</v>
      </c>
      <c r="Q447" s="65" t="s">
        <v>2925</v>
      </c>
      <c r="R447" s="65" t="s">
        <v>2926</v>
      </c>
      <c r="S447" s="65" t="s">
        <v>2810</v>
      </c>
      <c r="T447" s="65" t="s">
        <v>2810</v>
      </c>
      <c r="U447" s="65" t="s">
        <v>3018</v>
      </c>
      <c r="V447" s="65" t="s">
        <v>3019</v>
      </c>
      <c r="W447" s="65" t="s">
        <v>2465</v>
      </c>
      <c r="X447" s="65" t="s">
        <v>2466</v>
      </c>
      <c r="Y447" s="65" t="s">
        <v>1967</v>
      </c>
      <c r="Z447" s="65" t="s">
        <v>1338</v>
      </c>
      <c r="AA447" s="65" t="s">
        <v>3055</v>
      </c>
      <c r="AB447" s="65">
        <v>4</v>
      </c>
      <c r="AC447" s="65" t="s">
        <v>2176</v>
      </c>
      <c r="AD447" s="65" t="s">
        <v>1443</v>
      </c>
      <c r="AE447" s="65" t="s">
        <v>3056</v>
      </c>
      <c r="AF447" s="65" t="s">
        <v>1437</v>
      </c>
      <c r="AG447" s="65">
        <v>2</v>
      </c>
      <c r="AH447" s="65">
        <v>1</v>
      </c>
      <c r="AI447" s="65">
        <v>2</v>
      </c>
      <c r="AJ447" s="65">
        <v>2</v>
      </c>
      <c r="AK447" s="65" t="s">
        <v>202</v>
      </c>
      <c r="AL447" s="128">
        <v>45016</v>
      </c>
      <c r="AM447" s="65">
        <v>3</v>
      </c>
      <c r="AN447" s="65">
        <v>2</v>
      </c>
      <c r="AO447" s="65" t="s">
        <v>353</v>
      </c>
      <c r="AP447" s="65">
        <v>2</v>
      </c>
      <c r="AQ447" s="65" t="s">
        <v>354</v>
      </c>
      <c r="AR447" s="65" t="s">
        <v>202</v>
      </c>
      <c r="AS447" s="65">
        <v>1</v>
      </c>
      <c r="AT447" s="65">
        <v>1</v>
      </c>
      <c r="AU447" s="65" t="s">
        <v>1438</v>
      </c>
      <c r="AV447" s="65" t="s">
        <v>198</v>
      </c>
      <c r="AW447" s="65" t="s">
        <v>202</v>
      </c>
      <c r="AX447" s="65" t="s">
        <v>202</v>
      </c>
      <c r="AY447" s="65" t="s">
        <v>353</v>
      </c>
    </row>
    <row r="448" spans="1:51" x14ac:dyDescent="0.2">
      <c r="A448" s="65" t="s">
        <v>1773</v>
      </c>
      <c r="B448" s="65" t="s">
        <v>840</v>
      </c>
      <c r="C448" s="65" t="s">
        <v>841</v>
      </c>
      <c r="D448" s="65" t="s">
        <v>3057</v>
      </c>
      <c r="E448" s="65" t="s">
        <v>353</v>
      </c>
      <c r="F448" s="65" t="s">
        <v>1965</v>
      </c>
      <c r="G448" s="65" t="s">
        <v>1966</v>
      </c>
      <c r="H448" s="65" t="s">
        <v>2918</v>
      </c>
      <c r="I448" s="65" t="s">
        <v>3014</v>
      </c>
      <c r="J448" s="65">
        <v>3144344389</v>
      </c>
      <c r="K448" s="65" t="s">
        <v>3015</v>
      </c>
      <c r="L448" s="65" t="s">
        <v>3016</v>
      </c>
      <c r="M448" s="65" t="s">
        <v>364</v>
      </c>
      <c r="N448" s="65" t="s">
        <v>3017</v>
      </c>
      <c r="O448" s="65" t="s">
        <v>2923</v>
      </c>
      <c r="P448" s="65" t="s">
        <v>2924</v>
      </c>
      <c r="Q448" s="65" t="s">
        <v>2925</v>
      </c>
      <c r="R448" s="65" t="s">
        <v>2926</v>
      </c>
      <c r="S448" s="65" t="s">
        <v>2810</v>
      </c>
      <c r="T448" s="65" t="s">
        <v>2810</v>
      </c>
      <c r="U448" s="65" t="s">
        <v>3018</v>
      </c>
      <c r="V448" s="65" t="s">
        <v>3019</v>
      </c>
      <c r="W448" s="65" t="s">
        <v>2465</v>
      </c>
      <c r="X448" s="65" t="s">
        <v>2466</v>
      </c>
      <c r="Y448" s="65" t="s">
        <v>3020</v>
      </c>
      <c r="Z448" s="65" t="s">
        <v>1886</v>
      </c>
      <c r="AA448" s="65" t="s">
        <v>3058</v>
      </c>
      <c r="AB448" s="65">
        <v>3</v>
      </c>
      <c r="AC448" s="65" t="s">
        <v>1475</v>
      </c>
      <c r="AD448" s="65" t="s">
        <v>1558</v>
      </c>
      <c r="AE448" s="65" t="s">
        <v>3059</v>
      </c>
      <c r="AF448" s="65" t="s">
        <v>1437</v>
      </c>
      <c r="AG448" s="65">
        <v>1</v>
      </c>
      <c r="AH448" s="65">
        <v>2</v>
      </c>
      <c r="AI448" s="65">
        <v>2</v>
      </c>
      <c r="AJ448" s="65">
        <v>2</v>
      </c>
      <c r="AK448" s="65" t="s">
        <v>202</v>
      </c>
      <c r="AL448" s="128">
        <v>45527</v>
      </c>
      <c r="AM448" s="65">
        <v>6</v>
      </c>
      <c r="AN448" s="65">
        <v>2</v>
      </c>
      <c r="AO448" s="65" t="s">
        <v>202</v>
      </c>
      <c r="AP448" s="65">
        <v>2</v>
      </c>
      <c r="AQ448" s="65" t="s">
        <v>355</v>
      </c>
      <c r="AR448" s="65" t="s">
        <v>353</v>
      </c>
      <c r="AS448" s="65">
        <v>1</v>
      </c>
      <c r="AT448" s="65">
        <v>1</v>
      </c>
      <c r="AU448" s="65" t="s">
        <v>1438</v>
      </c>
      <c r="AV448" s="65" t="s">
        <v>1439</v>
      </c>
      <c r="AW448" s="65" t="s">
        <v>202</v>
      </c>
      <c r="AX448" s="65" t="s">
        <v>202</v>
      </c>
      <c r="AY448" s="65" t="s">
        <v>353</v>
      </c>
    </row>
    <row r="449" spans="1:51" x14ac:dyDescent="0.2">
      <c r="A449" s="65" t="s">
        <v>1773</v>
      </c>
      <c r="B449" s="65" t="s">
        <v>768</v>
      </c>
      <c r="C449" s="65" t="s">
        <v>769</v>
      </c>
      <c r="D449" s="65" t="s">
        <v>3060</v>
      </c>
      <c r="E449" s="65" t="s">
        <v>353</v>
      </c>
      <c r="F449" s="65" t="s">
        <v>1965</v>
      </c>
      <c r="G449" s="65" t="s">
        <v>1966</v>
      </c>
      <c r="H449" s="65" t="s">
        <v>2918</v>
      </c>
      <c r="I449" s="65" t="s">
        <v>3014</v>
      </c>
      <c r="J449" s="65">
        <v>3144344389</v>
      </c>
      <c r="K449" s="65" t="s">
        <v>3061</v>
      </c>
      <c r="L449" s="65" t="s">
        <v>3062</v>
      </c>
      <c r="M449" s="65" t="s">
        <v>365</v>
      </c>
      <c r="N449" s="65" t="s">
        <v>3063</v>
      </c>
      <c r="O449" s="65" t="s">
        <v>2923</v>
      </c>
      <c r="P449" s="65" t="s">
        <v>2924</v>
      </c>
      <c r="Q449" s="65" t="s">
        <v>2925</v>
      </c>
      <c r="R449" s="65" t="s">
        <v>2926</v>
      </c>
      <c r="S449" s="65" t="s">
        <v>2810</v>
      </c>
      <c r="T449" s="65" t="s">
        <v>2810</v>
      </c>
      <c r="U449" s="65" t="s">
        <v>3018</v>
      </c>
      <c r="V449" s="65" t="s">
        <v>3019</v>
      </c>
      <c r="W449" s="65" t="s">
        <v>2465</v>
      </c>
      <c r="X449" s="65" t="s">
        <v>2466</v>
      </c>
      <c r="Y449" s="65" t="s">
        <v>769</v>
      </c>
      <c r="Z449" s="65" t="s">
        <v>1338</v>
      </c>
      <c r="AA449" s="65" t="s">
        <v>3064</v>
      </c>
      <c r="AB449" s="65">
        <v>2</v>
      </c>
      <c r="AC449" s="65" t="s">
        <v>3065</v>
      </c>
      <c r="AD449" s="65" t="s">
        <v>3066</v>
      </c>
      <c r="AE449" s="65" t="s">
        <v>3067</v>
      </c>
      <c r="AF449" s="65" t="s">
        <v>1437</v>
      </c>
      <c r="AG449" s="65">
        <v>0</v>
      </c>
      <c r="AH449" s="65">
        <v>1</v>
      </c>
      <c r="AI449" s="65">
        <v>2</v>
      </c>
      <c r="AJ449" s="65">
        <v>1</v>
      </c>
      <c r="AK449" s="65" t="s">
        <v>353</v>
      </c>
      <c r="AL449" s="128">
        <v>45017</v>
      </c>
      <c r="AM449" s="65">
        <v>4</v>
      </c>
      <c r="AN449" s="65">
        <v>2</v>
      </c>
      <c r="AO449" s="65" t="s">
        <v>202</v>
      </c>
      <c r="AP449" s="65">
        <v>2</v>
      </c>
      <c r="AQ449" s="65" t="s">
        <v>352</v>
      </c>
      <c r="AR449" s="65" t="s">
        <v>202</v>
      </c>
      <c r="AS449" s="65">
        <v>1</v>
      </c>
      <c r="AT449" s="65">
        <v>1</v>
      </c>
      <c r="AU449" s="65" t="s">
        <v>1529</v>
      </c>
      <c r="AV449" s="65" t="s">
        <v>1439</v>
      </c>
      <c r="AW449" s="65" t="s">
        <v>202</v>
      </c>
      <c r="AX449" s="65" t="s">
        <v>202</v>
      </c>
      <c r="AY449" s="65" t="s">
        <v>353</v>
      </c>
    </row>
    <row r="450" spans="1:51" x14ac:dyDescent="0.2">
      <c r="A450" s="65" t="s">
        <v>1773</v>
      </c>
      <c r="B450" s="65" t="s">
        <v>850</v>
      </c>
      <c r="C450" s="65" t="s">
        <v>851</v>
      </c>
      <c r="D450" s="65" t="s">
        <v>3068</v>
      </c>
      <c r="E450" s="65" t="s">
        <v>353</v>
      </c>
      <c r="F450" s="65" t="s">
        <v>1965</v>
      </c>
      <c r="G450" s="65" t="s">
        <v>1966</v>
      </c>
      <c r="H450" s="65" t="s">
        <v>2918</v>
      </c>
      <c r="I450" s="65" t="s">
        <v>3014</v>
      </c>
      <c r="J450" s="65">
        <v>3144344389</v>
      </c>
      <c r="K450" s="65" t="s">
        <v>3061</v>
      </c>
      <c r="L450" s="65" t="s">
        <v>3062</v>
      </c>
      <c r="M450" s="65" t="s">
        <v>365</v>
      </c>
      <c r="N450" s="65" t="s">
        <v>3063</v>
      </c>
      <c r="O450" s="65" t="s">
        <v>2923</v>
      </c>
      <c r="P450" s="65" t="s">
        <v>2924</v>
      </c>
      <c r="Q450" s="65" t="s">
        <v>2925</v>
      </c>
      <c r="R450" s="65" t="s">
        <v>2926</v>
      </c>
      <c r="S450" s="65" t="s">
        <v>2810</v>
      </c>
      <c r="T450" s="65" t="s">
        <v>2810</v>
      </c>
      <c r="U450" s="65" t="s">
        <v>3018</v>
      </c>
      <c r="V450" s="65" t="s">
        <v>3019</v>
      </c>
      <c r="W450" s="65" t="s">
        <v>2465</v>
      </c>
      <c r="X450" s="65" t="s">
        <v>2466</v>
      </c>
      <c r="Y450" s="65" t="s">
        <v>642</v>
      </c>
      <c r="Z450" s="65" t="s">
        <v>1338</v>
      </c>
      <c r="AA450" s="65" t="s">
        <v>3069</v>
      </c>
      <c r="AB450" s="65">
        <v>2</v>
      </c>
      <c r="AC450" s="65" t="s">
        <v>1511</v>
      </c>
      <c r="AD450" s="65" t="s">
        <v>2520</v>
      </c>
      <c r="AE450" s="65" t="s">
        <v>3070</v>
      </c>
      <c r="AF450" s="65" t="s">
        <v>1437</v>
      </c>
      <c r="AG450" s="65">
        <v>1</v>
      </c>
      <c r="AH450" s="65">
        <v>2</v>
      </c>
      <c r="AI450" s="65">
        <v>2</v>
      </c>
      <c r="AJ450" s="65">
        <v>1</v>
      </c>
      <c r="AK450" s="65" t="s">
        <v>202</v>
      </c>
      <c r="AL450" s="128">
        <v>45020</v>
      </c>
      <c r="AM450" s="65">
        <v>3</v>
      </c>
      <c r="AN450" s="65">
        <v>1</v>
      </c>
      <c r="AO450" s="65" t="s">
        <v>202</v>
      </c>
      <c r="AP450" s="65">
        <v>1</v>
      </c>
      <c r="AQ450" s="65" t="s">
        <v>352</v>
      </c>
      <c r="AR450" s="65" t="s">
        <v>202</v>
      </c>
      <c r="AS450" s="65">
        <v>1</v>
      </c>
      <c r="AT450" s="65">
        <v>1</v>
      </c>
      <c r="AU450" s="65" t="s">
        <v>1529</v>
      </c>
      <c r="AV450" s="65" t="s">
        <v>1439</v>
      </c>
      <c r="AW450" s="65" t="s">
        <v>202</v>
      </c>
      <c r="AX450" s="65" t="s">
        <v>202</v>
      </c>
      <c r="AY450" s="65" t="s">
        <v>353</v>
      </c>
    </row>
    <row r="451" spans="1:51" x14ac:dyDescent="0.2">
      <c r="A451" s="65" t="s">
        <v>1773</v>
      </c>
      <c r="B451" s="65" t="s">
        <v>770</v>
      </c>
      <c r="C451" s="65" t="s">
        <v>771</v>
      </c>
      <c r="D451" s="65" t="s">
        <v>3071</v>
      </c>
      <c r="E451" s="65" t="s">
        <v>353</v>
      </c>
      <c r="F451" s="65" t="s">
        <v>1965</v>
      </c>
      <c r="G451" s="65" t="s">
        <v>1966</v>
      </c>
      <c r="H451" s="65" t="s">
        <v>2918</v>
      </c>
      <c r="I451" s="65" t="s">
        <v>3014</v>
      </c>
      <c r="J451" s="65">
        <v>3144344389</v>
      </c>
      <c r="K451" s="65" t="s">
        <v>3061</v>
      </c>
      <c r="L451" s="65" t="s">
        <v>3062</v>
      </c>
      <c r="M451" s="65" t="s">
        <v>365</v>
      </c>
      <c r="N451" s="65" t="s">
        <v>3063</v>
      </c>
      <c r="O451" s="65" t="s">
        <v>2923</v>
      </c>
      <c r="P451" s="65" t="s">
        <v>2924</v>
      </c>
      <c r="Q451" s="65" t="s">
        <v>2925</v>
      </c>
      <c r="R451" s="65" t="s">
        <v>2926</v>
      </c>
      <c r="S451" s="65" t="s">
        <v>2810</v>
      </c>
      <c r="T451" s="65" t="s">
        <v>2810</v>
      </c>
      <c r="U451" s="65" t="s">
        <v>3018</v>
      </c>
      <c r="V451" s="65" t="s">
        <v>3019</v>
      </c>
      <c r="W451" s="65" t="s">
        <v>2465</v>
      </c>
      <c r="X451" s="65" t="s">
        <v>2466</v>
      </c>
      <c r="Y451" s="65" t="s">
        <v>771</v>
      </c>
      <c r="Z451" s="65" t="s">
        <v>1338</v>
      </c>
      <c r="AA451" s="65" t="s">
        <v>3072</v>
      </c>
      <c r="AB451" s="65">
        <v>2</v>
      </c>
      <c r="AC451" s="65" t="s">
        <v>3073</v>
      </c>
      <c r="AD451" s="65" t="s">
        <v>3074</v>
      </c>
      <c r="AE451" s="65" t="s">
        <v>3075</v>
      </c>
      <c r="AF451" s="65" t="s">
        <v>1437</v>
      </c>
      <c r="AG451" s="65">
        <v>1</v>
      </c>
      <c r="AH451" s="65">
        <v>1</v>
      </c>
      <c r="AI451" s="65">
        <v>2</v>
      </c>
      <c r="AJ451" s="65">
        <v>1</v>
      </c>
      <c r="AK451" s="65" t="s">
        <v>353</v>
      </c>
      <c r="AL451" s="128">
        <v>45065</v>
      </c>
      <c r="AM451" s="65">
        <v>4</v>
      </c>
      <c r="AN451" s="65">
        <v>1</v>
      </c>
      <c r="AO451" s="65" t="s">
        <v>202</v>
      </c>
      <c r="AP451" s="65">
        <v>2</v>
      </c>
      <c r="AQ451" s="65" t="s">
        <v>352</v>
      </c>
      <c r="AR451" s="65" t="s">
        <v>202</v>
      </c>
      <c r="AS451" s="65">
        <v>0</v>
      </c>
      <c r="AT451" s="65">
        <v>1</v>
      </c>
      <c r="AU451" s="65" t="s">
        <v>1529</v>
      </c>
      <c r="AV451" s="65" t="s">
        <v>1439</v>
      </c>
      <c r="AW451" s="65" t="s">
        <v>202</v>
      </c>
      <c r="AX451" s="65" t="s">
        <v>202</v>
      </c>
      <c r="AY451" s="65" t="s">
        <v>353</v>
      </c>
    </row>
    <row r="452" spans="1:51" x14ac:dyDescent="0.2">
      <c r="A452" s="65" t="s">
        <v>1773</v>
      </c>
      <c r="B452" s="65" t="s">
        <v>1205</v>
      </c>
      <c r="C452" s="65" t="s">
        <v>1206</v>
      </c>
      <c r="D452" s="65" t="s">
        <v>3076</v>
      </c>
      <c r="E452" s="65" t="s">
        <v>353</v>
      </c>
      <c r="F452" s="65" t="s">
        <v>1965</v>
      </c>
      <c r="G452" s="65" t="s">
        <v>1966</v>
      </c>
      <c r="H452" s="65" t="s">
        <v>2918</v>
      </c>
      <c r="I452" s="65" t="s">
        <v>3014</v>
      </c>
      <c r="J452" s="65">
        <v>3144344389</v>
      </c>
      <c r="K452" s="65" t="s">
        <v>3061</v>
      </c>
      <c r="L452" s="65" t="s">
        <v>3062</v>
      </c>
      <c r="M452" s="65" t="s">
        <v>365</v>
      </c>
      <c r="N452" s="65" t="s">
        <v>3063</v>
      </c>
      <c r="O452" s="65" t="s">
        <v>2923</v>
      </c>
      <c r="P452" s="65" t="s">
        <v>2924</v>
      </c>
      <c r="Q452" s="65" t="s">
        <v>2925</v>
      </c>
      <c r="R452" s="65" t="s">
        <v>2926</v>
      </c>
      <c r="S452" s="65" t="s">
        <v>2810</v>
      </c>
      <c r="T452" s="65" t="s">
        <v>2810</v>
      </c>
      <c r="U452" s="65" t="s">
        <v>3018</v>
      </c>
      <c r="V452" s="65" t="s">
        <v>3019</v>
      </c>
      <c r="W452" s="65" t="s">
        <v>2465</v>
      </c>
      <c r="X452" s="65" t="s">
        <v>2466</v>
      </c>
      <c r="Y452" s="65" t="s">
        <v>3077</v>
      </c>
      <c r="Z452" s="65" t="s">
        <v>1338</v>
      </c>
      <c r="AA452" s="65" t="s">
        <v>3078</v>
      </c>
      <c r="AB452" s="65">
        <v>3</v>
      </c>
      <c r="AC452" s="65" t="s">
        <v>3079</v>
      </c>
      <c r="AD452" s="65" t="s">
        <v>3080</v>
      </c>
      <c r="AE452" s="65" t="s">
        <v>3081</v>
      </c>
      <c r="AF452" s="65" t="s">
        <v>1437</v>
      </c>
      <c r="AG452" s="65">
        <v>2</v>
      </c>
      <c r="AH452" s="65">
        <v>1</v>
      </c>
      <c r="AI452" s="65">
        <v>2</v>
      </c>
      <c r="AJ452" s="65">
        <v>2</v>
      </c>
      <c r="AK452" s="65" t="s">
        <v>353</v>
      </c>
      <c r="AL452" s="128">
        <v>45016</v>
      </c>
      <c r="AM452" s="65">
        <v>4</v>
      </c>
      <c r="AN452" s="65">
        <v>2</v>
      </c>
      <c r="AO452" s="65" t="s">
        <v>353</v>
      </c>
      <c r="AP452" s="65">
        <v>2</v>
      </c>
      <c r="AQ452" s="65" t="s">
        <v>355</v>
      </c>
      <c r="AR452" s="65" t="s">
        <v>202</v>
      </c>
      <c r="AS452" s="65">
        <v>1</v>
      </c>
      <c r="AT452" s="65">
        <v>1</v>
      </c>
      <c r="AU452" s="65" t="s">
        <v>1438</v>
      </c>
      <c r="AV452" s="65" t="s">
        <v>1439</v>
      </c>
      <c r="AW452" s="65" t="s">
        <v>202</v>
      </c>
      <c r="AX452" s="65" t="s">
        <v>202</v>
      </c>
      <c r="AY452" s="65" t="s">
        <v>202</v>
      </c>
    </row>
    <row r="453" spans="1:51" x14ac:dyDescent="0.2">
      <c r="A453" s="65" t="s">
        <v>1773</v>
      </c>
      <c r="B453" s="65" t="s">
        <v>848</v>
      </c>
      <c r="C453" s="65" t="s">
        <v>849</v>
      </c>
      <c r="D453" s="65" t="s">
        <v>3082</v>
      </c>
      <c r="E453" s="65" t="s">
        <v>353</v>
      </c>
      <c r="F453" s="65" t="s">
        <v>1965</v>
      </c>
      <c r="G453" s="65" t="s">
        <v>1966</v>
      </c>
      <c r="H453" s="65" t="s">
        <v>2918</v>
      </c>
      <c r="I453" s="65" t="s">
        <v>3014</v>
      </c>
      <c r="J453" s="65">
        <v>3144344389</v>
      </c>
      <c r="K453" s="65" t="s">
        <v>3061</v>
      </c>
      <c r="L453" s="65" t="s">
        <v>3062</v>
      </c>
      <c r="M453" s="65" t="s">
        <v>365</v>
      </c>
      <c r="N453" s="65" t="s">
        <v>3063</v>
      </c>
      <c r="O453" s="65" t="s">
        <v>2923</v>
      </c>
      <c r="P453" s="65" t="s">
        <v>2924</v>
      </c>
      <c r="Q453" s="65" t="s">
        <v>2925</v>
      </c>
      <c r="R453" s="65" t="s">
        <v>2926</v>
      </c>
      <c r="S453" s="65" t="s">
        <v>2810</v>
      </c>
      <c r="T453" s="65" t="s">
        <v>2810</v>
      </c>
      <c r="U453" s="65" t="s">
        <v>3018</v>
      </c>
      <c r="V453" s="65" t="s">
        <v>3019</v>
      </c>
      <c r="W453" s="65" t="s">
        <v>2465</v>
      </c>
      <c r="X453" s="65" t="s">
        <v>2466</v>
      </c>
      <c r="Y453" s="65" t="s">
        <v>1967</v>
      </c>
      <c r="Z453" s="65" t="s">
        <v>1338</v>
      </c>
      <c r="AA453" s="65" t="s">
        <v>3083</v>
      </c>
      <c r="AB453" s="65">
        <v>3</v>
      </c>
      <c r="AC453" s="65" t="s">
        <v>2580</v>
      </c>
      <c r="AD453" s="65" t="s">
        <v>2067</v>
      </c>
      <c r="AE453" s="65" t="s">
        <v>3084</v>
      </c>
      <c r="AF453" s="65" t="s">
        <v>1437</v>
      </c>
      <c r="AG453" s="65">
        <v>2</v>
      </c>
      <c r="AH453" s="65">
        <v>2</v>
      </c>
      <c r="AI453" s="65">
        <v>2</v>
      </c>
      <c r="AJ453" s="65">
        <v>2</v>
      </c>
      <c r="AK453" s="65" t="s">
        <v>353</v>
      </c>
      <c r="AL453" s="128">
        <v>45002</v>
      </c>
      <c r="AM453" s="65">
        <v>4</v>
      </c>
      <c r="AN453" s="65">
        <v>2</v>
      </c>
      <c r="AO453" s="65" t="s">
        <v>353</v>
      </c>
      <c r="AP453" s="65">
        <v>2</v>
      </c>
      <c r="AQ453" s="65" t="s">
        <v>354</v>
      </c>
      <c r="AR453" s="65" t="s">
        <v>202</v>
      </c>
      <c r="AS453" s="65">
        <v>1</v>
      </c>
      <c r="AT453" s="65">
        <v>1</v>
      </c>
      <c r="AU453" s="65" t="s">
        <v>1438</v>
      </c>
      <c r="AV453" s="65" t="s">
        <v>1439</v>
      </c>
      <c r="AW453" s="65" t="s">
        <v>202</v>
      </c>
      <c r="AX453" s="65" t="s">
        <v>202</v>
      </c>
      <c r="AY453" s="65" t="s">
        <v>353</v>
      </c>
    </row>
    <row r="454" spans="1:51" x14ac:dyDescent="0.2">
      <c r="A454" s="65" t="s">
        <v>1773</v>
      </c>
      <c r="B454" s="65" t="s">
        <v>641</v>
      </c>
      <c r="C454" s="65" t="s">
        <v>642</v>
      </c>
      <c r="D454" s="65" t="s">
        <v>3085</v>
      </c>
      <c r="E454" s="65" t="s">
        <v>353</v>
      </c>
      <c r="F454" s="65" t="s">
        <v>1965</v>
      </c>
      <c r="G454" s="65" t="s">
        <v>1966</v>
      </c>
      <c r="H454" s="65" t="s">
        <v>2918</v>
      </c>
      <c r="I454" s="65" t="s">
        <v>3014</v>
      </c>
      <c r="J454" s="65">
        <v>3144344389</v>
      </c>
      <c r="K454" s="65" t="s">
        <v>3061</v>
      </c>
      <c r="L454" s="65" t="s">
        <v>3062</v>
      </c>
      <c r="M454" s="65" t="s">
        <v>365</v>
      </c>
      <c r="N454" s="65" t="s">
        <v>3063</v>
      </c>
      <c r="O454" s="65" t="s">
        <v>2923</v>
      </c>
      <c r="P454" s="65" t="s">
        <v>2924</v>
      </c>
      <c r="Q454" s="65" t="s">
        <v>2925</v>
      </c>
      <c r="R454" s="65" t="s">
        <v>2926</v>
      </c>
      <c r="S454" s="65" t="s">
        <v>2810</v>
      </c>
      <c r="T454" s="65" t="s">
        <v>2810</v>
      </c>
      <c r="U454" s="65" t="s">
        <v>3018</v>
      </c>
      <c r="V454" s="65" t="s">
        <v>3019</v>
      </c>
      <c r="W454" s="65" t="s">
        <v>2465</v>
      </c>
      <c r="X454" s="65" t="s">
        <v>2466</v>
      </c>
      <c r="Y454" s="65" t="s">
        <v>642</v>
      </c>
      <c r="Z454" s="65" t="s">
        <v>1338</v>
      </c>
      <c r="AA454" s="65" t="s">
        <v>3086</v>
      </c>
      <c r="AB454" s="65">
        <v>2</v>
      </c>
      <c r="AC454" s="65" t="s">
        <v>3087</v>
      </c>
      <c r="AD454" s="65" t="s">
        <v>1559</v>
      </c>
      <c r="AE454" s="65" t="s">
        <v>3088</v>
      </c>
      <c r="AF454" s="65" t="s">
        <v>1446</v>
      </c>
      <c r="AG454" s="65">
        <v>4</v>
      </c>
      <c r="AH454" s="65">
        <v>0</v>
      </c>
      <c r="AI454" s="65">
        <v>2</v>
      </c>
      <c r="AJ454" s="65">
        <v>2</v>
      </c>
      <c r="AK454" s="65" t="s">
        <v>353</v>
      </c>
      <c r="AL454" s="128">
        <v>45017</v>
      </c>
      <c r="AM454" s="65">
        <v>4</v>
      </c>
      <c r="AN454" s="65">
        <v>2</v>
      </c>
      <c r="AO454" s="65" t="s">
        <v>202</v>
      </c>
      <c r="AP454" s="65">
        <v>2</v>
      </c>
      <c r="AQ454" s="65" t="s">
        <v>352</v>
      </c>
      <c r="AR454" s="65" t="s">
        <v>202</v>
      </c>
      <c r="AS454" s="65">
        <v>1</v>
      </c>
      <c r="AT454" s="65">
        <v>1</v>
      </c>
      <c r="AU454" s="65" t="s">
        <v>1438</v>
      </c>
      <c r="AV454" s="65" t="s">
        <v>1439</v>
      </c>
      <c r="AW454" s="65" t="s">
        <v>202</v>
      </c>
      <c r="AX454" s="65" t="s">
        <v>202</v>
      </c>
      <c r="AY454" s="65" t="s">
        <v>353</v>
      </c>
    </row>
    <row r="455" spans="1:51" x14ac:dyDescent="0.2">
      <c r="A455" s="65" t="s">
        <v>1773</v>
      </c>
      <c r="B455" s="65" t="s">
        <v>852</v>
      </c>
      <c r="C455" s="65" t="s">
        <v>853</v>
      </c>
      <c r="D455" s="65" t="s">
        <v>3089</v>
      </c>
      <c r="E455" s="65" t="s">
        <v>353</v>
      </c>
      <c r="F455" s="65" t="s">
        <v>1965</v>
      </c>
      <c r="G455" s="65" t="s">
        <v>1966</v>
      </c>
      <c r="H455" s="65" t="s">
        <v>2918</v>
      </c>
      <c r="I455" s="65" t="s">
        <v>3014</v>
      </c>
      <c r="J455" s="65">
        <v>3144344389</v>
      </c>
      <c r="K455" s="65" t="s">
        <v>3061</v>
      </c>
      <c r="L455" s="65" t="s">
        <v>3062</v>
      </c>
      <c r="M455" s="65" t="s">
        <v>365</v>
      </c>
      <c r="N455" s="65" t="s">
        <v>3063</v>
      </c>
      <c r="O455" s="65" t="s">
        <v>2923</v>
      </c>
      <c r="P455" s="65" t="s">
        <v>2924</v>
      </c>
      <c r="Q455" s="65" t="s">
        <v>2925</v>
      </c>
      <c r="R455" s="65" t="s">
        <v>2926</v>
      </c>
      <c r="S455" s="65" t="s">
        <v>2810</v>
      </c>
      <c r="T455" s="65" t="s">
        <v>2810</v>
      </c>
      <c r="U455" s="65" t="s">
        <v>3018</v>
      </c>
      <c r="V455" s="65" t="s">
        <v>3019</v>
      </c>
      <c r="W455" s="65" t="s">
        <v>2465</v>
      </c>
      <c r="X455" s="65" t="s">
        <v>2466</v>
      </c>
      <c r="Y455" s="65" t="s">
        <v>1967</v>
      </c>
      <c r="Z455" s="65" t="s">
        <v>1338</v>
      </c>
      <c r="AA455" s="65" t="s">
        <v>3090</v>
      </c>
      <c r="AB455" s="65">
        <v>3</v>
      </c>
      <c r="AC455" s="65" t="s">
        <v>3091</v>
      </c>
      <c r="AD455" s="65" t="s">
        <v>2971</v>
      </c>
      <c r="AE455" s="65" t="s">
        <v>3092</v>
      </c>
      <c r="AF455" s="65" t="s">
        <v>1446</v>
      </c>
      <c r="AG455" s="65">
        <v>3</v>
      </c>
      <c r="AH455" s="65">
        <v>2</v>
      </c>
      <c r="AI455" s="65">
        <v>2</v>
      </c>
      <c r="AJ455" s="65">
        <v>2</v>
      </c>
      <c r="AK455" s="65" t="s">
        <v>202</v>
      </c>
      <c r="AL455" s="128">
        <v>44985</v>
      </c>
      <c r="AM455" s="65">
        <v>4</v>
      </c>
      <c r="AN455" s="65">
        <v>2</v>
      </c>
      <c r="AO455" s="65" t="s">
        <v>202</v>
      </c>
      <c r="AP455" s="65">
        <v>2</v>
      </c>
      <c r="AQ455" s="65" t="s">
        <v>355</v>
      </c>
      <c r="AR455" s="65" t="s">
        <v>202</v>
      </c>
      <c r="AS455" s="65">
        <v>1</v>
      </c>
      <c r="AT455" s="65">
        <v>1</v>
      </c>
      <c r="AU455" s="65" t="s">
        <v>1438</v>
      </c>
      <c r="AV455" s="65" t="s">
        <v>1439</v>
      </c>
      <c r="AW455" s="65" t="s">
        <v>202</v>
      </c>
      <c r="AX455" s="65" t="s">
        <v>202</v>
      </c>
      <c r="AY455" s="65" t="s">
        <v>202</v>
      </c>
    </row>
    <row r="456" spans="1:51" x14ac:dyDescent="0.2">
      <c r="A456" s="65" t="s">
        <v>1773</v>
      </c>
      <c r="B456" s="65" t="s">
        <v>643</v>
      </c>
      <c r="C456" s="65" t="s">
        <v>644</v>
      </c>
      <c r="D456" s="65" t="s">
        <v>3093</v>
      </c>
      <c r="E456" s="65" t="s">
        <v>353</v>
      </c>
      <c r="F456" s="65" t="s">
        <v>1965</v>
      </c>
      <c r="G456" s="65" t="s">
        <v>1966</v>
      </c>
      <c r="H456" s="65" t="s">
        <v>2918</v>
      </c>
      <c r="I456" s="65" t="s">
        <v>3014</v>
      </c>
      <c r="J456" s="65">
        <v>3144344389</v>
      </c>
      <c r="K456" s="65" t="s">
        <v>3061</v>
      </c>
      <c r="L456" s="65" t="s">
        <v>3062</v>
      </c>
      <c r="M456" s="65" t="s">
        <v>365</v>
      </c>
      <c r="N456" s="65" t="s">
        <v>3063</v>
      </c>
      <c r="O456" s="65" t="s">
        <v>2923</v>
      </c>
      <c r="P456" s="65" t="s">
        <v>2924</v>
      </c>
      <c r="Q456" s="65" t="s">
        <v>2925</v>
      </c>
      <c r="R456" s="65" t="s">
        <v>2926</v>
      </c>
      <c r="S456" s="65" t="s">
        <v>2810</v>
      </c>
      <c r="T456" s="65" t="s">
        <v>2810</v>
      </c>
      <c r="U456" s="65" t="s">
        <v>3018</v>
      </c>
      <c r="V456" s="65" t="s">
        <v>3019</v>
      </c>
      <c r="W456" s="65" t="s">
        <v>2465</v>
      </c>
      <c r="X456" s="65" t="s">
        <v>2466</v>
      </c>
      <c r="Y456" s="65" t="s">
        <v>644</v>
      </c>
      <c r="Z456" s="65" t="s">
        <v>1338</v>
      </c>
      <c r="AA456" s="65" t="s">
        <v>3094</v>
      </c>
      <c r="AB456" s="65">
        <v>2</v>
      </c>
      <c r="AC456" s="65" t="s">
        <v>3095</v>
      </c>
      <c r="AD456" s="65" t="s">
        <v>1554</v>
      </c>
      <c r="AE456" s="65" t="s">
        <v>3096</v>
      </c>
      <c r="AF456" s="65" t="s">
        <v>1437</v>
      </c>
      <c r="AG456" s="65">
        <v>1</v>
      </c>
      <c r="AH456" s="65">
        <v>0</v>
      </c>
      <c r="AI456" s="65">
        <v>3</v>
      </c>
      <c r="AJ456" s="65">
        <v>2</v>
      </c>
      <c r="AK456" s="65" t="s">
        <v>353</v>
      </c>
      <c r="AL456" s="128">
        <v>45013</v>
      </c>
      <c r="AM456" s="65">
        <v>4</v>
      </c>
      <c r="AN456" s="65">
        <v>2</v>
      </c>
      <c r="AO456" s="65" t="s">
        <v>202</v>
      </c>
      <c r="AP456" s="65">
        <v>2</v>
      </c>
      <c r="AQ456" s="65" t="s">
        <v>352</v>
      </c>
      <c r="AR456" s="65" t="s">
        <v>202</v>
      </c>
      <c r="AS456" s="65">
        <v>1</v>
      </c>
      <c r="AT456" s="65">
        <v>1</v>
      </c>
      <c r="AU456" s="65" t="s">
        <v>1438</v>
      </c>
      <c r="AV456" s="65" t="s">
        <v>1439</v>
      </c>
      <c r="AW456" s="65" t="s">
        <v>202</v>
      </c>
      <c r="AX456" s="65" t="s">
        <v>202</v>
      </c>
      <c r="AY456" s="65" t="s">
        <v>353</v>
      </c>
    </row>
    <row r="457" spans="1:51" x14ac:dyDescent="0.2">
      <c r="A457" s="65" t="s">
        <v>1773</v>
      </c>
      <c r="B457" s="65" t="s">
        <v>647</v>
      </c>
      <c r="C457" s="65" t="s">
        <v>648</v>
      </c>
      <c r="D457" s="65" t="s">
        <v>3097</v>
      </c>
      <c r="E457" s="65" t="s">
        <v>353</v>
      </c>
      <c r="F457" s="65" t="s">
        <v>1965</v>
      </c>
      <c r="G457" s="65" t="s">
        <v>1966</v>
      </c>
      <c r="H457" s="65" t="s">
        <v>2918</v>
      </c>
      <c r="I457" s="65" t="s">
        <v>3014</v>
      </c>
      <c r="J457" s="65">
        <v>3144344389</v>
      </c>
      <c r="K457" s="65" t="s">
        <v>3061</v>
      </c>
      <c r="L457" s="65" t="s">
        <v>3062</v>
      </c>
      <c r="M457" s="65" t="s">
        <v>365</v>
      </c>
      <c r="N457" s="65" t="s">
        <v>3063</v>
      </c>
      <c r="O457" s="65" t="s">
        <v>2923</v>
      </c>
      <c r="P457" s="65" t="s">
        <v>2924</v>
      </c>
      <c r="Q457" s="65" t="s">
        <v>2925</v>
      </c>
      <c r="R457" s="65" t="s">
        <v>2926</v>
      </c>
      <c r="S457" s="65" t="s">
        <v>2810</v>
      </c>
      <c r="T457" s="65" t="s">
        <v>2810</v>
      </c>
      <c r="U457" s="65" t="s">
        <v>3018</v>
      </c>
      <c r="V457" s="65" t="s">
        <v>3019</v>
      </c>
      <c r="W457" s="65" t="s">
        <v>2465</v>
      </c>
      <c r="X457" s="65" t="s">
        <v>2466</v>
      </c>
      <c r="Y457" s="65" t="s">
        <v>648</v>
      </c>
      <c r="Z457" s="65" t="s">
        <v>1338</v>
      </c>
      <c r="AA457" s="65" t="s">
        <v>3098</v>
      </c>
      <c r="AB457" s="65">
        <v>1</v>
      </c>
      <c r="AC457" s="65" t="s">
        <v>2268</v>
      </c>
      <c r="AD457" s="65" t="s">
        <v>3099</v>
      </c>
      <c r="AE457" s="65" t="s">
        <v>3100</v>
      </c>
      <c r="AF457" s="65" t="s">
        <v>1437</v>
      </c>
      <c r="AG457" s="65">
        <v>1</v>
      </c>
      <c r="AH457" s="65">
        <v>0</v>
      </c>
      <c r="AI457" s="65">
        <v>2</v>
      </c>
      <c r="AJ457" s="65">
        <v>2</v>
      </c>
      <c r="AK457" s="65" t="s">
        <v>353</v>
      </c>
      <c r="AL457" s="128">
        <v>45081</v>
      </c>
      <c r="AM457" s="65">
        <v>4</v>
      </c>
      <c r="AN457" s="65">
        <v>2</v>
      </c>
      <c r="AO457" s="65" t="s">
        <v>202</v>
      </c>
      <c r="AP457" s="65">
        <v>1</v>
      </c>
      <c r="AQ457" s="65" t="s">
        <v>352</v>
      </c>
      <c r="AR457" s="65" t="s">
        <v>202</v>
      </c>
      <c r="AS457" s="65">
        <v>1</v>
      </c>
      <c r="AT457" s="65">
        <v>1</v>
      </c>
      <c r="AU457" s="65" t="s">
        <v>1529</v>
      </c>
      <c r="AV457" s="65" t="s">
        <v>1439</v>
      </c>
      <c r="AW457" s="65" t="s">
        <v>202</v>
      </c>
      <c r="AX457" s="65" t="s">
        <v>202</v>
      </c>
      <c r="AY457" s="65" t="s">
        <v>353</v>
      </c>
    </row>
    <row r="458" spans="1:51" x14ac:dyDescent="0.2">
      <c r="A458" s="65" t="s">
        <v>1773</v>
      </c>
      <c r="B458" s="65" t="s">
        <v>621</v>
      </c>
      <c r="C458" s="65" t="s">
        <v>622</v>
      </c>
      <c r="D458" s="65" t="s">
        <v>3101</v>
      </c>
      <c r="E458" s="65" t="s">
        <v>353</v>
      </c>
      <c r="F458" s="65" t="s">
        <v>1965</v>
      </c>
      <c r="G458" s="65" t="s">
        <v>1966</v>
      </c>
      <c r="H458" s="65" t="s">
        <v>2918</v>
      </c>
      <c r="I458" s="65" t="s">
        <v>3014</v>
      </c>
      <c r="J458" s="65">
        <v>3144344389</v>
      </c>
      <c r="K458" s="65" t="s">
        <v>3102</v>
      </c>
      <c r="L458" s="65" t="s">
        <v>3103</v>
      </c>
      <c r="M458" s="65" t="s">
        <v>363</v>
      </c>
      <c r="N458" s="65" t="s">
        <v>3104</v>
      </c>
      <c r="O458" s="65" t="s">
        <v>2923</v>
      </c>
      <c r="P458" s="65" t="s">
        <v>2924</v>
      </c>
      <c r="Q458" s="65" t="s">
        <v>2925</v>
      </c>
      <c r="R458" s="65" t="s">
        <v>2926</v>
      </c>
      <c r="S458" s="65" t="s">
        <v>2810</v>
      </c>
      <c r="T458" s="65" t="s">
        <v>2810</v>
      </c>
      <c r="U458" s="65" t="s">
        <v>3018</v>
      </c>
      <c r="V458" s="65" t="s">
        <v>3019</v>
      </c>
      <c r="W458" s="65" t="s">
        <v>2465</v>
      </c>
      <c r="X458" s="65" t="s">
        <v>2466</v>
      </c>
      <c r="Y458" s="65" t="s">
        <v>622</v>
      </c>
      <c r="Z458" s="65" t="s">
        <v>1338</v>
      </c>
      <c r="AA458" s="65" t="s">
        <v>3105</v>
      </c>
      <c r="AB458" s="65">
        <v>2</v>
      </c>
      <c r="AC458" s="65" t="s">
        <v>3106</v>
      </c>
      <c r="AD458" s="65" t="s">
        <v>3107</v>
      </c>
      <c r="AE458" s="65" t="s">
        <v>3108</v>
      </c>
      <c r="AF458" s="65" t="s">
        <v>1437</v>
      </c>
      <c r="AG458" s="65">
        <v>1</v>
      </c>
      <c r="AH458" s="65">
        <v>0</v>
      </c>
      <c r="AI458" s="65">
        <v>2</v>
      </c>
      <c r="AJ458" s="65">
        <v>0</v>
      </c>
      <c r="AK458" s="65" t="s">
        <v>202</v>
      </c>
      <c r="AL458" s="128">
        <v>45008</v>
      </c>
      <c r="AM458" s="65">
        <v>3</v>
      </c>
      <c r="AN458" s="65">
        <v>1</v>
      </c>
      <c r="AO458" s="65" t="s">
        <v>202</v>
      </c>
      <c r="AP458" s="65">
        <v>1</v>
      </c>
      <c r="AQ458" s="65" t="s">
        <v>352</v>
      </c>
      <c r="AR458" s="65" t="s">
        <v>202</v>
      </c>
      <c r="AS458" s="65">
        <v>1</v>
      </c>
      <c r="AT458" s="65">
        <v>1</v>
      </c>
      <c r="AU458" s="65" t="s">
        <v>1529</v>
      </c>
      <c r="AV458" s="65" t="s">
        <v>1439</v>
      </c>
      <c r="AW458" s="65" t="s">
        <v>202</v>
      </c>
      <c r="AX458" s="65" t="s">
        <v>202</v>
      </c>
      <c r="AY458" s="65" t="s">
        <v>202</v>
      </c>
    </row>
    <row r="459" spans="1:51" x14ac:dyDescent="0.2">
      <c r="A459" s="65" t="s">
        <v>1773</v>
      </c>
      <c r="B459" s="65" t="s">
        <v>776</v>
      </c>
      <c r="C459" s="65" t="s">
        <v>777</v>
      </c>
      <c r="D459" s="65" t="s">
        <v>3109</v>
      </c>
      <c r="E459" s="65" t="s">
        <v>353</v>
      </c>
      <c r="F459" s="65" t="s">
        <v>1965</v>
      </c>
      <c r="G459" s="65" t="s">
        <v>1966</v>
      </c>
      <c r="H459" s="65" t="s">
        <v>2918</v>
      </c>
      <c r="I459" s="65" t="s">
        <v>3014</v>
      </c>
      <c r="J459" s="65">
        <v>3144344389</v>
      </c>
      <c r="K459" s="65" t="s">
        <v>3102</v>
      </c>
      <c r="L459" s="65" t="s">
        <v>3103</v>
      </c>
      <c r="M459" s="65" t="s">
        <v>363</v>
      </c>
      <c r="N459" s="65" t="s">
        <v>3104</v>
      </c>
      <c r="O459" s="65" t="s">
        <v>2923</v>
      </c>
      <c r="P459" s="65" t="s">
        <v>2924</v>
      </c>
      <c r="Q459" s="65" t="s">
        <v>2925</v>
      </c>
      <c r="R459" s="65" t="s">
        <v>2926</v>
      </c>
      <c r="S459" s="65" t="s">
        <v>2810</v>
      </c>
      <c r="T459" s="65" t="s">
        <v>2810</v>
      </c>
      <c r="U459" s="65" t="s">
        <v>3018</v>
      </c>
      <c r="V459" s="65" t="s">
        <v>3019</v>
      </c>
      <c r="W459" s="65" t="s">
        <v>2465</v>
      </c>
      <c r="X459" s="65" t="s">
        <v>2466</v>
      </c>
      <c r="Y459" s="65" t="s">
        <v>777</v>
      </c>
      <c r="Z459" s="65" t="s">
        <v>1338</v>
      </c>
      <c r="AA459" s="65" t="s">
        <v>3110</v>
      </c>
      <c r="AB459" s="65">
        <v>3</v>
      </c>
      <c r="AC459" s="65" t="s">
        <v>3111</v>
      </c>
      <c r="AD459" s="65" t="s">
        <v>3112</v>
      </c>
      <c r="AE459" s="65" t="s">
        <v>3113</v>
      </c>
      <c r="AF459" s="65" t="s">
        <v>1437</v>
      </c>
      <c r="AG459" s="65">
        <v>1</v>
      </c>
      <c r="AH459" s="65">
        <v>1</v>
      </c>
      <c r="AI459" s="65">
        <v>2</v>
      </c>
      <c r="AJ459" s="65">
        <v>0</v>
      </c>
      <c r="AK459" s="65" t="s">
        <v>202</v>
      </c>
      <c r="AL459" s="128">
        <v>45045</v>
      </c>
      <c r="AM459" s="65">
        <v>3</v>
      </c>
      <c r="AN459" s="65">
        <v>1</v>
      </c>
      <c r="AO459" s="65" t="s">
        <v>202</v>
      </c>
      <c r="AP459" s="65">
        <v>1</v>
      </c>
      <c r="AQ459" s="65" t="s">
        <v>352</v>
      </c>
      <c r="AR459" s="65" t="s">
        <v>202</v>
      </c>
      <c r="AS459" s="65">
        <v>1</v>
      </c>
      <c r="AT459" s="65">
        <v>1</v>
      </c>
      <c r="AU459" s="65" t="s">
        <v>1529</v>
      </c>
      <c r="AV459" s="65" t="s">
        <v>1439</v>
      </c>
      <c r="AW459" s="65" t="s">
        <v>202</v>
      </c>
      <c r="AX459" s="65" t="s">
        <v>202</v>
      </c>
      <c r="AY459" s="65" t="s">
        <v>202</v>
      </c>
    </row>
    <row r="460" spans="1:51" x14ac:dyDescent="0.2">
      <c r="A460" s="65" t="s">
        <v>1773</v>
      </c>
      <c r="B460" s="65" t="s">
        <v>623</v>
      </c>
      <c r="C460" s="65" t="s">
        <v>624</v>
      </c>
      <c r="D460" s="65" t="s">
        <v>3114</v>
      </c>
      <c r="E460" s="65" t="s">
        <v>353</v>
      </c>
      <c r="F460" s="65" t="s">
        <v>1965</v>
      </c>
      <c r="G460" s="65" t="s">
        <v>1966</v>
      </c>
      <c r="H460" s="65" t="s">
        <v>2918</v>
      </c>
      <c r="I460" s="65" t="s">
        <v>3014</v>
      </c>
      <c r="J460" s="65">
        <v>3144344389</v>
      </c>
      <c r="K460" s="65" t="s">
        <v>3102</v>
      </c>
      <c r="L460" s="65" t="s">
        <v>3103</v>
      </c>
      <c r="M460" s="65" t="s">
        <v>363</v>
      </c>
      <c r="N460" s="65" t="s">
        <v>3104</v>
      </c>
      <c r="O460" s="65" t="s">
        <v>2923</v>
      </c>
      <c r="P460" s="65" t="s">
        <v>2924</v>
      </c>
      <c r="Q460" s="65" t="s">
        <v>2925</v>
      </c>
      <c r="R460" s="65" t="s">
        <v>2926</v>
      </c>
      <c r="S460" s="65" t="s">
        <v>2810</v>
      </c>
      <c r="T460" s="65" t="s">
        <v>2810</v>
      </c>
      <c r="U460" s="65" t="s">
        <v>3018</v>
      </c>
      <c r="V460" s="65" t="s">
        <v>3019</v>
      </c>
      <c r="W460" s="65" t="s">
        <v>2465</v>
      </c>
      <c r="X460" s="65" t="s">
        <v>2466</v>
      </c>
      <c r="Y460" s="65" t="s">
        <v>3115</v>
      </c>
      <c r="Z460" s="65" t="s">
        <v>3116</v>
      </c>
      <c r="AA460" s="65" t="s">
        <v>3117</v>
      </c>
      <c r="AB460" s="65">
        <v>2</v>
      </c>
      <c r="AC460" s="65" t="s">
        <v>3118</v>
      </c>
      <c r="AD460" s="65" t="s">
        <v>3119</v>
      </c>
      <c r="AE460" s="65" t="s">
        <v>3120</v>
      </c>
      <c r="AF460" s="65" t="s">
        <v>1437</v>
      </c>
      <c r="AG460" s="65">
        <v>1</v>
      </c>
      <c r="AH460" s="65">
        <v>0</v>
      </c>
      <c r="AI460" s="65">
        <v>2</v>
      </c>
      <c r="AJ460" s="65">
        <v>0</v>
      </c>
      <c r="AK460" s="65" t="s">
        <v>202</v>
      </c>
      <c r="AL460" s="128">
        <v>44985</v>
      </c>
      <c r="AM460" s="65">
        <v>3</v>
      </c>
      <c r="AN460" s="65">
        <v>0</v>
      </c>
      <c r="AO460" s="65" t="s">
        <v>202</v>
      </c>
      <c r="AP460" s="65">
        <v>1</v>
      </c>
      <c r="AQ460" s="65" t="s">
        <v>352</v>
      </c>
      <c r="AR460" s="65" t="s">
        <v>202</v>
      </c>
      <c r="AS460" s="65">
        <v>1</v>
      </c>
      <c r="AT460" s="65">
        <v>1</v>
      </c>
      <c r="AU460" s="65" t="s">
        <v>1529</v>
      </c>
      <c r="AV460" s="65" t="s">
        <v>1439</v>
      </c>
      <c r="AW460" s="65" t="s">
        <v>202</v>
      </c>
      <c r="AX460" s="65" t="s">
        <v>202</v>
      </c>
      <c r="AY460" s="65" t="s">
        <v>202</v>
      </c>
    </row>
    <row r="461" spans="1:51" x14ac:dyDescent="0.2">
      <c r="A461" s="65" t="s">
        <v>1773</v>
      </c>
      <c r="B461" s="65" t="s">
        <v>854</v>
      </c>
      <c r="C461" s="65" t="s">
        <v>855</v>
      </c>
      <c r="D461" s="65" t="s">
        <v>3121</v>
      </c>
      <c r="E461" s="65" t="s">
        <v>353</v>
      </c>
      <c r="F461" s="65" t="s">
        <v>1965</v>
      </c>
      <c r="G461" s="65" t="s">
        <v>1966</v>
      </c>
      <c r="H461" s="65" t="s">
        <v>2918</v>
      </c>
      <c r="I461" s="65" t="s">
        <v>3014</v>
      </c>
      <c r="J461" s="65">
        <v>3144344389</v>
      </c>
      <c r="K461" s="65" t="s">
        <v>3102</v>
      </c>
      <c r="L461" s="65" t="s">
        <v>3103</v>
      </c>
      <c r="M461" s="65" t="s">
        <v>363</v>
      </c>
      <c r="N461" s="65" t="s">
        <v>3104</v>
      </c>
      <c r="O461" s="65" t="s">
        <v>2923</v>
      </c>
      <c r="P461" s="65" t="s">
        <v>2924</v>
      </c>
      <c r="Q461" s="65" t="s">
        <v>2925</v>
      </c>
      <c r="R461" s="65" t="s">
        <v>2926</v>
      </c>
      <c r="S461" s="65" t="s">
        <v>2810</v>
      </c>
      <c r="T461" s="65" t="s">
        <v>2810</v>
      </c>
      <c r="U461" s="65" t="s">
        <v>3018</v>
      </c>
      <c r="V461" s="65" t="s">
        <v>3019</v>
      </c>
      <c r="W461" s="65" t="s">
        <v>2465</v>
      </c>
      <c r="X461" s="65" t="s">
        <v>2466</v>
      </c>
      <c r="Y461" s="65" t="s">
        <v>1974</v>
      </c>
      <c r="Z461" s="65" t="s">
        <v>1338</v>
      </c>
      <c r="AA461" s="65" t="s">
        <v>3122</v>
      </c>
      <c r="AB461" s="65">
        <v>2</v>
      </c>
      <c r="AC461" s="65" t="s">
        <v>2588</v>
      </c>
      <c r="AD461" s="65" t="s">
        <v>2135</v>
      </c>
      <c r="AE461" s="65" t="s">
        <v>3123</v>
      </c>
      <c r="AF461" s="65" t="s">
        <v>1437</v>
      </c>
      <c r="AG461" s="65">
        <v>2</v>
      </c>
      <c r="AH461" s="65">
        <v>2</v>
      </c>
      <c r="AI461" s="65">
        <v>2</v>
      </c>
      <c r="AJ461" s="65">
        <v>1</v>
      </c>
      <c r="AK461" s="65" t="s">
        <v>202</v>
      </c>
      <c r="AL461" s="128">
        <v>45044</v>
      </c>
      <c r="AM461" s="65">
        <v>4</v>
      </c>
      <c r="AN461" s="65">
        <v>2</v>
      </c>
      <c r="AO461" s="65" t="s">
        <v>353</v>
      </c>
      <c r="AP461" s="65">
        <v>2</v>
      </c>
      <c r="AQ461" s="65" t="s">
        <v>352</v>
      </c>
      <c r="AR461" s="65" t="s">
        <v>202</v>
      </c>
      <c r="AS461" s="65">
        <v>1</v>
      </c>
      <c r="AT461" s="65">
        <v>0</v>
      </c>
      <c r="AU461" s="65" t="s">
        <v>1438</v>
      </c>
      <c r="AV461" s="65" t="s">
        <v>1439</v>
      </c>
      <c r="AW461" s="65" t="s">
        <v>202</v>
      </c>
      <c r="AX461" s="65" t="s">
        <v>202</v>
      </c>
      <c r="AY461" s="65" t="s">
        <v>202</v>
      </c>
    </row>
    <row r="462" spans="1:51" x14ac:dyDescent="0.2">
      <c r="A462" s="65" t="s">
        <v>1773</v>
      </c>
      <c r="B462" s="65" t="s">
        <v>617</v>
      </c>
      <c r="C462" s="65" t="s">
        <v>618</v>
      </c>
      <c r="D462" s="65" t="s">
        <v>3124</v>
      </c>
      <c r="E462" s="65" t="s">
        <v>353</v>
      </c>
      <c r="F462" s="65" t="s">
        <v>1965</v>
      </c>
      <c r="G462" s="65" t="s">
        <v>1966</v>
      </c>
      <c r="H462" s="65" t="s">
        <v>2918</v>
      </c>
      <c r="I462" s="65" t="s">
        <v>3014</v>
      </c>
      <c r="J462" s="65">
        <v>3144344389</v>
      </c>
      <c r="K462" s="65" t="s">
        <v>3102</v>
      </c>
      <c r="L462" s="65" t="s">
        <v>3103</v>
      </c>
      <c r="M462" s="65" t="s">
        <v>363</v>
      </c>
      <c r="N462" s="65" t="s">
        <v>3104</v>
      </c>
      <c r="O462" s="65" t="s">
        <v>2923</v>
      </c>
      <c r="P462" s="65" t="s">
        <v>2924</v>
      </c>
      <c r="Q462" s="65" t="s">
        <v>2925</v>
      </c>
      <c r="R462" s="65" t="s">
        <v>2926</v>
      </c>
      <c r="S462" s="65" t="s">
        <v>2810</v>
      </c>
      <c r="T462" s="65" t="s">
        <v>2810</v>
      </c>
      <c r="U462" s="65" t="s">
        <v>3018</v>
      </c>
      <c r="V462" s="65" t="s">
        <v>3019</v>
      </c>
      <c r="W462" s="65" t="s">
        <v>2465</v>
      </c>
      <c r="X462" s="65" t="s">
        <v>2466</v>
      </c>
      <c r="Y462" s="65" t="s">
        <v>3115</v>
      </c>
      <c r="Z462" s="65" t="s">
        <v>3116</v>
      </c>
      <c r="AA462" s="65" t="s">
        <v>3125</v>
      </c>
      <c r="AB462" s="65">
        <v>3</v>
      </c>
      <c r="AC462" s="65" t="s">
        <v>1566</v>
      </c>
      <c r="AD462" s="65" t="s">
        <v>2164</v>
      </c>
      <c r="AE462" s="65" t="s">
        <v>3126</v>
      </c>
      <c r="AF462" s="65" t="s">
        <v>1437</v>
      </c>
      <c r="AG462" s="65">
        <v>0</v>
      </c>
      <c r="AH462" s="65">
        <v>0</v>
      </c>
      <c r="AI462" s="65">
        <v>2</v>
      </c>
      <c r="AJ462" s="65">
        <v>1</v>
      </c>
      <c r="AK462" s="65" t="s">
        <v>202</v>
      </c>
      <c r="AL462" s="128">
        <v>44985</v>
      </c>
      <c r="AM462" s="65">
        <v>3</v>
      </c>
      <c r="AN462" s="65">
        <v>2</v>
      </c>
      <c r="AO462" s="65" t="s">
        <v>202</v>
      </c>
      <c r="AP462" s="65">
        <v>1</v>
      </c>
      <c r="AQ462" s="65" t="s">
        <v>352</v>
      </c>
      <c r="AR462" s="65" t="s">
        <v>202</v>
      </c>
      <c r="AS462" s="65">
        <v>1</v>
      </c>
      <c r="AT462" s="65">
        <v>1</v>
      </c>
      <c r="AU462" s="65" t="s">
        <v>1529</v>
      </c>
      <c r="AV462" s="65" t="s">
        <v>1439</v>
      </c>
      <c r="AW462" s="65" t="s">
        <v>202</v>
      </c>
      <c r="AX462" s="65" t="s">
        <v>202</v>
      </c>
      <c r="AY462" s="65" t="s">
        <v>202</v>
      </c>
    </row>
    <row r="463" spans="1:51" x14ac:dyDescent="0.2">
      <c r="A463" s="65" t="s">
        <v>1773</v>
      </c>
      <c r="B463" s="65" t="s">
        <v>653</v>
      </c>
      <c r="C463" s="65" t="s">
        <v>654</v>
      </c>
      <c r="D463" s="65" t="s">
        <v>3127</v>
      </c>
      <c r="E463" s="65" t="s">
        <v>353</v>
      </c>
      <c r="F463" s="65" t="s">
        <v>1965</v>
      </c>
      <c r="G463" s="65" t="s">
        <v>1966</v>
      </c>
      <c r="H463" s="65" t="s">
        <v>2918</v>
      </c>
      <c r="I463" s="65" t="s">
        <v>3014</v>
      </c>
      <c r="J463" s="65">
        <v>3144344389</v>
      </c>
      <c r="K463" s="65" t="s">
        <v>3102</v>
      </c>
      <c r="L463" s="65" t="s">
        <v>3103</v>
      </c>
      <c r="M463" s="65" t="s">
        <v>363</v>
      </c>
      <c r="N463" s="65" t="s">
        <v>3104</v>
      </c>
      <c r="O463" s="65" t="s">
        <v>2923</v>
      </c>
      <c r="P463" s="65" t="s">
        <v>2924</v>
      </c>
      <c r="Q463" s="65" t="s">
        <v>2925</v>
      </c>
      <c r="R463" s="65" t="s">
        <v>2926</v>
      </c>
      <c r="S463" s="65" t="s">
        <v>2810</v>
      </c>
      <c r="T463" s="65" t="s">
        <v>2810</v>
      </c>
      <c r="U463" s="65" t="s">
        <v>3018</v>
      </c>
      <c r="V463" s="65" t="s">
        <v>3019</v>
      </c>
      <c r="W463" s="65" t="s">
        <v>2465</v>
      </c>
      <c r="X463" s="65" t="s">
        <v>2466</v>
      </c>
      <c r="Y463" s="65" t="s">
        <v>654</v>
      </c>
      <c r="Z463" s="65" t="s">
        <v>1338</v>
      </c>
      <c r="AA463" s="65" t="s">
        <v>3128</v>
      </c>
      <c r="AB463" s="65">
        <v>2</v>
      </c>
      <c r="AC463" s="65" t="s">
        <v>3129</v>
      </c>
      <c r="AD463" s="65" t="s">
        <v>2449</v>
      </c>
      <c r="AE463" s="65" t="s">
        <v>3130</v>
      </c>
      <c r="AF463" s="65" t="s">
        <v>1437</v>
      </c>
      <c r="AG463" s="65">
        <v>1</v>
      </c>
      <c r="AH463" s="65">
        <v>0</v>
      </c>
      <c r="AI463" s="65">
        <v>2</v>
      </c>
      <c r="AJ463" s="65">
        <v>1</v>
      </c>
      <c r="AK463" s="65" t="s">
        <v>202</v>
      </c>
      <c r="AL463" s="128">
        <v>45008</v>
      </c>
      <c r="AM463" s="65">
        <v>3</v>
      </c>
      <c r="AN463" s="65">
        <v>1</v>
      </c>
      <c r="AO463" s="65" t="s">
        <v>202</v>
      </c>
      <c r="AP463" s="65">
        <v>2</v>
      </c>
      <c r="AQ463" s="65" t="s">
        <v>352</v>
      </c>
      <c r="AR463" s="65" t="s">
        <v>202</v>
      </c>
      <c r="AS463" s="65">
        <v>1</v>
      </c>
      <c r="AT463" s="65">
        <v>1</v>
      </c>
      <c r="AU463" s="65" t="s">
        <v>1529</v>
      </c>
      <c r="AV463" s="65" t="s">
        <v>1439</v>
      </c>
      <c r="AW463" s="65" t="s">
        <v>202</v>
      </c>
      <c r="AX463" s="65" t="s">
        <v>202</v>
      </c>
      <c r="AY463" s="65" t="s">
        <v>202</v>
      </c>
    </row>
    <row r="464" spans="1:51" x14ac:dyDescent="0.2">
      <c r="A464" s="65" t="s">
        <v>1773</v>
      </c>
      <c r="B464" s="65" t="s">
        <v>619</v>
      </c>
      <c r="C464" s="65" t="s">
        <v>620</v>
      </c>
      <c r="D464" s="65" t="s">
        <v>3131</v>
      </c>
      <c r="E464" s="65" t="s">
        <v>353</v>
      </c>
      <c r="F464" s="65" t="s">
        <v>1965</v>
      </c>
      <c r="G464" s="65" t="s">
        <v>1966</v>
      </c>
      <c r="H464" s="65" t="s">
        <v>2918</v>
      </c>
      <c r="I464" s="65" t="s">
        <v>3014</v>
      </c>
      <c r="J464" s="65">
        <v>3144344389</v>
      </c>
      <c r="K464" s="65" t="s">
        <v>3102</v>
      </c>
      <c r="L464" s="65" t="s">
        <v>3103</v>
      </c>
      <c r="M464" s="65" t="s">
        <v>363</v>
      </c>
      <c r="N464" s="65" t="s">
        <v>3104</v>
      </c>
      <c r="O464" s="65" t="s">
        <v>2923</v>
      </c>
      <c r="P464" s="65" t="s">
        <v>2924</v>
      </c>
      <c r="Q464" s="65" t="s">
        <v>2925</v>
      </c>
      <c r="R464" s="65" t="s">
        <v>2926</v>
      </c>
      <c r="S464" s="65" t="s">
        <v>2810</v>
      </c>
      <c r="T464" s="65" t="s">
        <v>2810</v>
      </c>
      <c r="U464" s="65" t="s">
        <v>3018</v>
      </c>
      <c r="V464" s="65" t="s">
        <v>3019</v>
      </c>
      <c r="W464" s="65" t="s">
        <v>2465</v>
      </c>
      <c r="X464" s="65" t="s">
        <v>2466</v>
      </c>
      <c r="Y464" s="65" t="s">
        <v>1967</v>
      </c>
      <c r="Z464" s="65" t="s">
        <v>1338</v>
      </c>
      <c r="AA464" s="65" t="s">
        <v>3132</v>
      </c>
      <c r="AB464" s="65">
        <v>2</v>
      </c>
      <c r="AC464" s="65" t="s">
        <v>1450</v>
      </c>
      <c r="AD464" s="65" t="s">
        <v>2735</v>
      </c>
      <c r="AE464" s="65" t="s">
        <v>3133</v>
      </c>
      <c r="AF464" s="65" t="s">
        <v>1437</v>
      </c>
      <c r="AG464" s="65">
        <v>3</v>
      </c>
      <c r="AH464" s="65">
        <v>0</v>
      </c>
      <c r="AI464" s="65">
        <v>2</v>
      </c>
      <c r="AJ464" s="65">
        <v>2</v>
      </c>
      <c r="AK464" s="65" t="s">
        <v>353</v>
      </c>
      <c r="AL464" s="128">
        <v>44980</v>
      </c>
      <c r="AM464" s="65">
        <v>3</v>
      </c>
      <c r="AN464" s="65">
        <v>2</v>
      </c>
      <c r="AO464" s="65" t="s">
        <v>202</v>
      </c>
      <c r="AP464" s="65">
        <v>1</v>
      </c>
      <c r="AQ464" s="65" t="s">
        <v>352</v>
      </c>
      <c r="AR464" s="65" t="s">
        <v>202</v>
      </c>
      <c r="AS464" s="65">
        <v>1</v>
      </c>
      <c r="AT464" s="65">
        <v>1</v>
      </c>
      <c r="AU464" s="65" t="s">
        <v>1529</v>
      </c>
      <c r="AV464" s="65" t="s">
        <v>1439</v>
      </c>
      <c r="AW464" s="65" t="s">
        <v>202</v>
      </c>
      <c r="AX464" s="65" t="s">
        <v>202</v>
      </c>
      <c r="AY464" s="65" t="s">
        <v>202</v>
      </c>
    </row>
    <row r="465" spans="1:51" x14ac:dyDescent="0.2">
      <c r="A465" s="65" t="s">
        <v>1773</v>
      </c>
      <c r="B465" s="65" t="s">
        <v>655</v>
      </c>
      <c r="C465" s="65" t="s">
        <v>656</v>
      </c>
      <c r="D465" s="65" t="s">
        <v>3134</v>
      </c>
      <c r="E465" s="65" t="s">
        <v>353</v>
      </c>
      <c r="F465" s="65" t="s">
        <v>1965</v>
      </c>
      <c r="G465" s="65" t="s">
        <v>1966</v>
      </c>
      <c r="H465" s="65" t="s">
        <v>2918</v>
      </c>
      <c r="I465" s="65" t="s">
        <v>3014</v>
      </c>
      <c r="J465" s="65">
        <v>3144344389</v>
      </c>
      <c r="K465" s="65" t="s">
        <v>3102</v>
      </c>
      <c r="L465" s="65" t="s">
        <v>3103</v>
      </c>
      <c r="M465" s="65" t="s">
        <v>363</v>
      </c>
      <c r="N465" s="65" t="s">
        <v>3104</v>
      </c>
      <c r="O465" s="65" t="s">
        <v>2923</v>
      </c>
      <c r="P465" s="65" t="s">
        <v>2924</v>
      </c>
      <c r="Q465" s="65" t="s">
        <v>2925</v>
      </c>
      <c r="R465" s="65" t="s">
        <v>2926</v>
      </c>
      <c r="S465" s="65" t="s">
        <v>2810</v>
      </c>
      <c r="T465" s="65" t="s">
        <v>2810</v>
      </c>
      <c r="U465" s="65" t="s">
        <v>3018</v>
      </c>
      <c r="V465" s="65" t="s">
        <v>3019</v>
      </c>
      <c r="W465" s="65" t="s">
        <v>2465</v>
      </c>
      <c r="X465" s="65" t="s">
        <v>2466</v>
      </c>
      <c r="Y465" s="65" t="s">
        <v>656</v>
      </c>
      <c r="Z465" s="65" t="s">
        <v>1338</v>
      </c>
      <c r="AA465" s="65" t="s">
        <v>3135</v>
      </c>
      <c r="AB465" s="65">
        <v>2</v>
      </c>
      <c r="AC465" s="65" t="s">
        <v>3136</v>
      </c>
      <c r="AD465" s="65" t="s">
        <v>3137</v>
      </c>
      <c r="AE465" s="65" t="s">
        <v>3138</v>
      </c>
      <c r="AF465" s="65" t="s">
        <v>1437</v>
      </c>
      <c r="AG465" s="65">
        <v>1</v>
      </c>
      <c r="AH465" s="65">
        <v>0</v>
      </c>
      <c r="AI465" s="65">
        <v>2</v>
      </c>
      <c r="AJ465" s="65">
        <v>2</v>
      </c>
      <c r="AK465" s="65" t="s">
        <v>353</v>
      </c>
      <c r="AL465" s="128">
        <v>45000</v>
      </c>
      <c r="AM465" s="65">
        <v>4</v>
      </c>
      <c r="AN465" s="65">
        <v>1</v>
      </c>
      <c r="AO465" s="65" t="s">
        <v>202</v>
      </c>
      <c r="AP465" s="65">
        <v>2</v>
      </c>
      <c r="AQ465" s="65" t="s">
        <v>352</v>
      </c>
      <c r="AR465" s="65" t="s">
        <v>202</v>
      </c>
      <c r="AS465" s="65">
        <v>1</v>
      </c>
      <c r="AT465" s="65">
        <v>1</v>
      </c>
      <c r="AU465" s="65" t="s">
        <v>1529</v>
      </c>
      <c r="AV465" s="65" t="s">
        <v>1439</v>
      </c>
      <c r="AW465" s="65" t="s">
        <v>202</v>
      </c>
      <c r="AX465" s="65" t="s">
        <v>202</v>
      </c>
      <c r="AY465" s="65" t="s">
        <v>353</v>
      </c>
    </row>
    <row r="466" spans="1:51" x14ac:dyDescent="0.2">
      <c r="A466" s="65" t="s">
        <v>1773</v>
      </c>
      <c r="B466" s="65" t="s">
        <v>657</v>
      </c>
      <c r="C466" s="65" t="s">
        <v>658</v>
      </c>
      <c r="D466" s="65" t="s">
        <v>3139</v>
      </c>
      <c r="E466" s="65" t="s">
        <v>353</v>
      </c>
      <c r="F466" s="65" t="s">
        <v>1965</v>
      </c>
      <c r="G466" s="65" t="s">
        <v>1966</v>
      </c>
      <c r="H466" s="65" t="s">
        <v>2918</v>
      </c>
      <c r="I466" s="65" t="s">
        <v>3014</v>
      </c>
      <c r="J466" s="65">
        <v>3144344389</v>
      </c>
      <c r="K466" s="65" t="s">
        <v>3102</v>
      </c>
      <c r="L466" s="65" t="s">
        <v>3103</v>
      </c>
      <c r="M466" s="65" t="s">
        <v>363</v>
      </c>
      <c r="N466" s="65" t="s">
        <v>3104</v>
      </c>
      <c r="O466" s="65" t="s">
        <v>2923</v>
      </c>
      <c r="P466" s="65" t="s">
        <v>2924</v>
      </c>
      <c r="Q466" s="65" t="s">
        <v>2925</v>
      </c>
      <c r="R466" s="65" t="s">
        <v>2926</v>
      </c>
      <c r="S466" s="65" t="s">
        <v>2810</v>
      </c>
      <c r="T466" s="65" t="s">
        <v>2810</v>
      </c>
      <c r="U466" s="65" t="s">
        <v>3018</v>
      </c>
      <c r="V466" s="65" t="s">
        <v>3019</v>
      </c>
      <c r="W466" s="65" t="s">
        <v>2465</v>
      </c>
      <c r="X466" s="65" t="s">
        <v>2466</v>
      </c>
      <c r="Y466" s="65" t="s">
        <v>1967</v>
      </c>
      <c r="Z466" s="65" t="s">
        <v>1338</v>
      </c>
      <c r="AA466" s="65" t="s">
        <v>3140</v>
      </c>
      <c r="AB466" s="65">
        <v>3</v>
      </c>
      <c r="AC466" s="65" t="s">
        <v>2761</v>
      </c>
      <c r="AD466" s="65" t="s">
        <v>3141</v>
      </c>
      <c r="AE466" s="65" t="s">
        <v>3142</v>
      </c>
      <c r="AF466" s="65" t="s">
        <v>1437</v>
      </c>
      <c r="AG466" s="65">
        <v>2</v>
      </c>
      <c r="AH466" s="65">
        <v>0</v>
      </c>
      <c r="AI466" s="65">
        <v>2</v>
      </c>
      <c r="AJ466" s="65">
        <v>2</v>
      </c>
      <c r="AK466" s="65" t="s">
        <v>353</v>
      </c>
      <c r="AL466" s="128">
        <v>45015</v>
      </c>
      <c r="AM466" s="65">
        <v>4</v>
      </c>
      <c r="AN466" s="65">
        <v>2</v>
      </c>
      <c r="AO466" s="65" t="s">
        <v>353</v>
      </c>
      <c r="AP466" s="65">
        <v>2</v>
      </c>
      <c r="AQ466" s="65" t="s">
        <v>352</v>
      </c>
      <c r="AR466" s="65" t="s">
        <v>202</v>
      </c>
      <c r="AS466" s="65">
        <v>0</v>
      </c>
      <c r="AT466" s="65">
        <v>0</v>
      </c>
      <c r="AU466" s="65" t="s">
        <v>1438</v>
      </c>
      <c r="AV466" s="65" t="s">
        <v>1439</v>
      </c>
      <c r="AW466" s="65" t="s">
        <v>202</v>
      </c>
      <c r="AX466" s="65" t="s">
        <v>202</v>
      </c>
      <c r="AY466" s="65" t="s">
        <v>202</v>
      </c>
    </row>
    <row r="467" spans="1:51" x14ac:dyDescent="0.2">
      <c r="A467" s="65" t="s">
        <v>1773</v>
      </c>
      <c r="B467" s="65" t="s">
        <v>659</v>
      </c>
      <c r="C467" s="65" t="s">
        <v>660</v>
      </c>
      <c r="D467" s="65" t="s">
        <v>3143</v>
      </c>
      <c r="E467" s="65" t="s">
        <v>353</v>
      </c>
      <c r="F467" s="65" t="s">
        <v>1965</v>
      </c>
      <c r="G467" s="65" t="s">
        <v>1966</v>
      </c>
      <c r="H467" s="65" t="s">
        <v>2918</v>
      </c>
      <c r="I467" s="65" t="s">
        <v>3014</v>
      </c>
      <c r="J467" s="65">
        <v>3144344389</v>
      </c>
      <c r="K467" s="65" t="s">
        <v>3102</v>
      </c>
      <c r="L467" s="65" t="s">
        <v>3103</v>
      </c>
      <c r="M467" s="65" t="s">
        <v>363</v>
      </c>
      <c r="N467" s="65" t="s">
        <v>3104</v>
      </c>
      <c r="O467" s="65" t="s">
        <v>2923</v>
      </c>
      <c r="P467" s="65" t="s">
        <v>2924</v>
      </c>
      <c r="Q467" s="65" t="s">
        <v>2925</v>
      </c>
      <c r="R467" s="65" t="s">
        <v>2926</v>
      </c>
      <c r="S467" s="65" t="s">
        <v>2810</v>
      </c>
      <c r="T467" s="65" t="s">
        <v>2810</v>
      </c>
      <c r="U467" s="65" t="s">
        <v>3018</v>
      </c>
      <c r="V467" s="65" t="s">
        <v>3019</v>
      </c>
      <c r="W467" s="65" t="s">
        <v>2465</v>
      </c>
      <c r="X467" s="65" t="s">
        <v>2466</v>
      </c>
      <c r="Y467" s="65" t="s">
        <v>1967</v>
      </c>
      <c r="Z467" s="65" t="s">
        <v>1338</v>
      </c>
      <c r="AA467" s="65" t="s">
        <v>3144</v>
      </c>
      <c r="AB467" s="65">
        <v>3</v>
      </c>
      <c r="AC467" s="65" t="s">
        <v>1435</v>
      </c>
      <c r="AD467" s="65" t="s">
        <v>2997</v>
      </c>
      <c r="AE467" s="65" t="s">
        <v>3145</v>
      </c>
      <c r="AF467" s="65" t="s">
        <v>1446</v>
      </c>
      <c r="AG467" s="65">
        <v>2</v>
      </c>
      <c r="AH467" s="65">
        <v>0</v>
      </c>
      <c r="AI467" s="65">
        <v>2</v>
      </c>
      <c r="AJ467" s="65">
        <v>2</v>
      </c>
      <c r="AK467" s="65" t="s">
        <v>353</v>
      </c>
      <c r="AL467" s="128">
        <v>45015</v>
      </c>
      <c r="AM467" s="65">
        <v>3</v>
      </c>
      <c r="AN467" s="65">
        <v>2</v>
      </c>
      <c r="AO467" s="65" t="s">
        <v>202</v>
      </c>
      <c r="AP467" s="65">
        <v>2</v>
      </c>
      <c r="AQ467" s="65" t="s">
        <v>352</v>
      </c>
      <c r="AR467" s="65" t="s">
        <v>202</v>
      </c>
      <c r="AS467" s="65">
        <v>1</v>
      </c>
      <c r="AT467" s="65">
        <v>1</v>
      </c>
      <c r="AU467" s="65" t="s">
        <v>1529</v>
      </c>
      <c r="AV467" s="65" t="s">
        <v>1439</v>
      </c>
      <c r="AW467" s="65" t="s">
        <v>202</v>
      </c>
      <c r="AX467" s="65" t="s">
        <v>202</v>
      </c>
      <c r="AY467" s="65" t="s">
        <v>202</v>
      </c>
    </row>
    <row r="468" spans="1:51" x14ac:dyDescent="0.2">
      <c r="A468" s="65" t="s">
        <v>1773</v>
      </c>
      <c r="B468" s="65" t="s">
        <v>627</v>
      </c>
      <c r="C468" s="65" t="s">
        <v>628</v>
      </c>
      <c r="D468" s="65" t="s">
        <v>3146</v>
      </c>
      <c r="E468" s="65" t="s">
        <v>353</v>
      </c>
      <c r="F468" s="65" t="s">
        <v>1965</v>
      </c>
      <c r="G468" s="65" t="s">
        <v>1966</v>
      </c>
      <c r="H468" s="65" t="s">
        <v>2918</v>
      </c>
      <c r="I468" s="65" t="s">
        <v>3014</v>
      </c>
      <c r="J468" s="65">
        <v>3144344389</v>
      </c>
      <c r="K468" s="65" t="s">
        <v>3147</v>
      </c>
      <c r="L468" s="65" t="s">
        <v>3148</v>
      </c>
      <c r="M468" s="65" t="s">
        <v>361</v>
      </c>
      <c r="N468" s="65" t="s">
        <v>3149</v>
      </c>
      <c r="O468" s="65" t="s">
        <v>2923</v>
      </c>
      <c r="P468" s="65" t="s">
        <v>2924</v>
      </c>
      <c r="Q468" s="65" t="s">
        <v>2925</v>
      </c>
      <c r="R468" s="65" t="s">
        <v>2926</v>
      </c>
      <c r="S468" s="65" t="s">
        <v>2810</v>
      </c>
      <c r="T468" s="65" t="s">
        <v>2810</v>
      </c>
      <c r="U468" s="65" t="s">
        <v>3018</v>
      </c>
      <c r="V468" s="65" t="s">
        <v>3019</v>
      </c>
      <c r="W468" s="65" t="s">
        <v>2465</v>
      </c>
      <c r="X468" s="65" t="s">
        <v>2466</v>
      </c>
      <c r="Y468" s="65" t="s">
        <v>628</v>
      </c>
      <c r="Z468" s="65" t="s">
        <v>1338</v>
      </c>
      <c r="AA468" s="65" t="s">
        <v>3150</v>
      </c>
      <c r="AB468" s="65">
        <v>2</v>
      </c>
      <c r="AC468" s="65" t="s">
        <v>3151</v>
      </c>
      <c r="AD468" s="65" t="s">
        <v>3152</v>
      </c>
      <c r="AE468" s="65" t="s">
        <v>3153</v>
      </c>
      <c r="AF468" s="65" t="s">
        <v>1437</v>
      </c>
      <c r="AG468" s="65">
        <v>2</v>
      </c>
      <c r="AH468" s="65">
        <v>0</v>
      </c>
      <c r="AI468" s="65">
        <v>2</v>
      </c>
      <c r="AJ468" s="65">
        <v>1</v>
      </c>
      <c r="AK468" s="65" t="s">
        <v>353</v>
      </c>
      <c r="AL468" s="128">
        <v>45009</v>
      </c>
      <c r="AM468" s="65">
        <v>4</v>
      </c>
      <c r="AN468" s="65">
        <v>2</v>
      </c>
      <c r="AO468" s="65" t="s">
        <v>353</v>
      </c>
      <c r="AP468" s="65">
        <v>2</v>
      </c>
      <c r="AQ468" s="65" t="s">
        <v>352</v>
      </c>
      <c r="AR468" s="65" t="s">
        <v>202</v>
      </c>
      <c r="AS468" s="65">
        <v>1</v>
      </c>
      <c r="AT468" s="65">
        <v>1</v>
      </c>
      <c r="AU468" s="65" t="s">
        <v>1529</v>
      </c>
      <c r="AV468" s="65" t="s">
        <v>1439</v>
      </c>
      <c r="AW468" s="65" t="s">
        <v>202</v>
      </c>
      <c r="AX468" s="65" t="s">
        <v>202</v>
      </c>
      <c r="AY468" s="65" t="s">
        <v>202</v>
      </c>
    </row>
    <row r="469" spans="1:51" x14ac:dyDescent="0.2">
      <c r="A469" s="65" t="s">
        <v>1773</v>
      </c>
      <c r="B469" s="65" t="s">
        <v>649</v>
      </c>
      <c r="C469" s="65" t="s">
        <v>650</v>
      </c>
      <c r="D469" s="65" t="s">
        <v>3154</v>
      </c>
      <c r="E469" s="65" t="s">
        <v>353</v>
      </c>
      <c r="F469" s="65" t="s">
        <v>1965</v>
      </c>
      <c r="G469" s="65" t="s">
        <v>1966</v>
      </c>
      <c r="H469" s="65" t="s">
        <v>2918</v>
      </c>
      <c r="I469" s="65" t="s">
        <v>3014</v>
      </c>
      <c r="J469" s="65">
        <v>3144344389</v>
      </c>
      <c r="K469" s="65" t="s">
        <v>3147</v>
      </c>
      <c r="L469" s="65" t="s">
        <v>3148</v>
      </c>
      <c r="M469" s="65" t="s">
        <v>361</v>
      </c>
      <c r="N469" s="65" t="s">
        <v>3149</v>
      </c>
      <c r="O469" s="65" t="s">
        <v>2923</v>
      </c>
      <c r="P469" s="65" t="s">
        <v>2924</v>
      </c>
      <c r="Q469" s="65" t="s">
        <v>2925</v>
      </c>
      <c r="R469" s="65" t="s">
        <v>2926</v>
      </c>
      <c r="S469" s="65" t="s">
        <v>2810</v>
      </c>
      <c r="T469" s="65" t="s">
        <v>2810</v>
      </c>
      <c r="U469" s="65" t="s">
        <v>3018</v>
      </c>
      <c r="V469" s="65" t="s">
        <v>3019</v>
      </c>
      <c r="W469" s="65" t="s">
        <v>2465</v>
      </c>
      <c r="X469" s="65" t="s">
        <v>2466</v>
      </c>
      <c r="Y469" s="65" t="s">
        <v>3155</v>
      </c>
      <c r="Z469" s="65" t="s">
        <v>1338</v>
      </c>
      <c r="AA469" s="65" t="s">
        <v>3156</v>
      </c>
      <c r="AB469" s="65">
        <v>2</v>
      </c>
      <c r="AC469" s="65" t="s">
        <v>1576</v>
      </c>
      <c r="AD469" s="65" t="s">
        <v>3157</v>
      </c>
      <c r="AE469" s="65" t="s">
        <v>3158</v>
      </c>
      <c r="AF469" s="65" t="s">
        <v>1437</v>
      </c>
      <c r="AG469" s="65">
        <v>1</v>
      </c>
      <c r="AH469" s="65">
        <v>0</v>
      </c>
      <c r="AI469" s="65">
        <v>2</v>
      </c>
      <c r="AJ469" s="65">
        <v>1</v>
      </c>
      <c r="AK469" s="65" t="s">
        <v>353</v>
      </c>
      <c r="AL469" s="128">
        <v>45003</v>
      </c>
      <c r="AM469" s="65">
        <v>4</v>
      </c>
      <c r="AN469" s="65">
        <v>2</v>
      </c>
      <c r="AO469" s="65" t="s">
        <v>202</v>
      </c>
      <c r="AP469" s="65">
        <v>2</v>
      </c>
      <c r="AQ469" s="65" t="s">
        <v>352</v>
      </c>
      <c r="AR469" s="65" t="s">
        <v>202</v>
      </c>
      <c r="AS469" s="65">
        <v>1</v>
      </c>
      <c r="AT469" s="65">
        <v>1</v>
      </c>
      <c r="AU469" s="65" t="s">
        <v>1438</v>
      </c>
      <c r="AV469" s="65" t="s">
        <v>1439</v>
      </c>
      <c r="AW469" s="65" t="s">
        <v>202</v>
      </c>
      <c r="AX469" s="65" t="s">
        <v>202</v>
      </c>
      <c r="AY469" s="65" t="s">
        <v>202</v>
      </c>
    </row>
    <row r="470" spans="1:51" x14ac:dyDescent="0.2">
      <c r="A470" s="65" t="s">
        <v>1773</v>
      </c>
      <c r="B470" s="65" t="s">
        <v>651</v>
      </c>
      <c r="C470" s="65" t="s">
        <v>652</v>
      </c>
      <c r="D470" s="65" t="s">
        <v>3159</v>
      </c>
      <c r="E470" s="65" t="s">
        <v>353</v>
      </c>
      <c r="F470" s="65" t="s">
        <v>1965</v>
      </c>
      <c r="G470" s="65" t="s">
        <v>1966</v>
      </c>
      <c r="H470" s="65" t="s">
        <v>2918</v>
      </c>
      <c r="I470" s="65" t="s">
        <v>3014</v>
      </c>
      <c r="J470" s="65">
        <v>3144344389</v>
      </c>
      <c r="K470" s="65" t="s">
        <v>3147</v>
      </c>
      <c r="L470" s="65" t="s">
        <v>3148</v>
      </c>
      <c r="M470" s="65" t="s">
        <v>361</v>
      </c>
      <c r="N470" s="65" t="s">
        <v>3149</v>
      </c>
      <c r="O470" s="65" t="s">
        <v>2923</v>
      </c>
      <c r="P470" s="65" t="s">
        <v>2924</v>
      </c>
      <c r="Q470" s="65" t="s">
        <v>2925</v>
      </c>
      <c r="R470" s="65" t="s">
        <v>2926</v>
      </c>
      <c r="S470" s="65" t="s">
        <v>2810</v>
      </c>
      <c r="T470" s="65" t="s">
        <v>2810</v>
      </c>
      <c r="U470" s="65" t="s">
        <v>3018</v>
      </c>
      <c r="V470" s="65" t="s">
        <v>3019</v>
      </c>
      <c r="W470" s="65" t="s">
        <v>2465</v>
      </c>
      <c r="X470" s="65" t="s">
        <v>2466</v>
      </c>
      <c r="Y470" s="65" t="s">
        <v>1967</v>
      </c>
      <c r="Z470" s="65" t="s">
        <v>1338</v>
      </c>
      <c r="AA470" s="65" t="s">
        <v>3160</v>
      </c>
      <c r="AB470" s="65">
        <v>3</v>
      </c>
      <c r="AC470" s="65" t="s">
        <v>3161</v>
      </c>
      <c r="AD470" s="65" t="s">
        <v>3162</v>
      </c>
      <c r="AE470" s="65" t="s">
        <v>3163</v>
      </c>
      <c r="AF470" s="65" t="s">
        <v>1437</v>
      </c>
      <c r="AG470" s="65">
        <v>3</v>
      </c>
      <c r="AH470" s="65">
        <v>0</v>
      </c>
      <c r="AI470" s="65">
        <v>2</v>
      </c>
      <c r="AJ470" s="65">
        <v>1</v>
      </c>
      <c r="AK470" s="65" t="s">
        <v>353</v>
      </c>
      <c r="AL470" s="128">
        <v>44980</v>
      </c>
      <c r="AM470" s="65">
        <v>4</v>
      </c>
      <c r="AN470" s="65">
        <v>2</v>
      </c>
      <c r="AO470" s="65" t="s">
        <v>202</v>
      </c>
      <c r="AP470" s="65">
        <v>2</v>
      </c>
      <c r="AQ470" s="65" t="s">
        <v>352</v>
      </c>
      <c r="AR470" s="65" t="s">
        <v>202</v>
      </c>
      <c r="AS470" s="65">
        <v>1</v>
      </c>
      <c r="AT470" s="65">
        <v>1</v>
      </c>
      <c r="AU470" s="65" t="s">
        <v>1529</v>
      </c>
      <c r="AV470" s="65" t="s">
        <v>1439</v>
      </c>
      <c r="AW470" s="65" t="s">
        <v>202</v>
      </c>
      <c r="AX470" s="65" t="s">
        <v>202</v>
      </c>
      <c r="AY470" s="65" t="s">
        <v>353</v>
      </c>
    </row>
    <row r="471" spans="1:51" x14ac:dyDescent="0.2">
      <c r="A471" s="65" t="s">
        <v>1773</v>
      </c>
      <c r="B471" s="65" t="s">
        <v>631</v>
      </c>
      <c r="C471" s="65" t="s">
        <v>632</v>
      </c>
      <c r="D471" s="65" t="s">
        <v>3164</v>
      </c>
      <c r="E471" s="65" t="s">
        <v>353</v>
      </c>
      <c r="F471" s="65" t="s">
        <v>1965</v>
      </c>
      <c r="G471" s="65" t="s">
        <v>1966</v>
      </c>
      <c r="H471" s="65" t="s">
        <v>2918</v>
      </c>
      <c r="I471" s="65" t="s">
        <v>3014</v>
      </c>
      <c r="J471" s="65">
        <v>3144344389</v>
      </c>
      <c r="K471" s="65" t="s">
        <v>3147</v>
      </c>
      <c r="L471" s="65" t="s">
        <v>3148</v>
      </c>
      <c r="M471" s="65" t="s">
        <v>361</v>
      </c>
      <c r="N471" s="65" t="s">
        <v>3149</v>
      </c>
      <c r="O471" s="65" t="s">
        <v>2923</v>
      </c>
      <c r="P471" s="65" t="s">
        <v>2924</v>
      </c>
      <c r="Q471" s="65" t="s">
        <v>2925</v>
      </c>
      <c r="R471" s="65" t="s">
        <v>2926</v>
      </c>
      <c r="S471" s="65" t="s">
        <v>2810</v>
      </c>
      <c r="T471" s="65" t="s">
        <v>2810</v>
      </c>
      <c r="U471" s="65" t="s">
        <v>3018</v>
      </c>
      <c r="V471" s="65" t="s">
        <v>3019</v>
      </c>
      <c r="W471" s="65" t="s">
        <v>2465</v>
      </c>
      <c r="X471" s="65" t="s">
        <v>2466</v>
      </c>
      <c r="Y471" s="65" t="s">
        <v>1967</v>
      </c>
      <c r="Z471" s="65" t="s">
        <v>1338</v>
      </c>
      <c r="AA471" s="65" t="s">
        <v>3165</v>
      </c>
      <c r="AB471" s="65">
        <v>3</v>
      </c>
      <c r="AC471" s="65" t="s">
        <v>3166</v>
      </c>
      <c r="AD471" s="65" t="s">
        <v>2359</v>
      </c>
      <c r="AE471" s="65" t="s">
        <v>3167</v>
      </c>
      <c r="AF471" s="65" t="s">
        <v>1437</v>
      </c>
      <c r="AG471" s="65">
        <v>2</v>
      </c>
      <c r="AH471" s="65">
        <v>0</v>
      </c>
      <c r="AI471" s="65">
        <v>2</v>
      </c>
      <c r="AJ471" s="65">
        <v>1</v>
      </c>
      <c r="AK471" s="65" t="s">
        <v>353</v>
      </c>
      <c r="AL471" s="128">
        <v>44981</v>
      </c>
      <c r="AM471" s="65">
        <v>4</v>
      </c>
      <c r="AN471" s="65">
        <v>2</v>
      </c>
      <c r="AO471" s="65" t="s">
        <v>353</v>
      </c>
      <c r="AP471" s="65">
        <v>1</v>
      </c>
      <c r="AQ471" s="65" t="s">
        <v>352</v>
      </c>
      <c r="AR471" s="65" t="s">
        <v>202</v>
      </c>
      <c r="AS471" s="65">
        <v>1</v>
      </c>
      <c r="AT471" s="65">
        <v>1</v>
      </c>
      <c r="AU471" s="65" t="s">
        <v>1529</v>
      </c>
      <c r="AV471" s="65" t="s">
        <v>1439</v>
      </c>
      <c r="AW471" s="65" t="s">
        <v>202</v>
      </c>
      <c r="AX471" s="65" t="s">
        <v>202</v>
      </c>
      <c r="AY471" s="65" t="s">
        <v>202</v>
      </c>
    </row>
    <row r="472" spans="1:51" x14ac:dyDescent="0.2">
      <c r="A472" s="65" t="s">
        <v>1773</v>
      </c>
      <c r="B472" s="65" t="s">
        <v>645</v>
      </c>
      <c r="C472" s="65" t="s">
        <v>646</v>
      </c>
      <c r="D472" s="65" t="s">
        <v>3168</v>
      </c>
      <c r="E472" s="65" t="s">
        <v>353</v>
      </c>
      <c r="F472" s="65" t="s">
        <v>1965</v>
      </c>
      <c r="G472" s="65" t="s">
        <v>1966</v>
      </c>
      <c r="H472" s="65" t="s">
        <v>2918</v>
      </c>
      <c r="I472" s="65" t="s">
        <v>3014</v>
      </c>
      <c r="J472" s="65">
        <v>3144344389</v>
      </c>
      <c r="K472" s="65" t="s">
        <v>3147</v>
      </c>
      <c r="L472" s="65" t="s">
        <v>3148</v>
      </c>
      <c r="M472" s="65" t="s">
        <v>361</v>
      </c>
      <c r="N472" s="65" t="s">
        <v>3149</v>
      </c>
      <c r="O472" s="65" t="s">
        <v>2923</v>
      </c>
      <c r="P472" s="65" t="s">
        <v>2924</v>
      </c>
      <c r="Q472" s="65" t="s">
        <v>2925</v>
      </c>
      <c r="R472" s="65" t="s">
        <v>2926</v>
      </c>
      <c r="S472" s="65" t="s">
        <v>2810</v>
      </c>
      <c r="T472" s="65" t="s">
        <v>2810</v>
      </c>
      <c r="U472" s="65" t="s">
        <v>3018</v>
      </c>
      <c r="V472" s="65" t="s">
        <v>3019</v>
      </c>
      <c r="W472" s="65" t="s">
        <v>2465</v>
      </c>
      <c r="X472" s="65" t="s">
        <v>2466</v>
      </c>
      <c r="Y472" s="65" t="s">
        <v>646</v>
      </c>
      <c r="Z472" s="65" t="s">
        <v>1338</v>
      </c>
      <c r="AA472" s="65" t="s">
        <v>3169</v>
      </c>
      <c r="AB472" s="65">
        <v>3</v>
      </c>
      <c r="AC472" s="65" t="s">
        <v>2375</v>
      </c>
      <c r="AD472" s="65" t="s">
        <v>3170</v>
      </c>
      <c r="AE472" s="65" t="s">
        <v>3171</v>
      </c>
      <c r="AF472" s="65" t="s">
        <v>1437</v>
      </c>
      <c r="AG472" s="65">
        <v>1</v>
      </c>
      <c r="AH472" s="65">
        <v>0</v>
      </c>
      <c r="AI472" s="65">
        <v>2</v>
      </c>
      <c r="AJ472" s="65">
        <v>1</v>
      </c>
      <c r="AK472" s="65" t="s">
        <v>202</v>
      </c>
      <c r="AL472" s="128">
        <v>45027</v>
      </c>
      <c r="AM472" s="65">
        <v>3</v>
      </c>
      <c r="AN472" s="65">
        <v>1</v>
      </c>
      <c r="AO472" s="65" t="s">
        <v>202</v>
      </c>
      <c r="AP472" s="65">
        <v>1</v>
      </c>
      <c r="AQ472" s="65" t="s">
        <v>352</v>
      </c>
      <c r="AR472" s="65" t="s">
        <v>202</v>
      </c>
      <c r="AS472" s="65">
        <v>1</v>
      </c>
      <c r="AT472" s="65">
        <v>1</v>
      </c>
      <c r="AU472" s="65" t="s">
        <v>1529</v>
      </c>
      <c r="AV472" s="65" t="s">
        <v>1439</v>
      </c>
      <c r="AW472" s="65" t="s">
        <v>202</v>
      </c>
      <c r="AX472" s="65" t="s">
        <v>202</v>
      </c>
      <c r="AY472" s="65" t="s">
        <v>202</v>
      </c>
    </row>
    <row r="473" spans="1:51" x14ac:dyDescent="0.2">
      <c r="A473" s="65" t="s">
        <v>1773</v>
      </c>
      <c r="B473" s="65" t="s">
        <v>766</v>
      </c>
      <c r="C473" s="65" t="s">
        <v>767</v>
      </c>
      <c r="D473" s="65" t="s">
        <v>3172</v>
      </c>
      <c r="E473" s="65" t="s">
        <v>353</v>
      </c>
      <c r="F473" s="65" t="s">
        <v>1965</v>
      </c>
      <c r="G473" s="65" t="s">
        <v>1966</v>
      </c>
      <c r="H473" s="65" t="s">
        <v>2918</v>
      </c>
      <c r="I473" s="65" t="s">
        <v>3014</v>
      </c>
      <c r="J473" s="65">
        <v>3144344389</v>
      </c>
      <c r="K473" s="65" t="s">
        <v>3147</v>
      </c>
      <c r="L473" s="65" t="s">
        <v>3148</v>
      </c>
      <c r="M473" s="65" t="s">
        <v>361</v>
      </c>
      <c r="N473" s="65" t="s">
        <v>3149</v>
      </c>
      <c r="O473" s="65" t="s">
        <v>2923</v>
      </c>
      <c r="P473" s="65" t="s">
        <v>2924</v>
      </c>
      <c r="Q473" s="65" t="s">
        <v>2925</v>
      </c>
      <c r="R473" s="65" t="s">
        <v>2926</v>
      </c>
      <c r="S473" s="65" t="s">
        <v>2810</v>
      </c>
      <c r="T473" s="65" t="s">
        <v>2810</v>
      </c>
      <c r="U473" s="65" t="s">
        <v>3018</v>
      </c>
      <c r="V473" s="65" t="s">
        <v>3019</v>
      </c>
      <c r="W473" s="65" t="s">
        <v>2465</v>
      </c>
      <c r="X473" s="65" t="s">
        <v>2466</v>
      </c>
      <c r="Y473" s="65" t="s">
        <v>1967</v>
      </c>
      <c r="Z473" s="65" t="s">
        <v>1338</v>
      </c>
      <c r="AA473" s="65" t="s">
        <v>3173</v>
      </c>
      <c r="AB473" s="65">
        <v>2</v>
      </c>
      <c r="AC473" s="65" t="s">
        <v>2237</v>
      </c>
      <c r="AD473" s="65" t="s">
        <v>3174</v>
      </c>
      <c r="AE473" s="65" t="s">
        <v>3175</v>
      </c>
      <c r="AF473" s="65" t="s">
        <v>1437</v>
      </c>
      <c r="AG473" s="65">
        <v>2</v>
      </c>
      <c r="AH473" s="65">
        <v>1</v>
      </c>
      <c r="AI473" s="65">
        <v>2</v>
      </c>
      <c r="AJ473" s="65">
        <v>2</v>
      </c>
      <c r="AK473" s="65" t="s">
        <v>353</v>
      </c>
      <c r="AL473" s="128">
        <v>44980</v>
      </c>
      <c r="AM473" s="65">
        <v>4</v>
      </c>
      <c r="AN473" s="65">
        <v>2</v>
      </c>
      <c r="AO473" s="65" t="s">
        <v>202</v>
      </c>
      <c r="AP473" s="65">
        <v>2</v>
      </c>
      <c r="AQ473" s="65" t="s">
        <v>352</v>
      </c>
      <c r="AR473" s="65" t="s">
        <v>202</v>
      </c>
      <c r="AS473" s="65">
        <v>1</v>
      </c>
      <c r="AT473" s="65">
        <v>1</v>
      </c>
      <c r="AU473" s="65" t="s">
        <v>1529</v>
      </c>
      <c r="AV473" s="65" t="s">
        <v>1439</v>
      </c>
      <c r="AW473" s="65" t="s">
        <v>202</v>
      </c>
      <c r="AX473" s="65" t="s">
        <v>202</v>
      </c>
      <c r="AY473" s="65" t="s">
        <v>353</v>
      </c>
    </row>
    <row r="474" spans="1:51" x14ac:dyDescent="0.2">
      <c r="A474" s="65" t="s">
        <v>1773</v>
      </c>
      <c r="B474" s="65" t="s">
        <v>639</v>
      </c>
      <c r="C474" s="65" t="s">
        <v>640</v>
      </c>
      <c r="D474" s="65" t="s">
        <v>3176</v>
      </c>
      <c r="E474" s="65" t="s">
        <v>353</v>
      </c>
      <c r="F474" s="65" t="s">
        <v>1965</v>
      </c>
      <c r="G474" s="65" t="s">
        <v>1966</v>
      </c>
      <c r="H474" s="65" t="s">
        <v>2918</v>
      </c>
      <c r="I474" s="65" t="s">
        <v>3014</v>
      </c>
      <c r="J474" s="65">
        <v>3144344389</v>
      </c>
      <c r="K474" s="65" t="s">
        <v>3147</v>
      </c>
      <c r="L474" s="65" t="s">
        <v>3148</v>
      </c>
      <c r="M474" s="65" t="s">
        <v>361</v>
      </c>
      <c r="N474" s="65" t="s">
        <v>3149</v>
      </c>
      <c r="O474" s="65" t="s">
        <v>2923</v>
      </c>
      <c r="P474" s="65" t="s">
        <v>2924</v>
      </c>
      <c r="Q474" s="65" t="s">
        <v>2925</v>
      </c>
      <c r="R474" s="65" t="s">
        <v>2926</v>
      </c>
      <c r="S474" s="65" t="s">
        <v>2810</v>
      </c>
      <c r="T474" s="65" t="s">
        <v>2810</v>
      </c>
      <c r="U474" s="65" t="s">
        <v>3018</v>
      </c>
      <c r="V474" s="65" t="s">
        <v>3019</v>
      </c>
      <c r="W474" s="65" t="s">
        <v>2465</v>
      </c>
      <c r="X474" s="65" t="s">
        <v>2466</v>
      </c>
      <c r="Y474" s="65" t="s">
        <v>640</v>
      </c>
      <c r="Z474" s="65" t="s">
        <v>1338</v>
      </c>
      <c r="AA474" s="65" t="s">
        <v>3177</v>
      </c>
      <c r="AB474" s="65">
        <v>3</v>
      </c>
      <c r="AC474" s="65" t="s">
        <v>1511</v>
      </c>
      <c r="AD474" s="65" t="s">
        <v>1559</v>
      </c>
      <c r="AE474" s="65" t="s">
        <v>3178</v>
      </c>
      <c r="AF474" s="65" t="s">
        <v>1437</v>
      </c>
      <c r="AG474" s="65">
        <v>1</v>
      </c>
      <c r="AH474" s="65">
        <v>0</v>
      </c>
      <c r="AI474" s="65">
        <v>2</v>
      </c>
      <c r="AJ474" s="65">
        <v>2</v>
      </c>
      <c r="AK474" s="65" t="s">
        <v>353</v>
      </c>
      <c r="AL474" s="128">
        <v>45009</v>
      </c>
      <c r="AM474" s="65">
        <v>4</v>
      </c>
      <c r="AN474" s="65">
        <v>2</v>
      </c>
      <c r="AO474" s="65" t="s">
        <v>202</v>
      </c>
      <c r="AP474" s="65">
        <v>2</v>
      </c>
      <c r="AQ474" s="65" t="s">
        <v>352</v>
      </c>
      <c r="AR474" s="65" t="s">
        <v>202</v>
      </c>
      <c r="AS474" s="65">
        <v>1</v>
      </c>
      <c r="AT474" s="65">
        <v>1</v>
      </c>
      <c r="AU474" s="65" t="s">
        <v>1438</v>
      </c>
      <c r="AV474" s="65" t="s">
        <v>1439</v>
      </c>
      <c r="AW474" s="65" t="s">
        <v>202</v>
      </c>
      <c r="AX474" s="65" t="s">
        <v>202</v>
      </c>
      <c r="AY474" s="65" t="s">
        <v>353</v>
      </c>
    </row>
    <row r="475" spans="1:51" x14ac:dyDescent="0.2">
      <c r="A475" s="65" t="s">
        <v>1773</v>
      </c>
      <c r="B475" s="65" t="s">
        <v>1207</v>
      </c>
      <c r="C475" s="65" t="s">
        <v>1208</v>
      </c>
      <c r="D475" s="65" t="s">
        <v>3179</v>
      </c>
      <c r="E475" s="65" t="s">
        <v>353</v>
      </c>
      <c r="F475" s="65" t="s">
        <v>1965</v>
      </c>
      <c r="G475" s="65" t="s">
        <v>1966</v>
      </c>
      <c r="H475" s="65" t="s">
        <v>2918</v>
      </c>
      <c r="I475" s="65" t="s">
        <v>3014</v>
      </c>
      <c r="J475" s="65">
        <v>3144344389</v>
      </c>
      <c r="K475" s="65" t="s">
        <v>3147</v>
      </c>
      <c r="L475" s="65" t="s">
        <v>3148</v>
      </c>
      <c r="M475" s="65" t="s">
        <v>361</v>
      </c>
      <c r="N475" s="65" t="s">
        <v>3149</v>
      </c>
      <c r="O475" s="65" t="s">
        <v>2923</v>
      </c>
      <c r="P475" s="65" t="s">
        <v>2924</v>
      </c>
      <c r="Q475" s="65" t="s">
        <v>2925</v>
      </c>
      <c r="R475" s="65" t="s">
        <v>2926</v>
      </c>
      <c r="S475" s="65" t="s">
        <v>2810</v>
      </c>
      <c r="T475" s="65" t="s">
        <v>2810</v>
      </c>
      <c r="U475" s="65" t="s">
        <v>3018</v>
      </c>
      <c r="V475" s="65" t="s">
        <v>3019</v>
      </c>
      <c r="W475" s="65" t="s">
        <v>2465</v>
      </c>
      <c r="X475" s="65" t="s">
        <v>2466</v>
      </c>
      <c r="Y475" s="65" t="s">
        <v>3155</v>
      </c>
      <c r="Z475" s="65" t="s">
        <v>1338</v>
      </c>
      <c r="AA475" s="65" t="s">
        <v>3180</v>
      </c>
      <c r="AB475" s="65">
        <v>3</v>
      </c>
      <c r="AC475" s="65" t="s">
        <v>3181</v>
      </c>
      <c r="AD475" s="65" t="s">
        <v>1598</v>
      </c>
      <c r="AE475" s="65" t="s">
        <v>3182</v>
      </c>
      <c r="AF475" s="65" t="s">
        <v>1437</v>
      </c>
      <c r="AG475" s="65">
        <v>1</v>
      </c>
      <c r="AH475" s="65">
        <v>0</v>
      </c>
      <c r="AI475" s="65">
        <v>2</v>
      </c>
      <c r="AJ475" s="65">
        <v>2</v>
      </c>
      <c r="AK475" s="65" t="s">
        <v>353</v>
      </c>
      <c r="AL475" s="128">
        <v>44985</v>
      </c>
      <c r="AM475" s="65">
        <v>4</v>
      </c>
      <c r="AN475" s="65">
        <v>2</v>
      </c>
      <c r="AO475" s="65" t="s">
        <v>202</v>
      </c>
      <c r="AP475" s="65">
        <v>2</v>
      </c>
      <c r="AQ475" s="65" t="s">
        <v>355</v>
      </c>
      <c r="AR475" s="65" t="s">
        <v>202</v>
      </c>
      <c r="AS475" s="65">
        <v>1</v>
      </c>
      <c r="AT475" s="65">
        <v>1</v>
      </c>
      <c r="AU475" s="65" t="s">
        <v>1438</v>
      </c>
      <c r="AV475" s="65" t="s">
        <v>1439</v>
      </c>
      <c r="AW475" s="65" t="s">
        <v>202</v>
      </c>
      <c r="AX475" s="65" t="s">
        <v>202</v>
      </c>
      <c r="AY475" s="65" t="s">
        <v>353</v>
      </c>
    </row>
    <row r="476" spans="1:51" x14ac:dyDescent="0.2">
      <c r="A476" s="65" t="s">
        <v>1773</v>
      </c>
      <c r="B476" s="65" t="s">
        <v>774</v>
      </c>
      <c r="C476" s="65" t="s">
        <v>775</v>
      </c>
      <c r="D476" s="65" t="s">
        <v>3183</v>
      </c>
      <c r="E476" s="65" t="s">
        <v>353</v>
      </c>
      <c r="F476" s="65" t="s">
        <v>1965</v>
      </c>
      <c r="G476" s="65" t="s">
        <v>1966</v>
      </c>
      <c r="H476" s="65" t="s">
        <v>2918</v>
      </c>
      <c r="I476" s="65" t="s">
        <v>3014</v>
      </c>
      <c r="J476" s="65">
        <v>3144344389</v>
      </c>
      <c r="K476" s="65" t="s">
        <v>3147</v>
      </c>
      <c r="L476" s="65" t="s">
        <v>3148</v>
      </c>
      <c r="M476" s="65" t="s">
        <v>361</v>
      </c>
      <c r="N476" s="65" t="s">
        <v>3149</v>
      </c>
      <c r="O476" s="65" t="s">
        <v>2923</v>
      </c>
      <c r="P476" s="65" t="s">
        <v>2924</v>
      </c>
      <c r="Q476" s="65" t="s">
        <v>2925</v>
      </c>
      <c r="R476" s="65" t="s">
        <v>2926</v>
      </c>
      <c r="S476" s="65" t="s">
        <v>2810</v>
      </c>
      <c r="T476" s="65" t="s">
        <v>2810</v>
      </c>
      <c r="U476" s="65" t="s">
        <v>3018</v>
      </c>
      <c r="V476" s="65" t="s">
        <v>3019</v>
      </c>
      <c r="W476" s="65" t="s">
        <v>2465</v>
      </c>
      <c r="X476" s="65" t="s">
        <v>2466</v>
      </c>
      <c r="Y476" s="65" t="s">
        <v>775</v>
      </c>
      <c r="Z476" s="65" t="s">
        <v>1338</v>
      </c>
      <c r="AA476" s="65" t="s">
        <v>3184</v>
      </c>
      <c r="AB476" s="65">
        <v>2</v>
      </c>
      <c r="AC476" s="65" t="s">
        <v>2067</v>
      </c>
      <c r="AD476" s="65" t="s">
        <v>3185</v>
      </c>
      <c r="AE476" s="65" t="s">
        <v>3186</v>
      </c>
      <c r="AF476" s="65" t="s">
        <v>1437</v>
      </c>
      <c r="AG476" s="65">
        <v>2</v>
      </c>
      <c r="AH476" s="65">
        <v>1</v>
      </c>
      <c r="AI476" s="65">
        <v>2</v>
      </c>
      <c r="AJ476" s="65">
        <v>2</v>
      </c>
      <c r="AK476" s="65" t="s">
        <v>353</v>
      </c>
      <c r="AL476" s="128">
        <v>45003</v>
      </c>
      <c r="AM476" s="65">
        <v>4</v>
      </c>
      <c r="AN476" s="65">
        <v>1</v>
      </c>
      <c r="AO476" s="65" t="s">
        <v>353</v>
      </c>
      <c r="AP476" s="65">
        <v>2</v>
      </c>
      <c r="AQ476" s="65" t="s">
        <v>352</v>
      </c>
      <c r="AR476" s="65" t="s">
        <v>202</v>
      </c>
      <c r="AS476" s="65">
        <v>1</v>
      </c>
      <c r="AT476" s="65">
        <v>1</v>
      </c>
      <c r="AU476" s="65" t="s">
        <v>1529</v>
      </c>
      <c r="AV476" s="65" t="s">
        <v>1439</v>
      </c>
      <c r="AW476" s="65" t="s">
        <v>202</v>
      </c>
      <c r="AX476" s="65" t="s">
        <v>202</v>
      </c>
      <c r="AY476" s="65" t="s">
        <v>202</v>
      </c>
    </row>
    <row r="477" spans="1:51" x14ac:dyDescent="0.2">
      <c r="A477" s="65" t="s">
        <v>1367</v>
      </c>
      <c r="B477" s="65" t="s">
        <v>60</v>
      </c>
      <c r="C477" s="65" t="s">
        <v>329</v>
      </c>
      <c r="D477" s="65" t="s">
        <v>3187</v>
      </c>
      <c r="E477" s="65" t="s">
        <v>3188</v>
      </c>
      <c r="F477" s="65" t="s">
        <v>1872</v>
      </c>
      <c r="G477" s="65" t="s">
        <v>344</v>
      </c>
      <c r="H477" s="65" t="s">
        <v>2452</v>
      </c>
      <c r="I477" s="65" t="s">
        <v>2453</v>
      </c>
      <c r="J477" s="65">
        <v>3144345375</v>
      </c>
      <c r="K477" s="65" t="s">
        <v>2662</v>
      </c>
      <c r="L477" s="65" t="s">
        <v>2663</v>
      </c>
      <c r="M477" s="65" t="s">
        <v>358</v>
      </c>
      <c r="N477" s="65" t="s">
        <v>2664</v>
      </c>
      <c r="O477" s="65" t="s">
        <v>2457</v>
      </c>
      <c r="P477" s="65" t="s">
        <v>2458</v>
      </c>
      <c r="Q477" s="65" t="s">
        <v>2459</v>
      </c>
      <c r="R477" s="65" t="s">
        <v>2460</v>
      </c>
      <c r="S477" s="65" t="s">
        <v>2461</v>
      </c>
      <c r="T477" s="65" t="s">
        <v>2462</v>
      </c>
      <c r="U477" s="65" t="s">
        <v>2463</v>
      </c>
      <c r="V477" s="65" t="s">
        <v>2464</v>
      </c>
      <c r="W477" s="65" t="s">
        <v>2465</v>
      </c>
      <c r="X477" s="65" t="s">
        <v>2466</v>
      </c>
      <c r="Y477" s="65" t="s">
        <v>1873</v>
      </c>
      <c r="Z477" s="65" t="s">
        <v>1874</v>
      </c>
      <c r="AA477" s="65" t="s">
        <v>3189</v>
      </c>
      <c r="AB477" s="65">
        <v>2</v>
      </c>
      <c r="AC477" s="65">
        <v>278</v>
      </c>
      <c r="AD477" s="65">
        <v>233</v>
      </c>
      <c r="AE477" s="65" t="s">
        <v>3190</v>
      </c>
    </row>
    <row r="478" spans="1:51" x14ac:dyDescent="0.2">
      <c r="A478" s="65" t="s">
        <v>1313</v>
      </c>
      <c r="B478" s="65" t="s">
        <v>3191</v>
      </c>
      <c r="C478" s="65" t="s">
        <v>3192</v>
      </c>
      <c r="D478" s="65" t="s">
        <v>3193</v>
      </c>
      <c r="E478" s="65" t="s">
        <v>3188</v>
      </c>
      <c r="F478" s="65" t="s">
        <v>1415</v>
      </c>
      <c r="G478" s="65" t="s">
        <v>1416</v>
      </c>
      <c r="H478" s="65" t="s">
        <v>1417</v>
      </c>
      <c r="I478" s="65" t="s">
        <v>1418</v>
      </c>
      <c r="J478" s="65">
        <v>3144341774</v>
      </c>
      <c r="N478" s="65" t="s">
        <v>1416</v>
      </c>
      <c r="O478" s="65" t="s">
        <v>1422</v>
      </c>
      <c r="P478" s="65" t="s">
        <v>1423</v>
      </c>
      <c r="Q478" s="65" t="s">
        <v>1424</v>
      </c>
      <c r="R478" s="65" t="s">
        <v>1425</v>
      </c>
      <c r="S478" s="65" t="s">
        <v>1426</v>
      </c>
      <c r="T478" s="65" t="s">
        <v>1427</v>
      </c>
      <c r="U478" s="65" t="s">
        <v>2625</v>
      </c>
      <c r="V478" s="65" t="s">
        <v>3194</v>
      </c>
      <c r="W478" s="65" t="s">
        <v>1430</v>
      </c>
      <c r="X478" s="65" t="s">
        <v>1431</v>
      </c>
      <c r="Y478" s="65" t="s">
        <v>1441</v>
      </c>
      <c r="Z478" s="65" t="s">
        <v>1313</v>
      </c>
      <c r="AA478" s="65" t="s">
        <v>3195</v>
      </c>
      <c r="AB478" s="65">
        <v>3</v>
      </c>
      <c r="AC478" s="65">
        <v>280</v>
      </c>
      <c r="AD478" s="65">
        <v>242</v>
      </c>
      <c r="AE478" s="65" t="s">
        <v>3196</v>
      </c>
    </row>
    <row r="479" spans="1:51" x14ac:dyDescent="0.2">
      <c r="A479" s="65" t="s">
        <v>1313</v>
      </c>
      <c r="B479" s="65" t="s">
        <v>695</v>
      </c>
      <c r="C479" s="65" t="s">
        <v>696</v>
      </c>
      <c r="D479" s="65" t="s">
        <v>3197</v>
      </c>
      <c r="E479" s="65" t="s">
        <v>3188</v>
      </c>
      <c r="F479" s="65" t="s">
        <v>1415</v>
      </c>
      <c r="G479" s="65" t="s">
        <v>1416</v>
      </c>
      <c r="H479" s="65" t="s">
        <v>1417</v>
      </c>
      <c r="I479" s="65" t="s">
        <v>1418</v>
      </c>
      <c r="J479" s="65">
        <v>3144341774</v>
      </c>
      <c r="K479" s="65" t="s">
        <v>1502</v>
      </c>
      <c r="L479" s="65" t="s">
        <v>1503</v>
      </c>
      <c r="M479" s="65" t="s">
        <v>361</v>
      </c>
      <c r="N479" s="65" t="s">
        <v>1504</v>
      </c>
      <c r="O479" s="65" t="s">
        <v>1422</v>
      </c>
      <c r="P479" s="65" t="s">
        <v>1423</v>
      </c>
      <c r="Q479" s="65" t="s">
        <v>1424</v>
      </c>
      <c r="R479" s="65" t="s">
        <v>1425</v>
      </c>
      <c r="S479" s="65" t="s">
        <v>1426</v>
      </c>
      <c r="T479" s="65" t="s">
        <v>1427</v>
      </c>
      <c r="U479" s="65" t="s">
        <v>2625</v>
      </c>
      <c r="V479" s="65" t="s">
        <v>3194</v>
      </c>
      <c r="W479" s="65" t="s">
        <v>1430</v>
      </c>
      <c r="X479" s="65" t="s">
        <v>1431</v>
      </c>
      <c r="Y479" s="65" t="s">
        <v>1441</v>
      </c>
      <c r="Z479" s="65" t="s">
        <v>1313</v>
      </c>
      <c r="AA479" s="65" t="s">
        <v>3198</v>
      </c>
      <c r="AB479" s="65">
        <v>2</v>
      </c>
      <c r="AC479" s="65">
        <v>203</v>
      </c>
      <c r="AD479" s="65">
        <v>152</v>
      </c>
      <c r="AE479" s="65" t="s">
        <v>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Segmentación CENTRO</vt:lpstr>
      <vt:lpstr>Hoja 10</vt:lpstr>
      <vt:lpstr>Segmentación SUR - TOLIMA</vt:lpstr>
      <vt:lpstr>Segmentación SUR - HUILA</vt:lpstr>
      <vt:lpstr>Hoja 8</vt:lpstr>
      <vt:lpstr>Tabla dinámica 3</vt:lpstr>
      <vt:lpstr>Datos</vt:lpstr>
      <vt:lpstr>tabla datos</vt:lpstr>
      <vt:lpstr>Hoja 7</vt:lpstr>
      <vt:lpstr>SABANA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Fernando Serrato Ruiz</cp:lastModifiedBy>
  <dcterms:modified xsi:type="dcterms:W3CDTF">2026-07-02T20:48:03Z</dcterms:modified>
</cp:coreProperties>
</file>